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1.xml" ContentType="application/vnd.openxmlformats-officedocument.spreadsheetml.worksheet+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eink/Downloads/"/>
    </mc:Choice>
  </mc:AlternateContent>
  <xr:revisionPtr revIDLastSave="0" documentId="13_ncr:1_{1FFB1AE0-323A-DB49-A0CC-9F4A4A9E776B}" xr6:coauthVersionLast="47" xr6:coauthVersionMax="47" xr10:uidLastSave="{00000000-0000-0000-0000-000000000000}"/>
  <bookViews>
    <workbookView xWindow="0" yWindow="660" windowWidth="30240" windowHeight="18980" xr2:uid="{00000000-000D-0000-FFFF-FFFF00000000}"/>
  </bookViews>
  <sheets>
    <sheet name="PL 300726" sheetId="1" r:id="rId1"/>
    <sheet name="OTROS" sheetId="6" r:id="rId2"/>
    <sheet name="CTO 5" sheetId="2" r:id="rId3"/>
    <sheet name="CTO 8" sheetId="3" r:id="rId4"/>
    <sheet name="CTO 9" sheetId="4" r:id="rId5"/>
    <sheet name="CTO 10" sheetId="5" r:id="rId6"/>
    <sheet name="AVANCE" sheetId="7" r:id="rId7"/>
    <sheet name="TD AVANCE" sheetId="11" r:id="rId15"/>
    <sheet name="Parts" sheetId="8" r:id="rId8"/>
    <sheet name="Externos" sheetId="9" r:id="rId9"/>
    <sheet name="Hoja1" sheetId="10" state="hidden" r:id="rId10"/>
  </sheets>
  <definedNames>
    <definedName name="_xlnm._FilterDatabase" localSheetId="9" hidden="1">Externos!$A$1:$L$229</definedName>
    <definedName name="_xlnm._FilterDatabase" localSheetId="10" hidden="1">Hoja1!$A$1:$L$103</definedName>
    <definedName name="_xlnm._FilterDatabase" localSheetId="0" hidden="1">'PL 300726'!$A$1:$L$1364</definedName>
    <definedName name="_xlnm.Print_Area" localSheetId="0">'PL 300726'!$A$1:$G$1386</definedName>
  </definedNames>
  <calcPr calcId="191029" fullCalcOnLoad="1"/>
  <pivotCaches>
    <pivotCache cacheId="1"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7" l="1"/>
  <c r="F21" i="7" l="1"/>
  <c r="D48" i="7"/>
  <c r="D47" i="7"/>
  <c r="G47" i="7" s="1"/>
  <c r="T36" i="7" l="1"/>
  <c r="S36" i="7"/>
  <c r="V35" i="7"/>
  <c r="V34" i="7"/>
  <c r="V33" i="7"/>
  <c r="V32" i="7"/>
  <c r="V31" i="7"/>
  <c r="V30" i="7"/>
  <c r="V29" i="7"/>
  <c r="V28" i="7"/>
  <c r="V27" i="7"/>
  <c r="V26" i="7"/>
  <c r="U26" i="7"/>
  <c r="U25" i="7"/>
  <c r="V25" i="7" s="1"/>
  <c r="U24" i="7"/>
  <c r="V24" i="7" s="1"/>
  <c r="U23" i="7"/>
  <c r="V23" i="7" s="1"/>
  <c r="U22" i="7"/>
  <c r="V22" i="7" s="1"/>
  <c r="U21" i="7"/>
  <c r="U36" i="7" s="1"/>
  <c r="F26" i="7"/>
  <c r="F27" i="7"/>
  <c r="F28" i="7"/>
  <c r="F29" i="7"/>
  <c r="F30" i="7"/>
  <c r="F31" i="7"/>
  <c r="F32" i="7"/>
  <c r="F33" i="7"/>
  <c r="F34" i="7"/>
  <c r="F35" i="7"/>
  <c r="H112" i="7"/>
  <c r="G112" i="7"/>
  <c r="F112" i="7"/>
  <c r="E112" i="7"/>
  <c r="D112" i="7"/>
  <c r="I111" i="7"/>
  <c r="I110" i="7"/>
  <c r="I109" i="7"/>
  <c r="I108" i="7"/>
  <c r="I107" i="7"/>
  <c r="I106" i="7"/>
  <c r="I105" i="7"/>
  <c r="I104" i="7"/>
  <c r="I103" i="7"/>
  <c r="I102" i="7"/>
  <c r="I101" i="7"/>
  <c r="I100" i="7"/>
  <c r="I99" i="7"/>
  <c r="I98" i="7"/>
  <c r="I97" i="7"/>
  <c r="I96" i="7"/>
  <c r="F22" i="7"/>
  <c r="F23" i="7"/>
  <c r="F24" i="7"/>
  <c r="F25" i="7"/>
  <c r="D36" i="7"/>
  <c r="F36" i="7" l="1"/>
  <c r="V21" i="7"/>
  <c r="V36" i="7" s="1"/>
  <c r="E36" i="7"/>
  <c r="I112" i="7"/>
  <c r="C36" i="7" l="1"/>
  <c r="H6" i="7"/>
  <c r="H7" i="7"/>
  <c r="H5" i="7"/>
  <c r="D9" i="7"/>
  <c r="E9" i="7"/>
  <c r="F9" i="7"/>
  <c r="G9" i="7"/>
  <c r="C9" i="7"/>
  <c r="H9" i="7" l="1"/>
  <c r="F64" i="7" l="1"/>
  <c r="D63" i="7"/>
  <c r="G63" i="7" s="1"/>
  <c r="G48" i="7"/>
  <c r="D49" i="7"/>
  <c r="G49" i="7" s="1"/>
  <c r="D50" i="7"/>
  <c r="G50" i="7" s="1"/>
  <c r="D51" i="7"/>
  <c r="G51" i="7" s="1"/>
  <c r="D52" i="7"/>
  <c r="G52" i="7" s="1"/>
  <c r="D53" i="7"/>
  <c r="G53" i="7" s="1"/>
  <c r="D54" i="7"/>
  <c r="G54" i="7" s="1"/>
  <c r="D55" i="7"/>
  <c r="D56" i="7"/>
  <c r="G56" i="7" s="1"/>
  <c r="D57" i="7"/>
  <c r="G57" i="7" s="1"/>
  <c r="D58" i="7"/>
  <c r="G58" i="7" s="1"/>
  <c r="D59" i="7"/>
  <c r="G59" i="7" s="1"/>
  <c r="D60" i="7"/>
  <c r="G60" i="7" s="1"/>
  <c r="D61" i="7"/>
  <c r="G61" i="7" s="1"/>
  <c r="D62" i="7"/>
  <c r="G62" i="7" s="1"/>
  <c r="AF18" i="8"/>
  <c r="AF3" i="8"/>
  <c r="AH20" i="8"/>
  <c r="AG20" i="8"/>
  <c r="AF19" i="8"/>
  <c r="AF16" i="8"/>
  <c r="AF15" i="8"/>
  <c r="AF14" i="8"/>
  <c r="AF13" i="8"/>
  <c r="AF12" i="8"/>
  <c r="AF11" i="8"/>
  <c r="AF10" i="8"/>
  <c r="AF9" i="8"/>
  <c r="AF8" i="8"/>
  <c r="AF7" i="8"/>
  <c r="AF6" i="8"/>
  <c r="AF5" i="8"/>
  <c r="AF4" i="8"/>
  <c r="AL19" i="8"/>
  <c r="AI19" i="8"/>
  <c r="AC19" i="8"/>
  <c r="Z19" i="8"/>
  <c r="W19" i="8"/>
  <c r="T19" i="8"/>
  <c r="N4" i="8"/>
  <c r="N5" i="8"/>
  <c r="N6" i="8"/>
  <c r="N7" i="8"/>
  <c r="N8" i="8"/>
  <c r="N9" i="8"/>
  <c r="N10" i="8"/>
  <c r="N11" i="8"/>
  <c r="N12" i="8"/>
  <c r="N13" i="8"/>
  <c r="N14" i="8"/>
  <c r="N15" i="8"/>
  <c r="N16" i="8"/>
  <c r="N17" i="8"/>
  <c r="N18" i="8"/>
  <c r="N19" i="8"/>
  <c r="Q19" i="8"/>
  <c r="K19" i="8"/>
  <c r="H4" i="8"/>
  <c r="H5" i="8"/>
  <c r="H6" i="8"/>
  <c r="H7" i="8"/>
  <c r="H8" i="8"/>
  <c r="H9" i="8"/>
  <c r="H10" i="8"/>
  <c r="H11" i="8"/>
  <c r="H12" i="8"/>
  <c r="H13" i="8"/>
  <c r="H14" i="8"/>
  <c r="H15" i="8"/>
  <c r="H16" i="8"/>
  <c r="H17" i="8"/>
  <c r="H18" i="8"/>
  <c r="H19" i="8"/>
  <c r="C20" i="8"/>
  <c r="D20" i="8"/>
  <c r="F20" i="8"/>
  <c r="G20" i="8"/>
  <c r="I20" i="8"/>
  <c r="J20" i="8"/>
  <c r="L20" i="8"/>
  <c r="M20" i="8"/>
  <c r="O20" i="8"/>
  <c r="P20" i="8"/>
  <c r="R20" i="8"/>
  <c r="S20" i="8"/>
  <c r="U20" i="8"/>
  <c r="V20" i="8"/>
  <c r="X20" i="8"/>
  <c r="Y20" i="8"/>
  <c r="AA20" i="8"/>
  <c r="AB20" i="8"/>
  <c r="AD20" i="8"/>
  <c r="AE20" i="8"/>
  <c r="AJ20" i="8"/>
  <c r="AK20" i="8"/>
  <c r="AM20" i="8"/>
  <c r="AN20" i="8"/>
  <c r="AL18" i="8"/>
  <c r="AL17" i="8"/>
  <c r="AL16" i="8"/>
  <c r="AL15" i="8"/>
  <c r="AL14" i="8"/>
  <c r="AL13" i="8"/>
  <c r="AL12" i="8"/>
  <c r="AL11" i="8"/>
  <c r="AL10" i="8"/>
  <c r="AL9" i="8"/>
  <c r="AL8" i="8"/>
  <c r="AL7" i="8"/>
  <c r="AL6" i="8"/>
  <c r="AL5" i="8"/>
  <c r="AL4" i="8"/>
  <c r="AL3" i="8"/>
  <c r="AI18" i="8"/>
  <c r="AI17" i="8"/>
  <c r="AI16" i="8"/>
  <c r="AI15" i="8"/>
  <c r="AI14" i="8"/>
  <c r="AI13" i="8"/>
  <c r="AI12" i="8"/>
  <c r="AI11" i="8"/>
  <c r="AI10" i="8"/>
  <c r="AI9" i="8"/>
  <c r="AI8" i="8"/>
  <c r="AI7" i="8"/>
  <c r="AI6" i="8"/>
  <c r="AI5" i="8"/>
  <c r="AI4" i="8"/>
  <c r="AI3" i="8"/>
  <c r="AC18" i="8"/>
  <c r="AC17" i="8"/>
  <c r="AC16" i="8"/>
  <c r="AC15" i="8"/>
  <c r="AC14" i="8"/>
  <c r="AC13" i="8"/>
  <c r="AC12" i="8"/>
  <c r="AC11" i="8"/>
  <c r="AC10" i="8"/>
  <c r="AC9" i="8"/>
  <c r="AC8" i="8"/>
  <c r="AC7" i="8"/>
  <c r="AC6" i="8"/>
  <c r="AC5" i="8"/>
  <c r="AC4" i="8"/>
  <c r="AC3" i="8"/>
  <c r="Z18" i="8"/>
  <c r="Z17" i="8"/>
  <c r="Z16" i="8"/>
  <c r="Z15" i="8"/>
  <c r="Z14" i="8"/>
  <c r="Z13" i="8"/>
  <c r="Z12" i="8"/>
  <c r="Z11" i="8"/>
  <c r="Z10" i="8"/>
  <c r="Z9" i="8"/>
  <c r="Z8" i="8"/>
  <c r="Z7" i="8"/>
  <c r="Z6" i="8"/>
  <c r="Z5" i="8"/>
  <c r="Z4" i="8"/>
  <c r="Z3" i="8"/>
  <c r="W18" i="8"/>
  <c r="W17" i="8"/>
  <c r="W16" i="8"/>
  <c r="W15" i="8"/>
  <c r="W14" i="8"/>
  <c r="W13" i="8"/>
  <c r="W12" i="8"/>
  <c r="W11" i="8"/>
  <c r="W10" i="8"/>
  <c r="W9" i="8"/>
  <c r="W8" i="8"/>
  <c r="W7" i="8"/>
  <c r="W6" i="8"/>
  <c r="W5" i="8"/>
  <c r="W4" i="8"/>
  <c r="W3" i="8"/>
  <c r="T18" i="8"/>
  <c r="T17" i="8"/>
  <c r="T16" i="8"/>
  <c r="T15" i="8"/>
  <c r="T14" i="8"/>
  <c r="T13" i="8"/>
  <c r="T12" i="8"/>
  <c r="T11" i="8"/>
  <c r="T10" i="8"/>
  <c r="T9" i="8"/>
  <c r="T8" i="8"/>
  <c r="T7" i="8"/>
  <c r="T6" i="8"/>
  <c r="T5" i="8"/>
  <c r="T4" i="8"/>
  <c r="T3" i="8"/>
  <c r="Q18" i="8"/>
  <c r="Q17" i="8"/>
  <c r="Q16" i="8"/>
  <c r="Q15" i="8"/>
  <c r="Q14" i="8"/>
  <c r="Q13" i="8"/>
  <c r="Q12" i="8"/>
  <c r="Q11" i="8"/>
  <c r="Q10" i="8"/>
  <c r="Q9" i="8"/>
  <c r="Q8" i="8"/>
  <c r="Q7" i="8"/>
  <c r="Q6" i="8"/>
  <c r="Q5" i="8"/>
  <c r="Q4" i="8"/>
  <c r="Q3" i="8"/>
  <c r="N3" i="8"/>
  <c r="K18" i="8"/>
  <c r="K17" i="8"/>
  <c r="K16" i="8"/>
  <c r="K15" i="8"/>
  <c r="K14" i="8"/>
  <c r="K13" i="8"/>
  <c r="K12" i="8"/>
  <c r="K11" i="8"/>
  <c r="K10" i="8"/>
  <c r="K9" i="8"/>
  <c r="K8" i="8"/>
  <c r="K7" i="8"/>
  <c r="K6" i="8"/>
  <c r="K5" i="8"/>
  <c r="K4" i="8"/>
  <c r="K3" i="8"/>
  <c r="H3" i="8"/>
  <c r="E18" i="8"/>
  <c r="E17" i="8"/>
  <c r="E16" i="8"/>
  <c r="E15" i="8"/>
  <c r="E14" i="8"/>
  <c r="E13" i="8"/>
  <c r="E12" i="8"/>
  <c r="E11" i="8"/>
  <c r="E10" i="8"/>
  <c r="E9" i="8"/>
  <c r="E8" i="8"/>
  <c r="E7" i="8"/>
  <c r="E6" i="8"/>
  <c r="E5" i="8"/>
  <c r="E4" i="8"/>
  <c r="E3" i="8"/>
  <c r="B7" i="8"/>
  <c r="B8" i="8"/>
  <c r="B9" i="8"/>
  <c r="B10" i="8"/>
  <c r="B11" i="8"/>
  <c r="B12" i="8"/>
  <c r="B13" i="8"/>
  <c r="B14" i="8"/>
  <c r="B15" i="8"/>
  <c r="B16" i="8"/>
  <c r="B17" i="8"/>
  <c r="B18" i="8"/>
  <c r="B3" i="8"/>
  <c r="B20" i="8" s="1"/>
  <c r="B4" i="8"/>
  <c r="B5" i="8"/>
  <c r="B6" i="8"/>
  <c r="D64" i="7" l="1"/>
  <c r="G55" i="7"/>
  <c r="E20" i="8"/>
  <c r="AF20" i="8"/>
  <c r="AL20" i="8"/>
  <c r="AI20" i="8"/>
  <c r="AC20" i="8"/>
  <c r="Z20" i="8"/>
  <c r="W20" i="8"/>
  <c r="T20" i="8"/>
  <c r="Q20" i="8"/>
  <c r="N20" i="8"/>
  <c r="K20" i="8"/>
  <c r="H20" i="8"/>
  <c r="B21" i="8" l="1"/>
  <c r="E64" i="7"/>
  <c r="C64" i="7" l="1"/>
  <c r="G64" i="7"/>
  <c r="G68" i="7" s="1"/>
  <c r="G67" i="7" l="1"/>
  <c r="E65" i="7"/>
  <c r="G66" i="7"/>
  <c r="E68" i="7"/>
  <c r="G69" i="7" l="1"/>
  <c r="E69" i="7"/>
</calcChain>
</file>

<file path=xl/sharedStrings.xml><?xml version="1.0" encoding="utf-8"?>
<sst xmlns="http://schemas.openxmlformats.org/spreadsheetml/2006/main" count="26504" uniqueCount="3521">
  <si>
    <t>ITEM ID</t>
  </si>
  <si>
    <t>PART</t>
  </si>
  <si>
    <t>DESCRIPTION</t>
  </si>
  <si>
    <t>SUPPLIER NOTES</t>
  </si>
  <si>
    <t>DETECTOR_ROLE</t>
  </si>
  <si>
    <t>FUNCTIONAL_PART</t>
  </si>
  <si>
    <t>CLOSING NOTES</t>
  </si>
  <si>
    <t>PHL-40712</t>
  </si>
  <si>
    <t>Others</t>
  </si>
  <si>
    <t>Reuniones de socialización de cierre de la etapa constructiva en Usiacurí y Sabanalarga, con autoridades locales, comunidades del AI, propietarios vecinos y propietarios de los predios donde se realiza la intervención.| en cumplimiento de: ANEXO W1 - OBLIGACIONES DE LICENCIA AMBIENTAL SOSTENIBILIDAD</t>
  </si>
  <si>
    <t>Sustainability Manager</t>
  </si>
  <si>
    <t>OP</t>
  </si>
  <si>
    <t>PHL-40713</t>
  </si>
  <si>
    <t>Visita guiada de cierre con actores clave (autoridades y comunidad) para validar el área intervenida y confirmar el 100% de condiciones finales del proyecto.| en cumplimiento de: ANEXO W1 - OBLIGACIONES DE LICENCIA AMBIENTAL SOSTENIBILIDAD</t>
  </si>
  <si>
    <t>PHL-40714</t>
  </si>
  <si>
    <t>Cierre del 100% de las PQRSDF (Actualmente se tienen 6 en total: 5 en gestión y 1 abierta). Sin embargo, se deben atender todas las que se generen en la posteridad hasta el cierre total del proyecto. | en cumplimiento de: ANEXO W1 - OBLIGACIONES DE LICENCIA AMBIENTAL SOSTENIBILIDAD</t>
  </si>
  <si>
    <t>PHL-40715</t>
  </si>
  <si>
    <t>Ejecución de 1 recorrido final de verificación de infraestructura vial con autoridades y comunidad de Isabel López, levantando actas y garantizando la ejecución del 100% de las reparaciones atribuibles al proyecto  en la vía Isabel López - Usiacurí. | en cumplimiento de: ANEXO W1 - OBLIGACIONES DE LICENCIA AMBIENTAL SOSTENIBILIDAD</t>
  </si>
  <si>
    <t>PHL-40716</t>
  </si>
  <si>
    <t>Cierre de 217 actas de vecindad (207 viviendas aferentes a vía Isabel López - Usiacurí, 5 correspondientes a predios vecinos y 5 relacionadas con infraestructura comunitaria) asegurando documentación completa, legibilidad y entrega de copias a los titulares.| en cumplimiento de: ANEXO W1 - OBLIGACIONES DE LICENCIA AMBIENTAL SOSTENIBILIDAD</t>
  </si>
  <si>
    <t>PHL-40717</t>
  </si>
  <si>
    <t>Gestionar el cierre del punto de atención a la comunidad, incluyendo la entrega de soportes finales de operación y la obtención del paz y salvo correspondiente (100%) que certifique la finalización adecuada del servicio.| en cumplimiento de: ANEXO W1 - OBLIGACIONES DE LICENCIA AMBIENTAL SOSTENIBILIDAD</t>
  </si>
  <si>
    <t>PHL-40718</t>
  </si>
  <si>
    <t>Informe final de la implementación del PMT y cierre con autoridades competentes (esto incluye el retiro del 100% de los elementos de señalización y control de tránsito implementados durante el proyecto).| en cumplimiento de: ANEXO W1 - OBLIGACIONES DE LICENCIA AMBIENTAL SOSTENIBILIDAD</t>
  </si>
  <si>
    <t>PHL-40719</t>
  </si>
  <si>
    <t>Entrega de 2 tanques de almacenamiento de agua a comunidad priorizada en el marco de la estrategia de sitio de construcción sostenible.| en cumplimiento de: ANEXO H y BoQ SOSTENIBILIDAD</t>
  </si>
  <si>
    <t>PHL-40720</t>
  </si>
  <si>
    <t>Entrega 2 desfibriladores externos automáticos (DEA) y realizar la capacitación básica en primeros auxilios a los beneficiarios. | en cumplimiento de: ANEXO H y BoQ SOSTENIBILIDAD</t>
  </si>
  <si>
    <t>PHL-40721</t>
  </si>
  <si>
    <t>Soportes de ejecución de las actividades de Sitio de Construcción Sostenible establecidas en BoQ y en propuesta aprobada. | en cumplimiento de: ANEXO H y BoQ SOSTENIBILIDAD</t>
  </si>
  <si>
    <t>PHL-40722</t>
  </si>
  <si>
    <t>Entregar 1 dossier social final que incluya el 100% de soportes correspondientes. | en cumplimiento de: ANEXO H SOSTENIBILIDAD</t>
  </si>
  <si>
    <t>PHL-40723</t>
  </si>
  <si>
    <t>Realizar reunión final de Comité de Empleo y Seguimiento, comunicando formalmente la finalización del 100% de las actividades constructivas y el cierre de la vinculación laboral asociada al proyecto.| en cumplimiento de: ANEXO H SOSTENIBILIDAD</t>
  </si>
  <si>
    <t>PHL-40724</t>
  </si>
  <si>
    <t>Entrega de bases de datos completas (100%) de personal contratado y bienes &amp; servicios asociados al proyecto hasta el cierre de las actividades constructivas.| en cumplimiento de: ANEXO H SOSTENIBILIDAD</t>
  </si>
  <si>
    <t>PHL-40725</t>
  </si>
  <si>
    <t>Actualización del record book (formulario de relacionamiento) con las actividades de cierre de la etapa constructiva.| en cumplimiento de: ANEXO H SOSTENIBILIDAD</t>
  </si>
  <si>
    <t>PHL-40726</t>
  </si>
  <si>
    <t>Paz y salvo por concepto de adquisición de todo tipo de servicios que se dieron en ocasión de su presencia y la de sus contratistas en el sector.| en cumplimiento de: ANEXO H SOSTENIBILIDAD</t>
  </si>
  <si>
    <t>PHL-40191</t>
  </si>
  <si>
    <t>PV Tracker system</t>
  </si>
  <si>
    <t>cambio  de 35 modulos dañados en sc34, SI.34.01 STR 12 md1
SI.34.02 STR 11 md1
SI.34.05 STR 13 md1
SI.34.08 STR 12 md1
SI.34.12 STR 09 md1
SI.34.17 STR 12 md1
SI.34.19 STR 04,09,10 md3
SI.34.20 STR 17 md1
SI.34.22 STR 04 md1
SI.34.06 STR 09 md1
SI.34.06 STR 14 md1
SI.34.09 STR 15 md1
SI.34.07 STR 10 md1
SI.34.11 STR 04 md1
SI.34.11 STR 19 md1
SI.34.22 STR 07 md1
SI.34.19 STR 16 md3
SI.34.19 STR 05 md1
SI.34.19 STR 08 md1
SI.34.19 STR 06 md1
SI.34.18 STR 16 md1
SI.34.18 STR 13 md1
SI.34.18 STR 01 md1
SI.34.17 STR 06 md1
SI.34.17 STR 16 md1
SI.34.04 STR 14 md1
SI.34.03 STR 03 md1
SI.34.03 STR 09 md2
SI.34.02 STR 13 md1
SI.34.02 STR 06 md1</t>
  </si>
  <si>
    <t>O&amp;M</t>
  </si>
  <si>
    <t>2026-05-26</t>
  </si>
  <si>
    <t>2026-07-30</t>
  </si>
  <si>
    <t>PHL-40192</t>
  </si>
  <si>
    <t>Fiber optic</t>
  </si>
  <si>
    <t>para el sc24 corregir sugecion de  cajas de fibra óptica para anillos de comunicación, actualmente pegadas con cinta doble cara</t>
  </si>
  <si>
    <t>Commissioning Manager</t>
  </si>
  <si>
    <t>PHL-40193</t>
  </si>
  <si>
    <t>para el sc25 corregir sugecion de  cajas de fibra óptica para anillos de comunicación, actualmente pegadas con cinta doble cara</t>
  </si>
  <si>
    <t>PHL-40194</t>
  </si>
  <si>
    <t>para el sc26 corregir sugecion de  cajas de fibra óptica para anillos de comunicación, actualmente pegadas con cinta doble cara</t>
  </si>
  <si>
    <t>PHL-40195</t>
  </si>
  <si>
    <t>para el sc27 corregir sugecion de  cajas de fibra óptica para anillos de comunicación, actualmente pegadas con cinta doble cara</t>
  </si>
  <si>
    <t>PHL-40196</t>
  </si>
  <si>
    <t>para el sc28 corregir sugecion de  cajas de fibra óptica para anillos de comunicación, actualmente pegadas con cinta doble cara</t>
  </si>
  <si>
    <t>PHL-40197</t>
  </si>
  <si>
    <t>para el sc29 corregir sugecion de  cajas de fibra óptica para anillos de comunicación, actualmente pegadas con cinta doble cara</t>
  </si>
  <si>
    <t>PHL-40198</t>
  </si>
  <si>
    <t>para el sc30 corregir sugecion de  cajas de fibra óptica para anillos de comunicación, actualmente pegadas con cinta doble cara</t>
  </si>
  <si>
    <t>PHL-40199</t>
  </si>
  <si>
    <t>para el sc31 corregir sugecion de  cajas de fibra óptica para anillos de comunicación, actualmente pegadas con cinta doble cara</t>
  </si>
  <si>
    <t>PHL-40200</t>
  </si>
  <si>
    <t>para el sc32 corregir sugecion de  cajas de fibra óptica para anillos de comunicación, actualmente pegadas con cinta doble cara</t>
  </si>
  <si>
    <t>PHL-40201</t>
  </si>
  <si>
    <t>para el sc33 corregir sugecion de  cajas de fibra óptica para anillos de comunicación, actualmente pegadas con cinta doble cara</t>
  </si>
  <si>
    <t>PHL-40202</t>
  </si>
  <si>
    <t>para el sc34 corregir sugecion de  cajas de fibra óptica para anillos de comunicación, actualmente pegadas con cinta doble cara</t>
  </si>
  <si>
    <t>PHL-40178</t>
  </si>
  <si>
    <t>SI.33.01 Se evidencia vandalizado.
Fueron cortadas todas las string de llegada al inversor.</t>
  </si>
  <si>
    <t>2026-07-23</t>
  </si>
  <si>
    <t>se confirma cierre</t>
  </si>
  <si>
    <t>CL</t>
  </si>
  <si>
    <t>PHL-40179</t>
  </si>
  <si>
    <t>SI.33.02 vandalizado todas las strings de llegada al inversor están cortadas.</t>
  </si>
  <si>
    <t>se confrima cierre</t>
  </si>
  <si>
    <t>se cofnirma cierre</t>
  </si>
  <si>
    <t>PHL-41023</t>
  </si>
  <si>
    <t>evaluacion, aprobacion y entrega de Curvas I-V en 15 subcampos del parque zona norte</t>
  </si>
  <si>
    <t>2026-07-16</t>
  </si>
  <si>
    <t>PHL-41024</t>
  </si>
  <si>
    <t>realizar y entregar informes de  Termografías con dron en 15 subcampos del norte</t>
  </si>
  <si>
    <t>PHL-41025</t>
  </si>
  <si>
    <t>Instalación Terminal Latiguillo SPT Antena NCU. Suc 32:</t>
  </si>
  <si>
    <t>Electrical Discipline</t>
  </si>
  <si>
    <t>PHL-41026</t>
  </si>
  <si>
    <t>Conexionado, Toque y Testigo Terminal Latiguillo SPT  Antena NCU. Suc 32:</t>
  </si>
  <si>
    <t>PHL-41027</t>
  </si>
  <si>
    <t>Retirar Residuos de Pegamento Por Instalación de Stickers Y Nomenclatura CT. En sc33 punto electrico</t>
  </si>
  <si>
    <t>PHL-41028</t>
  </si>
  <si>
    <t>- Cambiar Tornillo de Conexión Latiguillo SPT CT Lado BT (Presenta Oxidación). Sc30 transformer cabin</t>
  </si>
  <si>
    <t>PHL-41029</t>
  </si>
  <si>
    <t>- ⁠Torque y Testigo Conexión Latiguillo SPT Lado BT CT 30.</t>
  </si>
  <si>
    <t>PHL-41030</t>
  </si>
  <si>
    <t>- Instalación Platina de Sujeción CT 30.</t>
  </si>
  <si>
    <t>PHL-41031</t>
  </si>
  <si>
    <t>- ⁠Aplicación de Espuma Poliuretano y Multiseal Afloramiento Banco de Ductos Potencia y FO CT30.</t>
  </si>
  <si>
    <t>PHL-41032</t>
  </si>
  <si>
    <t>PL Suc 29. - Instalación Platina de Sujeción CT e instalación Tornillos Platina de Sujeción CT 29.</t>
  </si>
  <si>
    <t>PHL-40180</t>
  </si>
  <si>
    <t>Earthworks</t>
  </si>
  <si>
    <t>sc33_t_1</t>
  </si>
  <si>
    <t>se requiere retiro de monticulos de madera y/o relleno qué se interponer al movimiento de los traker 019 y 074 en sc33</t>
  </si>
  <si>
    <t>ProjectMember</t>
  </si>
  <si>
    <t>PHL-40694</t>
  </si>
  <si>
    <t>Correccion de oxidacion en bordes de chanel de soporte de inversores (General) ID26_SC23</t>
  </si>
  <si>
    <t>Mechanical Discipline</t>
  </si>
  <si>
    <t>PHL-40695</t>
  </si>
  <si>
    <t>Pendiente recortar sobrante de amarre plástico en (General) ID29_SC23</t>
  </si>
  <si>
    <t>PHL-40696</t>
  </si>
  <si>
    <t>Se requiere aplicar grouting a la base del mástil de la NCU. 23 ID33_SC23</t>
  </si>
  <si>
    <t>Civil Discipline</t>
  </si>
  <si>
    <t>PHL-40697</t>
  </si>
  <si>
    <t>Pendiente protección de los hombros de la cuneta con geotextil y revegetalizacion. ID34_SC23</t>
  </si>
  <si>
    <t>PHL-40698</t>
  </si>
  <si>
    <t>Pendiente instalación de arquetas inspección SPT de alrededor de Cabina CT23. ID35_SC23</t>
  </si>
  <si>
    <t>PHL-40699</t>
  </si>
  <si>
    <t>Se requiere Culminar los trabajos de cimentación en cabina, según ingenieria aprobada. ID36_SC23</t>
  </si>
  <si>
    <t>PHL-40700</t>
  </si>
  <si>
    <t>Pendiente limpieza y retiro de lodos dentro del tanque de aceite ID37_SC23</t>
  </si>
  <si>
    <t>PHL-40701</t>
  </si>
  <si>
    <t>Pendiente instalación de tapa y cuello de ganso del tanque de aceite. Además verificar limpieza y lodos por dentro. ID38_SC23</t>
  </si>
  <si>
    <t>PHL-40702</t>
  </si>
  <si>
    <t>Pendiente culminar la vía de acceso a la Cabina (CT) según ingenieria aprobada.  ID39_SC23</t>
  </si>
  <si>
    <t>PHL-40704</t>
  </si>
  <si>
    <t>Se requiere realizar la recolección y disposición de los residuos  (Bolsas, tuberías, madera...) que se encuentran acopiados productos de la limpieza del SC, adicionalmente reforzar la recolección de residuos de menor tamaño dispersos en todo el subcampo (zunchos, accesorios de tornilleria-tapas, amarres, plásticos), se resalta que simultánea a la caminata, la cuadrilla ambiental realizó recolección de residuos dispersos de menor tamaño. ID41_SC23</t>
  </si>
  <si>
    <t>Environmental Discipline</t>
  </si>
  <si>
    <t>PHL-40705</t>
  </si>
  <si>
    <t>Pendiente gestión de materiales sobrantes de construcción, retiro y gestión de sobre tamaños. ID42_SC23</t>
  </si>
  <si>
    <t>PHL-40706</t>
  </si>
  <si>
    <t>Terminar limpieza de cunetas (retiro de sedimentos) ID46_SC23</t>
  </si>
  <si>
    <t>PHL-40707</t>
  </si>
  <si>
    <t>Pendiente retiro de Material de RCD en todo el Subcampo, incluyendo las áreas al rededor de la Cabina 23 ID49_SC23</t>
  </si>
  <si>
    <t>PHL-40708</t>
  </si>
  <si>
    <t>Se debe retirar carpas, baños y dejar el área limpia y libre de residuos ID50_SC23</t>
  </si>
  <si>
    <t>se confirma cierre desde el area ambiental</t>
  </si>
  <si>
    <t>PHL-40709</t>
  </si>
  <si>
    <t>Pendiente instalacion de multiseal en llegada Cable baja Tensión (BT) de inversores (General) ID51_SC23</t>
  </si>
  <si>
    <t>PHL-40710</t>
  </si>
  <si>
    <t>Pendiente aplicación de espuma Multiseal en ductos cable solar llegada a inversores (General) ID52_SC23</t>
  </si>
  <si>
    <t>PHL-40711</t>
  </si>
  <si>
    <t>Penddiente en el Inversor 22 arreglar detalles de pintura en la base, punto de oxidación, limpieza, cubrir orificios en la base 
y arreglar esquina del techo afectada. ID53_SC23</t>
  </si>
  <si>
    <t>PHL-40552</t>
  </si>
  <si>
    <t>Aplicación de Espuma Poliuretano Ductos Saltos de Hincas (General) ID26_SC20</t>
  </si>
  <si>
    <t>PHL-40553</t>
  </si>
  <si>
    <t>Realizar instalación de tapones pendientes en MC4 (General) ID28_SC20</t>
  </si>
  <si>
    <t>PHL-40554</t>
  </si>
  <si>
    <t>Retiro de material sobrante de excavación  ID29_SC20</t>
  </si>
  <si>
    <t>PHL-40555</t>
  </si>
  <si>
    <t>Realizar relleno Excavación Abierta Cobre Expuesto TR 049 ID31_SC20</t>
  </si>
  <si>
    <t>PHL-40556</t>
  </si>
  <si>
    <t>Realizar conexionado del String 20(-) en los inversores 02 y 03. ID32_SC20</t>
  </si>
  <si>
    <t>PHL-40557</t>
  </si>
  <si>
    <t>Falta realizar limpieza y aplicación de  pintura en hincas (general) ID33_SC20</t>
  </si>
  <si>
    <t>PHL-40558</t>
  </si>
  <si>
    <t>Realizar el Sellado de tubo soporte del sensor Snow ID34_SC20</t>
  </si>
  <si>
    <t>PHL-40559</t>
  </si>
  <si>
    <t>Falta Multiseal en NCU  ID36_SC20</t>
  </si>
  <si>
    <t>PHL-40560</t>
  </si>
  <si>
    <t>Falta instalar cuarto amarre plástico en ducto de cable solar en general y retirar sobrante de amarre plástico en general. ID37_SC20</t>
  </si>
  <si>
    <t>2026-07-28</t>
  </si>
  <si>
    <t>-</t>
  </si>
  <si>
    <t>PHL-40561</t>
  </si>
  <si>
    <t>Falta TAG NCU ID38_SC20</t>
  </si>
  <si>
    <t>PHL-40703</t>
  </si>
  <si>
    <t>Pendiente base de concreto (Pollito) de ductos de cable en SACU de la Cabina 23 ID40_SC23</t>
  </si>
  <si>
    <t>PHL-40562</t>
  </si>
  <si>
    <t>Adecuar y mejorar afloramientos en ductos HDPE, se encuentran tubos mal enterrados (General) ID39_SC20</t>
  </si>
  <si>
    <t>PHL-40563</t>
  </si>
  <si>
    <t>Realizar limpieza de paneles anverso y reverso (General) ID40_SC20</t>
  </si>
  <si>
    <t>PHL-40564</t>
  </si>
  <si>
    <t>realizar retiro de cinta de marcación provisional (General) ID43_SC20</t>
  </si>
  <si>
    <t>PHL-40565</t>
  </si>
  <si>
    <t>Liberación de Torque SPT Inversores (General) ID44_SC20</t>
  </si>
  <si>
    <t>PHL-40566</t>
  </si>
  <si>
    <t>Se debe enterrar adecuadamente ductería de cable solar sobre Tracker 064 ID45_SC20</t>
  </si>
  <si>
    <t>PHL-40567</t>
  </si>
  <si>
    <t>Instalación Marquilla Riesgo Eléctrico Inversores (General) ID46_SC20</t>
  </si>
  <si>
    <t>PHL-40568</t>
  </si>
  <si>
    <t>Sellado de ducto de la tierra Tracker en el inversor 02 ID47_SC20</t>
  </si>
  <si>
    <t>PHL-40569</t>
  </si>
  <si>
    <t>Realizar la limpieza de ejes con alta suciedad y barro (General) ID48_SC20</t>
  </si>
  <si>
    <t>PHL-40570</t>
  </si>
  <si>
    <t>Figurar cableado solar  en Tracker 068 mesa asociada al inversor 16. ID49_SC20</t>
  </si>
  <si>
    <t>PHL-40571</t>
  </si>
  <si>
    <t>Profundizar tierra en el Tracker MRQ043. ID50_SC20</t>
  </si>
  <si>
    <t>PHL-40572</t>
  </si>
  <si>
    <t>Recortar Puntas sonbrantes de las bridas (General) ID52_SC20</t>
  </si>
  <si>
    <t>PHL-40573</t>
  </si>
  <si>
    <t>Conformación del terreno alrededor de la NCU ID53_SC20</t>
  </si>
  <si>
    <t>PHL-40574</t>
  </si>
  <si>
    <t>Pendiente instalación de registros del Sistema de puesta a tierra perimetral del CT20. ID54_SC20</t>
  </si>
  <si>
    <t>PHL-40575</t>
  </si>
  <si>
    <t>Realizar la instalación de diagramas unifilares en panel A y B  (General) ID55_SC20</t>
  </si>
  <si>
    <t>PHL-40576</t>
  </si>
  <si>
    <t>Realizar la instalación de señalización vertical del SC (General) ID56_SC20</t>
  </si>
  <si>
    <t>PHL-40577</t>
  </si>
  <si>
    <t>Torque en tornillos de anclaje de CT ID57_SC20</t>
  </si>
  <si>
    <t>PHL-40578</t>
  </si>
  <si>
    <t>Gestión de residuos de aprovechamiento forestal en el SC y en las zonas donde no hay implantación, conforme a lo expuesto en la visitas de seguimiento ambiental. ID59_SC20</t>
  </si>
  <si>
    <t>PHL-40579</t>
  </si>
  <si>
    <t>Construcción de terraplén alrededor de la cabina ID61_SC20</t>
  </si>
  <si>
    <t>PHL-40580</t>
  </si>
  <si>
    <t>Instalación de Tapa Eje Tracker TR 055 ID63_SC20</t>
  </si>
  <si>
    <t>PHL-40581</t>
  </si>
  <si>
    <t>Falta fusión conexionado de comunicación, potencia y sellado de ingreso de cable tierra en NCU ID64_SC20</t>
  </si>
  <si>
    <t>PHL-40582</t>
  </si>
  <si>
    <t>Pendiente llegada de cableado de fibra y fuerza a tablero de comunicaciones. Además de base de concreto. ID69_SC20</t>
  </si>
  <si>
    <t>PHL-40583</t>
  </si>
  <si>
    <t>Realizar orden y aseo al rededor del CT 20 ID70_SC20</t>
  </si>
  <si>
    <t>PHL-40584</t>
  </si>
  <si>
    <t>Gestión de materiales sobrantes de excavación y construcción. CT20 ID71_SC20</t>
  </si>
  <si>
    <t>PHL-40585</t>
  </si>
  <si>
    <t>Realizar la rocería  en el SC ID75_SC20</t>
  </si>
  <si>
    <t>Project HSE&amp;Q support</t>
  </si>
  <si>
    <t>PHL-40586</t>
  </si>
  <si>
    <t>Realizar la instalación de señalización riesgo eléctrico en el CT y el SC. ID76_SC20</t>
  </si>
  <si>
    <t>PHL-40587</t>
  </si>
  <si>
    <t>Pendiente Seriado y Peinado de Panel en TR 070 y TR 071 ID79_SC20</t>
  </si>
  <si>
    <t>PHL-40588</t>
  </si>
  <si>
    <t>Pendiente limpieza y pintura en hinca y otros componentes Del trackers (General) ID2_SC21</t>
  </si>
  <si>
    <t>PHL-40589</t>
  </si>
  <si>
    <t>Recorte de excesos Espuma Poliuretano Ductos Salto Hincas (General) ID3_SC21</t>
  </si>
  <si>
    <t>PHL-40590</t>
  </si>
  <si>
    <t>Recorte Excesos Espuma Poliuretano y Aplicación Multiseal Afloramiento BT Inversores (General) ID4_SC21</t>
  </si>
  <si>
    <t>PHL-40591</t>
  </si>
  <si>
    <t>Pendiente sellado de ducto de cable solar sobre torquetubo (General) ID5_SC21</t>
  </si>
  <si>
    <t>PHL-40592</t>
  </si>
  <si>
    <t>Pendiente Galvanizado de hincas MQR 062 y  MQR 105 ID6_SC21</t>
  </si>
  <si>
    <t>PHL-40593</t>
  </si>
  <si>
    <t>Pendiente limpieza de paneles en ambas caras, marcos y soportes, retiro de carton en soportes 
(General) ID7_SC21</t>
  </si>
  <si>
    <t>PHL-40594</t>
  </si>
  <si>
    <t>Pendiente instalacion de multiseal en llegada a inversor de ductos solares (General) ID8_SC21</t>
  </si>
  <si>
    <t>PHL-40595</t>
  </si>
  <si>
    <t>Pendiente instalacion de tag de identificacion en inversores (General) ID9_SC21</t>
  </si>
  <si>
    <t>PHL-40596</t>
  </si>
  <si>
    <t>Pendiente instalacion de señalizacion de riesgo electrico en inversores ID10_SC21</t>
  </si>
  <si>
    <t>PHL-40597</t>
  </si>
  <si>
    <t>Correccion de oxidaciones en tornillos en riel de soporte de inversores, aplicación de torque y marcacion en tornillos (General) ID11_SC21</t>
  </si>
  <si>
    <t>PHL-40598</t>
  </si>
  <si>
    <t>Pendiente correccion de Hincas bajas MQR 082. ID12_SC21</t>
  </si>
  <si>
    <t>PHL-40599</t>
  </si>
  <si>
    <t>Pendiente ajustar tuercas en paneles y marcacion de testigos de torque (General)
Pendiente la marcación de torqueo soportes de omegas (General) ID14_SC21</t>
  </si>
  <si>
    <t>PHL-40600</t>
  </si>
  <si>
    <t>Pendiente adecuacion de terrreno en todo el Subcampo 21 ID15_SC21</t>
  </si>
  <si>
    <t>PHL-40601</t>
  </si>
  <si>
    <t>Pendiente adecuación de terreno alrededor de Base de los Inversores (General) ID16_SC21</t>
  </si>
  <si>
    <t>PHL-40602</t>
  </si>
  <si>
    <t>Pendiente Terminación estructura metálica de protección (Techo) de inversores externos a Trackers 
(2/13, 2/14, 2/15, 2/16) ID17_SC21</t>
  </si>
  <si>
    <t>PHL-40603</t>
  </si>
  <si>
    <t>Pendiente construcción de la plataforma (Según Ingenieria) y vía de acceso a la Cabina CT. ID18_SC21</t>
  </si>
  <si>
    <t>PHL-40604</t>
  </si>
  <si>
    <t>Pendiente retiro de tacos de madera en soporte de tuberia y conductores (General) ID19_SC21</t>
  </si>
  <si>
    <t>PHL-40605</t>
  </si>
  <si>
    <t>Pendiente aplicar Espuma Poliuretano y Multiseal en Afloramiento de Latiguillo SPT Inversores e Hincas (General) ID21_SC21</t>
  </si>
  <si>
    <t>PHL-40606</t>
  </si>
  <si>
    <t>Falta Instalar tapa del torquetubo del tracker 32 ID22_SC21</t>
  </si>
  <si>
    <t>PHL-40607</t>
  </si>
  <si>
    <t>Pendiente corte sobrante de amarre plástico (General) ID23_SC21</t>
  </si>
  <si>
    <t>PHL-40608</t>
  </si>
  <si>
    <t>Pendiente instalar 4 amarres de sujecion en bajantes de tubo solar en hincas (General)  ID24_SC21</t>
  </si>
  <si>
    <t>cerrado se confirma cierre</t>
  </si>
  <si>
    <t>PHL-40609</t>
  </si>
  <si>
    <t>Falta respetar la profundidad del Latiguillo SPT y Ductos Solares, se evidencia muy expuestos (General) ID25_SC21</t>
  </si>
  <si>
    <t>PHL-40610</t>
  </si>
  <si>
    <t>Pendiente culminar marcación de trackers (General) ID26_SC21</t>
  </si>
  <si>
    <t>PHL-40611</t>
  </si>
  <si>
    <t>Pendientre Limpieza Cable Solar TR 070 ID27_SC21</t>
  </si>
  <si>
    <t>PHL-40612</t>
  </si>
  <si>
    <t>Se requiere correccion de altura en Actuador bajo 107, muy bajo con respecto al terreno ID28_SC21</t>
  </si>
  <si>
    <t>PHL-40613</t>
  </si>
  <si>
    <t>Pendiente limpieza de inversores (General) ID30_SC21</t>
  </si>
  <si>
    <t>PHL-40614</t>
  </si>
  <si>
    <t>Pendiente retiro de pintura en carcaza de Inversor String 07 ID31_SC21</t>
  </si>
  <si>
    <t>PHL-40615</t>
  </si>
  <si>
    <t>Corregir sello en entrada de cableado BT en inversores (General) ID33_SC21</t>
  </si>
  <si>
    <t>PHL-40616</t>
  </si>
  <si>
    <t>Limpieza Terminal MC4 Seriado Panel Solar TR 046 ID34_SC21</t>
  </si>
  <si>
    <t>PHL-40617</t>
  </si>
  <si>
    <t>Falta demarcación de seguridad en ducto solar con protección amarilla en Tracker 102 ID35_SC21</t>
  </si>
  <si>
    <t>PHL-40618</t>
  </si>
  <si>
    <t>Corregir apriete de SPT en hinca de todos inversores - se sugiere adicionar arandela entre tornillo y 
borna - condicion general del subcampo ID36_SC21</t>
  </si>
  <si>
    <t>PHL-40619</t>
  </si>
  <si>
    <t>finalizar actividades de Excavaciones Abiertas de CCTV Vallado ID37_SC21</t>
  </si>
  <si>
    <t>PHL-40620</t>
  </si>
  <si>
    <t>Corregir inclinacion de luminarias provisonales del SC21 ID38_SC21</t>
  </si>
  <si>
    <t>PHL-40621</t>
  </si>
  <si>
    <t>Falta demarcación de seguridad en ducto solar con protección amarilla en Tracker 70 ID39_SC21</t>
  </si>
  <si>
    <t>LV/MV Cabin Others</t>
  </si>
  <si>
    <t>Site Manager</t>
  </si>
  <si>
    <t>2026-06-24</t>
  </si>
  <si>
    <t>2026-07-29</t>
  </si>
  <si>
    <t>SE CONFIRMA CIERRE</t>
  </si>
  <si>
    <t>PHL-40622</t>
  </si>
  <si>
    <t>Pendiente instalación, Conexionado y Marquillado Cable de alimentación en NCU17 ID40_SC21</t>
  </si>
  <si>
    <t>PHL-40623</t>
  </si>
  <si>
    <t>Pendiente Instalación, Conexión y Marquillado Cable FO. En NCU17 ID41_SC21</t>
  </si>
  <si>
    <t>PHL-40624</t>
  </si>
  <si>
    <t>Pendiente Fusión FO en NCU17 ID42_SC21</t>
  </si>
  <si>
    <t>PHL-40625</t>
  </si>
  <si>
    <t>Pendiente aplicación de Espuma Poliuretano y Multiseal en Banco de Ductos de Cable de alimentación
 y FO NCU17 ID43_SC21</t>
  </si>
  <si>
    <t>PHL-40626</t>
  </si>
  <si>
    <t>Pendiente finalizacion de sistema comunicación en Cabina CT21 ID45_SC21</t>
  </si>
  <si>
    <t>PHL-40627</t>
  </si>
  <si>
    <t>Se requiere aplicación de Masilla al Ingreso Triadas MT Celda G1. ID46_SC21</t>
  </si>
  <si>
    <t>PHL-40628</t>
  </si>
  <si>
    <t>Pendiente instalación Cajas de Inspección del SPT de la Cabina CT 21. ID47_SC21</t>
  </si>
  <si>
    <t>PHL-40629</t>
  </si>
  <si>
    <t>Pendiente demarcar Torqueo y recortar tornillos largos de los pernos en los anclajes de la CT. ID48_SC21</t>
  </si>
  <si>
    <t>PHL-40630</t>
  </si>
  <si>
    <t>Pendiente Instalación de "Pollo de Concreto" en Banco de Ductos del Afloramiento de la NCU, Estación METEO y CCTV ID49_SC21</t>
  </si>
  <si>
    <t>PHL-40631</t>
  </si>
  <si>
    <t>Se requiere Instalación de Espiral para Cables Expuestos al Ingreso/Salida del SACU y Tab Comunicaciones ID50_SC21</t>
  </si>
  <si>
    <t>PHL-40632</t>
  </si>
  <si>
    <t>Pendiente aplicación de Espuma Poliuretano y Multiseal Afloramiento Banco de Ductos CCTV, NCU y CCTV ID51_SC21</t>
  </si>
  <si>
    <t>PHL-40633</t>
  </si>
  <si>
    <t>Pendiente conexionado y Marquillado Tab SSAA ID52_SC21</t>
  </si>
  <si>
    <t>PHL-40634</t>
  </si>
  <si>
    <t>Pendiente retiro y limpieza de puntos de sombra y acopios de materiales y equipos, cuando se finalicen las actividades.  ID53_SC21</t>
  </si>
  <si>
    <t>PHL-40635</t>
  </si>
  <si>
    <t>Realizar la recolección y disposición de los residuos de menor tamaño que se encuentran dispersos en el SC (madera, plásticos, cartón, RCD...) y junto a las bases de los inversores (amarres, plásticos, accesorios, plástico en tubería, espuma, RCD..) ID54_SC21</t>
  </si>
  <si>
    <t>PHL-40636</t>
  </si>
  <si>
    <t>Limpieza de todo material y residuos alrededor de CT, teniendo en cuenta que aún están ejecutando actividades ID55_SC21</t>
  </si>
  <si>
    <t>PHL-40637</t>
  </si>
  <si>
    <t>Retirar material remanente de excavación realizadas en el subcampo 21 (General) ID56_SC21</t>
  </si>
  <si>
    <t>PHL-40638</t>
  </si>
  <si>
    <t>Gestionar los residuos de aprovechamiento forestal en el Subcampo 21 (General) ID57_SC21</t>
  </si>
  <si>
    <t>PHL-40639</t>
  </si>
  <si>
    <t>Limpieza de residuos plásticos en el Subcampo 21 (General) ID58_SC21</t>
  </si>
  <si>
    <t>PHL-40640</t>
  </si>
  <si>
    <t>Falta torque en SPT de hinca SI.21.06 ID59_SC21</t>
  </si>
  <si>
    <t>PHL-40641</t>
  </si>
  <si>
    <t>Falta torque en SPT de hinca SI.21.05 ID60_SC21</t>
  </si>
  <si>
    <t>PHL-40642</t>
  </si>
  <si>
    <t>Pendiente identificación con diagramas unifilares y ubicación de SI en puertas del Panel A y Panel B ID61_SC21</t>
  </si>
  <si>
    <t>PHL-40643</t>
  </si>
  <si>
    <t>Pendiente entrega de Planos Redline de cambios de ruta de cableado solar, BT, MT, F.O, Trackers, Etc. ID62_SC21</t>
  </si>
  <si>
    <t>2026-07-15</t>
  </si>
  <si>
    <t>cerrado se confirma entrega de planos redline</t>
  </si>
  <si>
    <t>PHL-40644</t>
  </si>
  <si>
    <t>Pendiente roceria general en el Subcampo 21  ID63_SC21</t>
  </si>
  <si>
    <t>PHL-40645</t>
  </si>
  <si>
    <t>Pendiente instalación de señalización Vertical en el Subcampo 21 (General) ID64_SC21</t>
  </si>
  <si>
    <t>PHL-40646</t>
  </si>
  <si>
    <t>Pendiente instalación Sensor de Inundabilidad Antena NCU 17 Suc 21 ID65_SC21</t>
  </si>
  <si>
    <t>PHL-40647</t>
  </si>
  <si>
    <t>Inversor 18
STR 18 Y 20
Tracker 63 y 64
Módulos fisurados sc21 ID67_SC21</t>
  </si>
  <si>
    <t>PHL-40648</t>
  </si>
  <si>
    <t>Inversor 2
STR 19
Tracker 40
Módulo dañado sc21 ID66_SC21</t>
  </si>
  <si>
    <t>PHL-40649</t>
  </si>
  <si>
    <t>Falta instalar cuarto amarre plástico en ducto de cable solar en general.  (sc22) ID4_SC22</t>
  </si>
  <si>
    <t>PHL-40650</t>
  </si>
  <si>
    <t>Pendiente instalacion de tag de identificacion definitiva de tracker general (sc22) ID7_SC22</t>
  </si>
  <si>
    <t>PHL-40651</t>
  </si>
  <si>
    <t>Realizar Torqueo y marcacion de los soportes de los SI, general (sc22) ID8_SC22</t>
  </si>
  <si>
    <t>PHL-40652</t>
  </si>
  <si>
    <t>Pendiente adecuación de terreno alrededor del terreno de las cimentaciones de inversores General (sc22) ID9_SC22</t>
  </si>
  <si>
    <t>PHL-40653</t>
  </si>
  <si>
    <t>Pendiente sellado de ductos de Cable Solar en paso de hincas general (sc22) ID10_SC22</t>
  </si>
  <si>
    <t>PHL-40654</t>
  </si>
  <si>
    <t>Pendiente instalacion tapas torque tubo entre trackers (sc22) ID11_SC22</t>
  </si>
  <si>
    <t>PHL-40655</t>
  </si>
  <si>
    <t>Se requeire limpieza en hincas, Outer Lever, y torquetubos en general (sc22) ID13_SC22</t>
  </si>
  <si>
    <t>PHL-40656</t>
  </si>
  <si>
    <t>Pendiente limpieza de módulos en ambas caras, soportes y marcos de modulos (sc22) ID17_SC22</t>
  </si>
  <si>
    <t>PHL-40657</t>
  </si>
  <si>
    <t>Adecuar terreno de todo el sc22, retiro de monticulos de tierra, correccion de ahuellamiento, nivelacion de terreno, correccion de carcavas  (sc22) ID18_SC22</t>
  </si>
  <si>
    <t>PHL-40658</t>
  </si>
  <si>
    <t>Sellar espacio entre placa e hinca en SI22 (sc22) ID21_SC22</t>
  </si>
  <si>
    <t>PHL-40659</t>
  </si>
  <si>
    <t>Pendiente la finalizacion de obras de drenajes del sc 22 (sc22) ID23_SC22</t>
  </si>
  <si>
    <t>PHL-40660</t>
  </si>
  <si>
    <t>Pendiente culminar marcacion de torque en estructuras de trackers (sc22) ID24_SC22</t>
  </si>
  <si>
    <t>PHL-40661</t>
  </si>
  <si>
    <t>Reparar fisuras en base de concreto inversor trackers MA0522-MQR031 (sc22) ID26_SC22</t>
  </si>
  <si>
    <t>PHL-40662</t>
  </si>
  <si>
    <t>Corregir altura de Hincas bajas MQR 028. Terreno entre trackers alto, no cumplirá altura
de módulos a 55°. (sc22) ID27_SC22</t>
  </si>
  <si>
    <t>PHL-40663</t>
  </si>
  <si>
    <t>Realizar la recolección y disposición de los residuos (Bolsas, tuberías, madera...) que se encuentran
 acopiados productos de la limpieza del SC, adicionalmente reforzar la recolección de residuos de menor tamaño dispersos en todo el subcampo (zunchos, accesorios de tornilleria-tapas, amarres, plásticos...), retiro de señalizaciones deterioradas (cinta de seguridad, estacas) se resalta que simultánea a la caminata, la cuadrilla ambiental realizó recolección de residuos dispersos de menor tamaño. ID28_SC22</t>
  </si>
  <si>
    <t>PHL-40664</t>
  </si>
  <si>
    <t>Corregir afloramiento de cable de baja tension en hincas, se requiere instalar proteccion (sc22) ID32_SC22</t>
  </si>
  <si>
    <t>PHL-40665</t>
  </si>
  <si>
    <t>Se requeire correccion de Tapa del tanque rota, pendiente limpieza de tanque porque se lleno de lodo e instalación del cuello de ganso y prueba de estanqueidad (sc22) ID34_SC22</t>
  </si>
  <si>
    <t>PHL-40666</t>
  </si>
  <si>
    <t>Pendiente conformación de la plataforma y vía de acceso a la CT. ID36_SC22</t>
  </si>
  <si>
    <t>PHL-40667</t>
  </si>
  <si>
    <t>Se requiere pintar hincas tras desprendimiento de pintura durante limpieza en hincas (General) ID38_SC22</t>
  </si>
  <si>
    <t>PHL-40668</t>
  </si>
  <si>
    <t>Falta caja de inspección de SPT alrededor de la cabina CT22. ID39_SC22</t>
  </si>
  <si>
    <t>PHL-40669</t>
  </si>
  <si>
    <t>Pendiente completar cimentación y adecuacion terreno al rededor NCU ID41_SC22</t>
  </si>
  <si>
    <t>PHL-40670</t>
  </si>
  <si>
    <t>Se requiere sellar entrada de la SPT en base NCU ID42_SC22</t>
  </si>
  <si>
    <t>PHL-40671</t>
  </si>
  <si>
    <t>Pendiente correccion de Pernos con oxidación en chanel de soporte de inversores aplicar galvanizado 
(general) ID43_SC22</t>
  </si>
  <si>
    <t>Quality Assurance Engineer</t>
  </si>
  <si>
    <t>PHL-40672</t>
  </si>
  <si>
    <t>Pendiente instalación de unifilar panel A y B. ID44_SC22</t>
  </si>
  <si>
    <t>PHL-40673</t>
  </si>
  <si>
    <t>En la ACO3 se requiere Limpieza y manejo de sedimentos en el cauce, retiro de los residuos (plásticos, 
remanente de material pétreo, AF, RCD) y elementos usados para delimitar y proteger el área al finalizar las actividades constructivas. ID45_SC22</t>
  </si>
  <si>
    <t>PHL-40674</t>
  </si>
  <si>
    <t>se requeire finalizar la Gestión de residuos de aprovechamiento forestal en el SC y en las zonas donde no hay implantación, conforme a lo expuesto en la visitas de seguimiento ambiental. ID46_SC22</t>
  </si>
  <si>
    <t>PHL-40675</t>
  </si>
  <si>
    <t>Se requiere retirar o Reubicar Puntos de Sombra que interfieren con Giro de Trackers ID47_SC22</t>
  </si>
  <si>
    <t>PHL-40676</t>
  </si>
  <si>
    <t>Pendiente retirar Portabobinas /Balde Retro Excavadora  ID48_SC22</t>
  </si>
  <si>
    <t>PHL-40677</t>
  </si>
  <si>
    <t>Se requeire colocar señalización de Materiales ( Bordillos CT) ID49_SC22</t>
  </si>
  <si>
    <t>PHL-40678</t>
  </si>
  <si>
    <t>Pendiente Realizar orden y aseo al rededor del CT (Recolección y gestión de residuos dispersos), delimitaciones deterioradas (cinta de seguridad y estacas)
- gestión de materiales, herramientas, accesorios de maquinaria
- gestión de materiales sobrantes de excavación y construcción.
                                                                                                                                                                                                                                                                Teniendo en cuenta que aún se adelantan actividades, al finalizar se debe Realizar el retiro de carpas, USP y herramientas de trabajo, garantizando que el área quede libre de residuos. ID50_SC22</t>
  </si>
  <si>
    <t>PHL-40679</t>
  </si>
  <si>
    <t>Pendiente limpieza y retiro de todos los elementos donde se cuenta con puntos de sombra y USP.  ID51_SC22</t>
  </si>
  <si>
    <t>PHL-40680</t>
  </si>
  <si>
    <t>Pendiente Gestión de materiales sobrantes de construcción (pétreo, sobre D50tamaños, placas de protección) ID52_SC22</t>
  </si>
  <si>
    <t>PHL-40681</t>
  </si>
  <si>
    <t>Se requiere gestión de materiales sobrantes de excavación : en el SC y junto al vallado. ID53_SC22</t>
  </si>
  <si>
    <t>PHL-40682</t>
  </si>
  <si>
    <t>Se requiere limpieza y recolección de RCD junto a NCU y vallado, así como en las zapatas de las hinchas con inversores. ID54_SC22</t>
  </si>
  <si>
    <t>PHL-40683</t>
  </si>
  <si>
    <t>reposicion de antenas partidas en TCU ID57_SC22</t>
  </si>
  <si>
    <t>PHL-40532</t>
  </si>
  <si>
    <t>Se requiere realizar la adecuación del terreno al rededor de bases de inversores (General) ID1_SC20</t>
  </si>
  <si>
    <t>PHL-40533</t>
  </si>
  <si>
    <t>Realizar la liberación del Torque en salida BT Inversores (General) ID2_SC20</t>
  </si>
  <si>
    <t>PHL-40534</t>
  </si>
  <si>
    <t>Realizar el retiro de cartón en Marcos de paneles (General) ID3_SC20</t>
  </si>
  <si>
    <t>PHL-40535</t>
  </si>
  <si>
    <t>Realizar la Limpieza de actuadores (General) ID4_SC20</t>
  </si>
  <si>
    <t>PHL-40536</t>
  </si>
  <si>
    <t>Retiro de madera en salto de rana en cabezotes de tracker donde existe el paso de tubos HDPE con solar   MQR 061 ID7_SC20</t>
  </si>
  <si>
    <t>PHL-40537</t>
  </si>
  <si>
    <t>Limpieza de caja de paso BT lado norte inv. (6,1,2,3,4 y 5.) ID9_SC20</t>
  </si>
  <si>
    <t>PHL-40538</t>
  </si>
  <si>
    <t>Recortar Excesos Poliuretano Ducto Salto Trackers (General) ID10_SC20</t>
  </si>
  <si>
    <t>PHL-40539</t>
  </si>
  <si>
    <t>Realizar limpieza de String Inverter (General)  ID11_SC20</t>
  </si>
  <si>
    <t>PHL-40540</t>
  </si>
  <si>
    <t>Caja de paso de BT lado sur se debe realizar limpieza, Sellar ductería de reserva ( paso de inv7,8,9,10,11 y 12),  adecuar el área perimetral y arreglar aterrizaje de tapa. ID13_SC20</t>
  </si>
  <si>
    <t>PHL-40684</t>
  </si>
  <si>
    <t>Se requiere conformacion de terreno general en todo el subcampo, corrrecion de ahuellamientos, monticulos de tierra, carcavas y realizar nivelacion de terreno ID2_SC23</t>
  </si>
  <si>
    <t>2026-07-24</t>
  </si>
  <si>
    <t>2026-07-27</t>
  </si>
  <si>
    <t>PHL-40685</t>
  </si>
  <si>
    <t>Pendiente instalación Tag de identificación definitiva de inversores en SC23 (General) ID3_SC23</t>
  </si>
  <si>
    <t>PHL-40686</t>
  </si>
  <si>
    <t>Pendiente marcacion de torque en soportes de inversores (General) ID4_SC23</t>
  </si>
  <si>
    <t>PHL-40687</t>
  </si>
  <si>
    <t>Falta relleno en concreto (Socavación) en base de hinca de inversores (General) ID10_SC23</t>
  </si>
  <si>
    <t>PHL-40688</t>
  </si>
  <si>
    <t>Pendiente limpieza de omegas, ejes e hincas (General) ID11_SC23</t>
  </si>
  <si>
    <t>PHL-40689</t>
  </si>
  <si>
    <t>Realizar roceria en todo el SC23 ID14_SC23</t>
  </si>
  <si>
    <t>PHL-40690</t>
  </si>
  <si>
    <t>Falta instalacion de tapas de torquetubos en trackers (General) ID18_SC23</t>
  </si>
  <si>
    <t>PHL-40691</t>
  </si>
  <si>
    <t>Se requiere instalación de cuarta amarra en ductos solares de las Hincas (General) ID20_SC23</t>
  </si>
  <si>
    <t>PHL-40692</t>
  </si>
  <si>
    <t>Pendiente adecuación y nivelacion de terreno alrededor de inversores para evitar empozamientos (General) ID22_SC23</t>
  </si>
  <si>
    <t>PHL-40693</t>
  </si>
  <si>
    <t>Se requiere limpieza de módulos ambas caras del cristal, ademas de limpieza de marco de modulos ID25_SC23</t>
  </si>
  <si>
    <t>PHL-40541</t>
  </si>
  <si>
    <t>Realizar el retiro de plásticos en ductos HDPE (General) ID14_SC20</t>
  </si>
  <si>
    <t>PHL-40542</t>
  </si>
  <si>
    <t>Realizar peinado Cable Solar TR 045 ID15_SC20</t>
  </si>
  <si>
    <t>PHL-40543</t>
  </si>
  <si>
    <t>Adecuación general del terreno por ahuellamientos y montículos de tierra en todo el sc20 ID16_SC20</t>
  </si>
  <si>
    <t>PHL-40544</t>
  </si>
  <si>
    <t>Pendiente realizar limpieza  general, retiro maderas, icopor, cajas de cartón y plásticos en todo el subcampo, RCD y demás materiales del subcampo ID18_SC20</t>
  </si>
  <si>
    <t>PHL-40545</t>
  </si>
  <si>
    <t>Realiza retiro de cintas de papel de tubo HDPE (General) ID19_SC20</t>
  </si>
  <si>
    <t>PHL-40546</t>
  </si>
  <si>
    <t>General: limpieza de bases de String Inverter  ID20_SC20</t>
  </si>
  <si>
    <t>PHL-40547</t>
  </si>
  <si>
    <t>Pendiente instalar Tag de identificación de inversores (General) ID21_SC20</t>
  </si>
  <si>
    <t>PHL-40548</t>
  </si>
  <si>
    <t>Limpieza cunetas en el perímetro del SC ID22_SC20</t>
  </si>
  <si>
    <t>PHL-40549</t>
  </si>
  <si>
    <t>Realizar limpieza de abrazaderas soporte casquilletes (General) ID23_SC20</t>
  </si>
  <si>
    <t>PHL-40550</t>
  </si>
  <si>
    <t>Realizar limpieza de cable solar, presencia de barro en cableado (General) ID24_SC20</t>
  </si>
  <si>
    <t>PHL-40551</t>
  </si>
  <si>
    <t>Realizar limpieza de cable, motor y estructura de actuador (General) ID25_SC20</t>
  </si>
  <si>
    <t>PHL-40189</t>
  </si>
  <si>
    <t>: SI 34.06 traker 082 string 09  panel averiado</t>
  </si>
  <si>
    <t>PHL-40190</t>
  </si>
  <si>
    <t>SI 34.08 traker 080. string 12 panel averiado</t>
  </si>
  <si>
    <t>PHL-40230</t>
  </si>
  <si>
    <t>Instalación de señales en Tapas cajas de paso BT  Cajas de Paso BT OC 05 Costado Norte | sc24_46</t>
  </si>
  <si>
    <t>PHL-40231</t>
  </si>
  <si>
    <t>Pendiente instalacion (Tag, Tensión y Ctos) cajas de paso BT Cajas de Paso BT (General) | sc24_47</t>
  </si>
  <si>
    <t>PHL-40232</t>
  </si>
  <si>
    <t>Pendiente instalacion de TAG de cajas de paso BT Cajas de Paso BT (General) | sc24_48</t>
  </si>
  <si>
    <t>PHL-40233</t>
  </si>
  <si>
    <t>Falta recorte y acabado Ducto SPT Hincas Inversor 13 | sc24_49</t>
  </si>
  <si>
    <t>PHL-40234</t>
  </si>
  <si>
    <t>General: Limpieza de hincas cubiertas de tierra | sc24_51</t>
  </si>
  <si>
    <t>PHL-40235</t>
  </si>
  <si>
    <t>General: Falta perfilacion, Nivelación y sello de baches en terreno | sc24_53</t>
  </si>
  <si>
    <t>PHL-40236</t>
  </si>
  <si>
    <t>Mejorar Afloramiento SPT del Inversor 13 (Presenta afectacion en sello) | sc24_55</t>
  </si>
  <si>
    <t>PHL-40237</t>
  </si>
  <si>
    <t>Inv 20 SC24 reemplazo de cintas de colores se están decolorando | sc24_56</t>
  </si>
  <si>
    <t>PHL-40238</t>
  </si>
  <si>
    <t>Gestión de residuos de aprovechamiento forestal (vallado y entre tracker). Sc24 | sc24_57</t>
  </si>
  <si>
    <t>PHL-40239</t>
  </si>
  <si>
    <t>Finalizar obras de CCTV en sc24 | sc24_58</t>
  </si>
  <si>
    <t>PHL-40240</t>
  </si>
  <si>
    <t>Mejorar acabado Afloramiento BT Inversor 2/13 | sc24_62</t>
  </si>
  <si>
    <t>PHL-40241</t>
  </si>
  <si>
    <t>Mejorar acabado Afloramiento BT Inversor 2/15 | sc24_63</t>
  </si>
  <si>
    <t>PHL-40401</t>
  </si>
  <si>
    <t>Se requiere protección de material granular en acopio en cercania de subcampo 27 | SC27_53</t>
  </si>
  <si>
    <t>PHL-40402</t>
  </si>
  <si>
    <t>realizar cubierta de tierra en reserva en tubo NCU | SC27_54</t>
  </si>
  <si>
    <t>PHL-40403</t>
  </si>
  <si>
    <t>Pendiente instalar 4 pozo spt malla.perimetral cabína | SC27_55</t>
  </si>
  <si>
    <t>PHL-40404</t>
  </si>
  <si>
    <t>garantizar correcta orientacion de la caja de la NCU conforme al diseño de ingenieria | SC27_56</t>
  </si>
  <si>
    <t>PHL-40405</t>
  </si>
  <si>
    <t>Perfilar y nivelar terreno, por donde pasa el cableado de CCTV | SC27_57</t>
  </si>
  <si>
    <t>PHL-40406</t>
  </si>
  <si>
    <t>Mejorar la entrega final en tierra de la cuneta  para que circule el agua por debajo de la malla del cerramiento | SC27_58</t>
  </si>
  <si>
    <t>PHL-40407</t>
  </si>
  <si>
    <t>Instalar señalizacion vertical tanque de aceites | SC27_59</t>
  </si>
  <si>
    <t>PHL-40408</t>
  </si>
  <si>
    <t>Retiro sedimento de la cuneta en concreto | SC27_60</t>
  </si>
  <si>
    <t>PHL-40409</t>
  </si>
  <si>
    <t>Terminar de reconformar terraplén para evitar ingreso roedores alrededor de CT | SC27_61</t>
  </si>
  <si>
    <t>PHL-40410</t>
  </si>
  <si>
    <t>Recorte de exceso de espuma poliuretano en ducto salto de tracker. GENERAL | SC27_62</t>
  </si>
  <si>
    <t>PHL-40411</t>
  </si>
  <si>
    <t>Falta instalar cuarto amarre plástico en ducto de cable solar en general. | SC27_64</t>
  </si>
  <si>
    <t>PHL-40242</t>
  </si>
  <si>
    <t>Mejorar acabado Hormigonado Base Hincas en Inversores General. | sc24_66</t>
  </si>
  <si>
    <t>PHL-40243</t>
  </si>
  <si>
    <t>Orden y aseo cajas BT OC5 | sc24_67</t>
  </si>
  <si>
    <t>PHL-40244</t>
  </si>
  <si>
    <t>Paisajismo y finalizacion de nivelacion de terrreno en área de cajas en el cruce con la OC-05. | sc24_68</t>
  </si>
  <si>
    <t>PHL-40245</t>
  </si>
  <si>
    <t>Pendiente instalacion de Tapas cajas BT OC5 | sc24_70</t>
  </si>
  <si>
    <t>PHL-40246</t>
  </si>
  <si>
    <t>Pendiente senalizacion inversor SI - general | sc24_71</t>
  </si>
  <si>
    <t>PHL-40247</t>
  </si>
  <si>
    <t>Limpieza y retiro de sedimentos y recoleccion residuos en cunetas. Sc24 | sc24_85</t>
  </si>
  <si>
    <t>PHL-40248</t>
  </si>
  <si>
    <t>NCU  en frente del tracker MQR 40: Aplicar grout de nivelación en pernos de la base | sc24_86</t>
  </si>
  <si>
    <t>PHL-40249</t>
  </si>
  <si>
    <t>Pendiente conectar spt lado BT TC24 | sc24_87</t>
  </si>
  <si>
    <t>PHL-40250</t>
  </si>
  <si>
    <t>Sellado de ductos en BT TC24 (General) | sc24_91</t>
  </si>
  <si>
    <t>PHL-40251</t>
  </si>
  <si>
    <t>Pendiente instalación base en concreto en String Inverter SI12 | sc24_93</t>
  </si>
  <si>
    <t>PHL-40252</t>
  </si>
  <si>
    <t>Celda G1 TC24 Ajustar SPT pantallas | sc24_95</t>
  </si>
  <si>
    <t>PHL-40253</t>
  </si>
  <si>
    <t>Celda G1 TC24 Reemplazar termoencogible en spt está roto | sc24_97</t>
  </si>
  <si>
    <t>PHL-40412</t>
  </si>
  <si>
    <t>Terminar de colocar en la corona del terraplén  la grava y  bordillos perimetrales.. | SC27_65</t>
  </si>
  <si>
    <t>PHL-40413</t>
  </si>
  <si>
    <t>Limpieza general cabina SC27 | SC27_66</t>
  </si>
  <si>
    <t>PHL-40414</t>
  </si>
  <si>
    <t>Entrega de Red Line de cambios de ruta de cableado solar, BT, MT, F.O, Ubicación de Trackers, SPT. | SC27_67</t>
  </si>
  <si>
    <t>PHL-40415</t>
  </si>
  <si>
    <t>⁠Sello debajo de cabina para evitar ingreso de animales | SC27_68</t>
  </si>
  <si>
    <t>PHL-40416</t>
  </si>
  <si>
    <t>correccion de falla en cableado ac en inversor 14 del sc27, pendiente torqueo de cableado ac en inversor y cabina | SC27_69</t>
  </si>
  <si>
    <t>PHL-40417</t>
  </si>
  <si>
    <t>- Falta waterproof en INV 02 PV20 | SC27_70</t>
  </si>
  <si>
    <t>PHL-40418</t>
  </si>
  <si>
    <t>- Falta waterproof en INV 03 PV 19 y 20 | SC27_71</t>
  </si>
  <si>
    <t>PHL-40419</t>
  </si>
  <si>
    <t>- INV 18 sin testigo torque hinca | SC27_72</t>
  </si>
  <si>
    <t>PHL-40420</t>
  </si>
  <si>
    <t>- INV 17 sin testigo torque hinca | SC27_73</t>
  </si>
  <si>
    <t>PHL-40421</t>
  </si>
  <si>
    <t>- INV 08 sin testigo torque hinca | SC27_74</t>
  </si>
  <si>
    <t>PHL-40422</t>
  </si>
  <si>
    <t>- SPT sin torque en INV 06 | SC27_75</t>
  </si>
  <si>
    <t>PHL-40254</t>
  </si>
  <si>
    <t>Falta Relleno y Compactación en Afloramiento Pasos de Mesas En Subcampo (General) | sc24_108</t>
  </si>
  <si>
    <t>PHL-40255</t>
  </si>
  <si>
    <t>Retirar montículo de tierra entre trackers MQR39 y MQR40 | sc24_109</t>
  </si>
  <si>
    <t>PHL-40256</t>
  </si>
  <si>
    <t>Instalar amarre y remplazar lazo en la entrada del cable solar en los tracker 12 y 13. | sc24_110</t>
  </si>
  <si>
    <t>PHL-40257</t>
  </si>
  <si>
    <t>Retirar Plástico si 2/14 | sc24_111</t>
  </si>
  <si>
    <t>PHL-40258</t>
  </si>
  <si>
    <t>Garantizar estabilidad de los taludes de la OC 5, costados sur y norte | sc24_113</t>
  </si>
  <si>
    <t>PHL-40259</t>
  </si>
  <si>
    <t>Retiro residuos de tierra en el cauce, costados sur y norte de la OC 5, para garantizar el recorrido del cauce | sc24_114</t>
  </si>
  <si>
    <t>PHL-40260</t>
  </si>
  <si>
    <t>Garantizar estabilidad y terminación del vial en la OC 5, debido a desprendimiento de los hombros o bordes en sc24 | sc24_115</t>
  </si>
  <si>
    <t>PHL-40261</t>
  </si>
  <si>
    <t>Retirar residuos tubería corrugada, en zona del tanque de aceites | sc24_116</t>
  </si>
  <si>
    <t>PHL-40262</t>
  </si>
  <si>
    <t>Retirar/acomodar soporte ductos BT SI04 | sc24_117</t>
  </si>
  <si>
    <t>PHL-40263</t>
  </si>
  <si>
    <t>TC 24: Construir acceso vial hacia la cabina | sc24_118</t>
  </si>
  <si>
    <t>PHL-40264</t>
  </si>
  <si>
    <t>Limpieza y recolección de RCD junto a inversores y cunetas en sc24 | sc24_119</t>
  </si>
  <si>
    <t>PHL-40265</t>
  </si>
  <si>
    <t>Retiro acopio de residuos de tierra en sc24 | sc24_120</t>
  </si>
  <si>
    <t>PHL-40266</t>
  </si>
  <si>
    <t>OC5: limpieza, manejo de sedimentos, garantizar el flujo cauce, protección de taludes, y obra de acuerdo a lo establecido en la L.A | sc24_122</t>
  </si>
  <si>
    <t>PHL-40267</t>
  </si>
  <si>
    <t>Terminación tubo HDPE en la parte inferior del cableado de BT ingreso a TC. | sc24_123</t>
  </si>
  <si>
    <t>PHL-40268</t>
  </si>
  <si>
    <t>Sellado ductos SPT en hinca y corte tubo PVC al ras de piso (General) | sc24_125</t>
  </si>
  <si>
    <t>PHL-40269</t>
  </si>
  <si>
    <t>General testigos de torque en tierras de TC. | sc24_126</t>
  </si>
  <si>
    <t>PHL-40270</t>
  </si>
  <si>
    <t>Instalacion de señalizacion retie en caja de fo en diagonal a la its24 | sc24_127</t>
  </si>
  <si>
    <t>PHL-40271</t>
  </si>
  <si>
    <t>Hacen falta diagramas unifilares en TC. | sc24_130</t>
  </si>
  <si>
    <t>PHL-40272</t>
  </si>
  <si>
    <t>Entrega de Planos Redline de los Grupos Funcionales MT, BT, SOLAR, F.O, SPT, CABINA, TRACKERS (SI APLICAN) | sc24_131</t>
  </si>
  <si>
    <t>PHL-40273</t>
  </si>
  <si>
    <t>NC096 Arreglo inadecuado del ingreso del cable BT Cabina 24 | sc24_132</t>
  </si>
  <si>
    <t>PHL-40274</t>
  </si>
  <si>
    <t>instalacion de tapas en torquetubos del subcampo general | SC25_4</t>
  </si>
  <si>
    <t>DTD</t>
  </si>
  <si>
    <t>PHL-40275</t>
  </si>
  <si>
    <t>SC 25 - General: Perfilar y nivelar terreno para sello de baches o huecos dejados por maquinaria y equipo, evitando zonas inundables | SC25_5</t>
  </si>
  <si>
    <t>PHL-40423</t>
  </si>
  <si>
    <t>- SPT sin torque en INV 05 | SC27_76</t>
  </si>
  <si>
    <t>PHL-40276</t>
  </si>
  <si>
    <t>SC 25 - General: Limpieza estructura (incluye hincas, ejes de rotación, omegas soportes,, actuadores, etc) | SC25_7</t>
  </si>
  <si>
    <t>PHL-40277</t>
  </si>
  <si>
    <t>Limpieza general estructuras de soporte de paneles | SC25_8</t>
  </si>
  <si>
    <t>PHL-40278</t>
  </si>
  <si>
    <t>Limpieza general de paneles con presencia de carton | SC25_9</t>
  </si>
  <si>
    <t>PHL-40279</t>
  </si>
  <si>
    <t>Aplicación Anticorrosivo y pintura en Riel Channel Base Inversores General | SC25_13</t>
  </si>
  <si>
    <t>PHL-40280</t>
  </si>
  <si>
    <t>Realizar adecuacion de cable solar en llegada de inversor, garantizando retiro de amarres no necesarios, MA0825-MQR069 | SC25_15</t>
  </si>
  <si>
    <t>PHL-40281</t>
  </si>
  <si>
    <t>General: Marquillado definitivo de los trackers | SC25_16</t>
  </si>
  <si>
    <t>PHL-40282</t>
  </si>
  <si>
    <t>Adecuar terreno y tapar zanjas TR 110 | SC25_18</t>
  </si>
  <si>
    <t>PHL-40283</t>
  </si>
  <si>
    <t>Corte de Puntas de amarres General | SC25_19</t>
  </si>
  <si>
    <t>PHL-40284</t>
  </si>
  <si>
    <t>Retiro de baldes de Minicargador en el subcampo | SC25_20</t>
  </si>
  <si>
    <t>PHL-40285</t>
  </si>
  <si>
    <t>Instalación de Placa info Inversores General (se instala placa provisional) | SC25_24</t>
  </si>
  <si>
    <t>PHL-40286</t>
  </si>
  <si>
    <t>Adecuación de terreno para drenaje del área. | SC25_25</t>
  </si>
  <si>
    <t>PHL-40287</t>
  </si>
  <si>
    <t>Falta una cuarta amarra en tracker para ductos solares ( general). | SC25_26</t>
  </si>
  <si>
    <t>PHL-40288</t>
  </si>
  <si>
    <t>General: Realizar lleno con compactacion manual, alrededor de las bases de los inversores | SC25_28</t>
  </si>
  <si>
    <t>PHL-40289</t>
  </si>
  <si>
    <t>Adecuación de terreno entre tracker 82 y 83 | SC25_29</t>
  </si>
  <si>
    <t>PHL-40290</t>
  </si>
  <si>
    <t>Terminar de perfilar, reconformar y compactar terreno, contiguo al cerramiento perimetral  (cerca a los MQR  041, 010, 009, 008, 097, 006, 005, 004, 003) | SC25_32</t>
  </si>
  <si>
    <t>PHL-40291</t>
  </si>
  <si>
    <t>Perfilar y sellar zona  entre trackers con presencia de carcavas | SC25_34</t>
  </si>
  <si>
    <t>PHL-40292</t>
  </si>
  <si>
    <t>finalizar todas las excavaciones y adecuaciones de terreno civil alrededor del ct | SC25_35</t>
  </si>
  <si>
    <t>PHL-40293</t>
  </si>
  <si>
    <t>General: Retirar plástico Ducto Afloramiento BT Inversores | SC25_37</t>
  </si>
  <si>
    <t>PHL-40294</t>
  </si>
  <si>
    <t>Limpiar tubo hdpe en Salto de Hinca TR023 | SC25_38</t>
  </si>
  <si>
    <t>PHL-40295</t>
  </si>
  <si>
    <t>Hinca Baja TR 052 | SC25_39</t>
  </si>
  <si>
    <t>PHL-40296</t>
  </si>
  <si>
    <t>NCU: Aplicar grout de nivelación zona pernos de la base en concreto. Realizar lleno compactado alrededor de la base. Asegurar la superficie de la base para evitar empozamiento de agua (canal) | SC25_40</t>
  </si>
  <si>
    <t>PHL-40297</t>
  </si>
  <si>
    <t>Realizar correcto Anclaje de la CT con pernos adecuados, actualmente tiene pernos cortos y la tuerca queda mal sujetada. | SC25_41</t>
  </si>
  <si>
    <t>PHL-40298</t>
  </si>
  <si>
    <t>TC 25: Reconstruir el terraplén o plataforma con material de base granular, por capas, con compactacion respectiva y toma de densidades (no se acepta material alterado o contaminado) | SC25_42</t>
  </si>
  <si>
    <t>PHL-40299</t>
  </si>
  <si>
    <t>Boquilla del tanque de aceites y cuello de ganso inclinados. Enderezar e instalar señalizacion vertical | SC25_43</t>
  </si>
  <si>
    <t>PHL-40300</t>
  </si>
  <si>
    <t>Falta Instalación de Tapa en Tablero Servicios Auxiliares | SC25_44</t>
  </si>
  <si>
    <t>PHL-40301</t>
  </si>
  <si>
    <t>Instalación Cajas Inspección SPT CT | SC25_45</t>
  </si>
  <si>
    <t>PHL-40302</t>
  </si>
  <si>
    <t>Instalación Pollo Banco de Ductos Afloramiento Comunicaciones | SC25_46</t>
  </si>
  <si>
    <t>PHL-40303</t>
  </si>
  <si>
    <t>Construir vía de acceso a la TC | SC25_47</t>
  </si>
  <si>
    <t>Construir vía de acceso a la TC</t>
  </si>
  <si>
    <t>PHL-40304</t>
  </si>
  <si>
    <t>Aplicación de Poliuretano en Ducto Afloramiento MT en CT | SC25_48</t>
  </si>
  <si>
    <t>PHL-40305</t>
  </si>
  <si>
    <t>Gestión de materiales sobrantes de excavación. | SC25_51</t>
  </si>
  <si>
    <t>PHL-40306</t>
  </si>
  <si>
    <t>Gestión de residuos de aprovechamiento forestal cerca al vallado y en el SC. | SC25_53</t>
  </si>
  <si>
    <t>PHL-40307</t>
  </si>
  <si>
    <t>Limpieza y retiro de sedimentos y recoleccion residuos delimitación en cunetas. | SC25_54</t>
  </si>
  <si>
    <t>PHL-40308</t>
  </si>
  <si>
    <t>garantizar instalacion de Termoencogible en los terminales de tierra que van entre las mesas | SC25_57</t>
  </si>
  <si>
    <t>PHL-40309</t>
  </si>
  <si>
    <t>Adecuación de terreno NCU10 | SC25_58</t>
  </si>
  <si>
    <t>PHL-40310</t>
  </si>
  <si>
    <t>Identificación con diagramas unifilares y ubicación de SI en puertas del panel A y panel B | SC25_60</t>
  </si>
  <si>
    <t>PHL-40311</t>
  </si>
  <si>
    <t>garantizar entrega de Red lines de cambios de ruta de cableado solar, BT y MT | SC25_62</t>
  </si>
  <si>
    <t>PHL-40312</t>
  </si>
  <si>
    <t>Se requiere nivelar, reconformar y compactar el terreno, debido a baches o huecos dejados por telehandlers y maquinaria (General). | sc26_1</t>
  </si>
  <si>
    <t>PHL-40313</t>
  </si>
  <si>
    <t>Pendiente limpieza de estructura (hincas, soportes, omegas, torquetubos) (General). | sc26_3</t>
  </si>
  <si>
    <t>PHL-40314</t>
  </si>
  <si>
    <t>Se requiere en el Trackers MQR 026 en la hinca 9 aplicar pintura Galvanizada en la hinca por desgaste | sc26_5</t>
  </si>
  <si>
    <t>PHL-40315</t>
  </si>
  <si>
    <t>Reparar daño en estructura de hinca, Afectación hinca 3 S-N Trackers TR 50 | sc26_6</t>
  </si>
  <si>
    <t>PHL-40316</t>
  </si>
  <si>
    <t>Pendiente multiseal en afloramiento ductos BT en Inversores (General) | sc26_8</t>
  </si>
  <si>
    <t>PHL-40317</t>
  </si>
  <si>
    <t>Falta instalar cuarto amarre plástico en ducto de cable solar en el tracker 26 y 27 | sc26_9</t>
  </si>
  <si>
    <t>PHL-40318</t>
  </si>
  <si>
    <t>Se evidencia Tornillos de riel en inversores presentan oxidación, (General) | sc26_10</t>
  </si>
  <si>
    <t>PHL-40319</t>
  </si>
  <si>
    <t>Pendiente instalar termoencogible del sistema SPT del Inversor 9 | sc26_11</t>
  </si>
  <si>
    <t>PHL-40320</t>
  </si>
  <si>
    <t>Pendiente conexionado alimentación TCU (General) | sc26_12</t>
  </si>
  <si>
    <t>PHL-40321</t>
  </si>
  <si>
    <t>Pendiente sellado con espuma en ductos salto de hinca (General) | sc26_15</t>
  </si>
  <si>
    <t>PHL-40322</t>
  </si>
  <si>
    <t>Pendiente limpieza y lavado de modulos (incluye marcos o bordes) (General) | sc26_16</t>
  </si>
  <si>
    <t>PHL-40323</t>
  </si>
  <si>
    <t>Aplicar espuma poliuretano y Multiseal en ducto de la tierra en el tracker 28 | sc26_17</t>
  </si>
  <si>
    <t>PHL-40324</t>
  </si>
  <si>
    <t>Pendiente retiro y limpieza de residuos de construccion, madera y desechos en el subcampo 26 (General) | sc26_18</t>
  </si>
  <si>
    <t>PHL-40325</t>
  </si>
  <si>
    <t>Se evidencia riel en inversores presentan oxidación aplciar galvanizado (General) | sc26_19</t>
  </si>
  <si>
    <t>PHL-40326</t>
  </si>
  <si>
    <t>Se requiere Cortar tubo y aplicar sello en SPT de la hinca en Inversor SI01 | sc26_20</t>
  </si>
  <si>
    <t>PHL-40327</t>
  </si>
  <si>
    <t>Instalar tapa en torque tubo en el trackers (General) | sc26_21</t>
  </si>
  <si>
    <t>PHL-40328</t>
  </si>
  <si>
    <t>Pendiente profundizar ducto de cable solar MA0826-,MQR016 | sc26_22</t>
  </si>
  <si>
    <t>PHL-40329</t>
  </si>
  <si>
    <t>Pendiente marcación de torque en tornillos Trackers TR 52 Hinca 2 NS | sc26_23</t>
  </si>
  <si>
    <t>PHL-40330</t>
  </si>
  <si>
    <t>Pendiente Maración de torque latiguillo SPT para hincas - (General). | sc26_24</t>
  </si>
  <si>
    <t>PHL-40331</t>
  </si>
  <si>
    <t>Desencofrar bases de inversores y realizar lleno con compactacion manual alrededor de los mismos (General) | sc26_25</t>
  </si>
  <si>
    <t>PHL-40332</t>
  </si>
  <si>
    <t>Falta sellar ductos en SPT de las String Inverter SI (General) | sc26_26</t>
  </si>
  <si>
    <t>PHL-40333</t>
  </si>
  <si>
    <t>Pendiente Marcacion definitiva de los trackers (General) | sc26_27</t>
  </si>
  <si>
    <t>PHL-40334</t>
  </si>
  <si>
    <t>Aplicar grouting de nivelacion en zona de pernos de la NCU. | sc26_30</t>
  </si>
  <si>
    <t>PHL-40335</t>
  </si>
  <si>
    <t>Generar drenaje en la superficie del concreto de la NCU | sc26_31</t>
  </si>
  <si>
    <t>PHL-40336</t>
  </si>
  <si>
    <t>Pendiente Lleno con compactacion manual alrededor de la base de la NCU | sc26_32</t>
  </si>
  <si>
    <t>PHL-40337</t>
  </si>
  <si>
    <t>Instalar placa característica y señalización retie en los inversores en (General), se instala  señalizacion provisional, se requiere instalacion de señalizacion definitiva | sc26_36</t>
  </si>
  <si>
    <t>PHL-40338</t>
  </si>
  <si>
    <t>Pendiente colocar señalización de Seguridad en las áreas del subcampo 26 (General) | sc26_39</t>
  </si>
  <si>
    <t>PHL-40339</t>
  </si>
  <si>
    <t>Se requiere nivelacion de terreno general del subcampo, correccion de ahuellamiento y finalizacion de obras civiles en el subcampo | sc26_41</t>
  </si>
  <si>
    <t>PHL-40340</t>
  </si>
  <si>
    <t>Adecuar posicionamiento del tanque de aceites (aplome) para que el cuello de ganso quede vertical | sc26_42</t>
  </si>
  <si>
    <t>PHL-40341</t>
  </si>
  <si>
    <t>Adecuar terreno alrededor del tanque de la Cabina | sc26_43</t>
  </si>
  <si>
    <t>PHL-40342</t>
  </si>
  <si>
    <t>Pendiente señalizacion vertical del tanque de aceites de la Cabina | sc26_45</t>
  </si>
  <si>
    <t>PHL-40343</t>
  </si>
  <si>
    <t>Pendiente construir vial de acceso a la TC 26 | sc26_46</t>
  </si>
  <si>
    <t>PHL-40344</t>
  </si>
  <si>
    <t>Se requiere construir terraplén o plataforma de la TC26, con base granular (no se acepta material alterado o contaminado), colocar bordillos y grava | sc26_47</t>
  </si>
  <si>
    <t>PHL-40345</t>
  </si>
  <si>
    <t>Pendiente resanar viga de cimentación de la TC 26, presenta averia | sc26_49</t>
  </si>
  <si>
    <t>PHL-40346</t>
  </si>
  <si>
    <t>Falta instalar tapas de auxiliares en Cabinas 26 | sc26_51</t>
  </si>
  <si>
    <t>PHL-40347</t>
  </si>
  <si>
    <t>Corregir peinado de cable solar en puntos intermedios tracker 110 (Sector con 3 circuitos) | sc26_52</t>
  </si>
  <si>
    <t>PHL-40348</t>
  </si>
  <si>
    <t>Pendiente instalación de Caja SPT y validación de conexionado en el Cabina CT26. | sc26_53</t>
  </si>
  <si>
    <t>PHL-40349</t>
  </si>
  <si>
    <t>Corregir acabados de los concretos en las bases CCTV | sc26_54</t>
  </si>
  <si>
    <t>PHL-40350</t>
  </si>
  <si>
    <t>Finalizar vallado correspondioente a seccion en cercania al Subcampo 26 SC26 | sc26_57</t>
  </si>
  <si>
    <t>PHL-40351</t>
  </si>
  <si>
    <t>Pendiente instalar de tabla de conexiones de BT panel A y B en el Cabina CT26. | sc26_58</t>
  </si>
  <si>
    <t>PHL-40352</t>
  </si>
  <si>
    <t>Pendiente conformacion de cimentación de cuneta al rededor de la Cabina CT 26 | sc26_61</t>
  </si>
  <si>
    <t>PHL-40353</t>
  </si>
  <si>
    <t>Se requiera limpieza de drenajes que se encuentran en cercania al Subcampo 26 | sc26_62</t>
  </si>
  <si>
    <t>PHL-40354</t>
  </si>
  <si>
    <t>Pendiente adecuación de ducto en el ingreso de cable MT en el CT26 | sc26_63</t>
  </si>
  <si>
    <t>PHL-40355</t>
  </si>
  <si>
    <t>Pendiente instalación de identificación con diagramas unifilares y ubicación de SI en puertas del panel A y panel B | sc26_64</t>
  </si>
  <si>
    <t>PHL-40356</t>
  </si>
  <si>
    <t>Pendiente presentar Red line de cambios de ruta de cableado Solar, BT y MT, ubicación Trackers | sc26_65</t>
  </si>
  <si>
    <t>PHL-40357</t>
  </si>
  <si>
    <t>⁠Pendiente sello debajo de cabina del Subcampo 26 para evitar ingreso de animales | sc26_66</t>
  </si>
  <si>
    <t>PHL-40358</t>
  </si>
  <si>
    <t>Pendiente Liberar torque BT y SPT en inversor 1/01 | sc26_67</t>
  </si>
  <si>
    <t>PHL-40359</t>
  </si>
  <si>
    <t>Pendiente liberar torque BT en los panel por cable  Inversor 1/01 pendiente por Liberación de Torque BT | sc26_68</t>
  </si>
  <si>
    <t>PHL-40360</t>
  </si>
  <si>
    <t>Aplicación de Multiseal en ductos solares, BT | SC27_1</t>
  </si>
  <si>
    <t>PHL-40361</t>
  </si>
  <si>
    <t>Adecuación del terreno al  alrededor de la ct | SC27_2</t>
  </si>
  <si>
    <t>PHL-40362</t>
  </si>
  <si>
    <t>Aplicación de espuma poliuretano en ducto SPT en general | SC27_3</t>
  </si>
  <si>
    <t>PHL-40363</t>
  </si>
  <si>
    <t>Aplicación de Multiseal Banco de Ducto Solar | SC27_4</t>
  </si>
  <si>
    <t>PHL-40364</t>
  </si>
  <si>
    <t>Terminación de cuneta costado Norte cerca del ct | SC27_5</t>
  </si>
  <si>
    <t>PHL-40365</t>
  </si>
  <si>
    <t>General: Rocería | SC27_6</t>
  </si>
  <si>
    <t>General: Rocería</t>
  </si>
  <si>
    <t>PHL-40366</t>
  </si>
  <si>
    <t>Peinado y figurado Cable Antena TCU Masters | SC27_8</t>
  </si>
  <si>
    <t>PHL-40367</t>
  </si>
  <si>
    <t>General: Limpieza estructura  (incluye hincas, soportes, omegas, torquetubos) | SC27_9</t>
  </si>
  <si>
    <t>PHL-40368</t>
  </si>
  <si>
    <t>Inversor 05 corregir puntos de oxidación en riel Chanel | SC27_11</t>
  </si>
  <si>
    <t>PHL-40369</t>
  </si>
  <si>
    <t>Limpieza de modulos y marcos de Módulos FV (General) | SC27_13</t>
  </si>
  <si>
    <t>PHL-40370</t>
  </si>
  <si>
    <t>MQR 58 hinca 4: Retiro terrón de tierra en alma de la hinca | SC27_14</t>
  </si>
  <si>
    <t>PHL-40371</t>
  </si>
  <si>
    <t>Realizar corte sobrante de amarres plásticos en ducto de cable solar en general. | SC27_16</t>
  </si>
  <si>
    <t>PHL-40372</t>
  </si>
  <si>
    <t>Aplicación Anticorrosivo Riel Channel Base Inversor 04 | SC27_17</t>
  </si>
  <si>
    <t>PHL-40373</t>
  </si>
  <si>
    <t>General: Retoque galvanizado en hincas oxidadas y everiadas por golpes | SC27_18</t>
  </si>
  <si>
    <t>PHL-40374</t>
  </si>
  <si>
    <t>Retirar trozos de madera en ductos solar en general que fueron usados en la etapa de construccion | SC27_19</t>
  </si>
  <si>
    <t>PHL-40375</t>
  </si>
  <si>
    <t>Realizar Terramiento Latiguillo SPT Hinca TR014 | SC27_22</t>
  </si>
  <si>
    <t>PHL-40376</t>
  </si>
  <si>
    <t>Reforzar Amarre (Bridado) Cable Solar Eje Trackers 031 | SC27_23</t>
  </si>
  <si>
    <t>PHL-40377</t>
  </si>
  <si>
    <t>Instalación Marquilla Riesgo Eléctrico Inversores (General) | SC27_24</t>
  </si>
  <si>
    <t>PHL-40378</t>
  </si>
  <si>
    <t>Pendiente recortar ducto spt y aplicar espuma hinca inversores - general | SC27_26</t>
  </si>
  <si>
    <t>PHL-40379</t>
  </si>
  <si>
    <t>Instalación Marquilla (Tag) Inversores (General), se requiere marquilla definitiva | SC27_27</t>
  </si>
  <si>
    <t>PHL-40380</t>
  </si>
  <si>
    <t>Realizar Limpieza Cable Solar TR030 | SC27_28</t>
  </si>
  <si>
    <t>PHL-40205</t>
  </si>
  <si>
    <t>Finalizar obras de Banco de Ductos BT Cruce Vial. | sc24_1</t>
  </si>
  <si>
    <t>PHL-40206</t>
  </si>
  <si>
    <t>Alinear marquillas y cintas d colores RETIE inv 22 SC24 | sc24_2</t>
  </si>
  <si>
    <t>PHL-40207</t>
  </si>
  <si>
    <t>Flata Instalación SPT en las tapas de las Cajas BT OC5 | sc24_3</t>
  </si>
  <si>
    <t>PHL-40208</t>
  </si>
  <si>
    <t>Falta impermiabilizar entrada de ductos de las  BT oc05 Cajas | sc24_4</t>
  </si>
  <si>
    <t>PHL-40209</t>
  </si>
  <si>
    <t>Sellar ductos pendientes de las cajas BT OC5 | sc24_5</t>
  </si>
  <si>
    <t>PHL-40210</t>
  </si>
  <si>
    <t>Riel Chanel presenta oxidación en el string inverter 11 | sc24_7</t>
  </si>
  <si>
    <t>PHL-40211</t>
  </si>
  <si>
    <t>Falta Instalar Cintas de colores RETIE  en las cajas BT OC5 | sc24_8</t>
  </si>
  <si>
    <t>PHL-40212</t>
  </si>
  <si>
    <t>Entre trackers MQR 056 Y 055: Recolección y retiro de residuos de tierra y roca | sc24_10</t>
  </si>
  <si>
    <t>PHL-40213</t>
  </si>
  <si>
    <t>Falta finalizar pollo en concreto de comunicaciones tc 24 | sc24_12</t>
  </si>
  <si>
    <t>PHL-40214</t>
  </si>
  <si>
    <t>Aplicación de poliuretano en prensaestopa de SACU. | sc24_14</t>
  </si>
  <si>
    <t>PHL-40215</t>
  </si>
  <si>
    <t>Falta marcaciónen pernos de fijación de inversores SC24 (general) | sc24_19</t>
  </si>
  <si>
    <t>PHL-40216</t>
  </si>
  <si>
    <t>Falta marcación de Testigo SPT inversores SC24 (general) | sc24_21</t>
  </si>
  <si>
    <t>PHL-40381</t>
  </si>
  <si>
    <t>General: Mejorar el acabado y compactacion de terrreno alrededor de las bases de los inversores | SC27_30</t>
  </si>
  <si>
    <t>PHL-40382</t>
  </si>
  <si>
    <t>correcion de hinca baja MQR106 y 107 - Al extremo del tracker | SC27_31</t>
  </si>
  <si>
    <t>PHL-40383</t>
  </si>
  <si>
    <t>limpieza general del subcampo, retiro de materiales sobrantes, cables, maderas, troncos, raices, monticulos de tierra | SC27_32</t>
  </si>
  <si>
    <t>PHL-40384</t>
  </si>
  <si>
    <t>Realizar Limpieza Inversores, presentan manchas de tierra y de grasa en base y frente | SC27_33</t>
  </si>
  <si>
    <t>PHL-40385</t>
  </si>
  <si>
    <t>Limpieza de conector bimetálico SPT hinca uno tracker 89 | SC27_35</t>
  </si>
  <si>
    <t>PHL-40386</t>
  </si>
  <si>
    <t>Retiro de carton en cara frontal de modulos del sc27, presencia de carton y tierra. | SC27_37</t>
  </si>
  <si>
    <t>PHL-40387</t>
  </si>
  <si>
    <t>General: Terminar decodificar el terreno, correccion de carcavas, nivelacion de terreno conforme a ingenieria, Posterior a los nuevos movimientos de tierras garantizar la distancia de 50 cm mínimo tanto al ESTE como al OESTE desde el terreno natural a los paneles en zona plana y de 32,5 cm mínimo con la máxima pendiente de 15°. (Movimientos de Tierra que impliquen retirar montículos de tierra, corregir cárcavas, corregir hincas altas, rellenar huecos por retiro de tocones). | SC27_38</t>
  </si>
  <si>
    <t>PHL-40217</t>
  </si>
  <si>
    <t>Conformación de plataforma y acceso vehicular en área del CT 24 | sc24_22</t>
  </si>
  <si>
    <t>PHL-40218</t>
  </si>
  <si>
    <t>Limpieza Módulos Solares (General) | sc24_23</t>
  </si>
  <si>
    <t>PHL-40219</t>
  </si>
  <si>
    <t>corregir Pandeo en caja de FO diagonal a la ITS24 | sc24_24</t>
  </si>
  <si>
    <t>PHL-40220</t>
  </si>
  <si>
    <t>Finalizar zanja y conexión de ductos de comunicaciónes general. 
Nota: Se debe generar red line con el recorrido e intersección de los ductos de CCTV, NCU, METEO, en SC24 | sc24_28</t>
  </si>
  <si>
    <t>PHL-40221</t>
  </si>
  <si>
    <t>Falta finalizacion de drenajes en SC24 y alrededores (General) | sc24_29</t>
  </si>
  <si>
    <t>PHL-40222</t>
  </si>
  <si>
    <t>Falta Rocería (General) | sc24_30</t>
  </si>
  <si>
    <t>PHL-40223</t>
  </si>
  <si>
    <t>Falta acoplar el sello de ingreso de BT en la String Inversor 04 | sc24_33</t>
  </si>
  <si>
    <t>PHL-40224</t>
  </si>
  <si>
    <t>Finalizar obras de excavacion en el subcampo sc24 | sc24_37</t>
  </si>
  <si>
    <t>PHL-40225</t>
  </si>
  <si>
    <t>Instalación de Monolito Cajas de Paso BT OC 05 Costado Norte | sc24_39</t>
  </si>
  <si>
    <t>PHL-40226</t>
  </si>
  <si>
    <t>Aplicación Espuma Poliuretano Ducto Solar Inversor 14 | sc24_40</t>
  </si>
  <si>
    <t>PHL-40227</t>
  </si>
  <si>
    <t>General : Retoque de pintura, donde se observa desprendimiento del galvanizado | sc24_42</t>
  </si>
  <si>
    <t>PHL-40228</t>
  </si>
  <si>
    <t>Mejorar acabado Afloramiento BT Inversor 2/14 | sc24_44</t>
  </si>
  <si>
    <t>PHL-40229</t>
  </si>
  <si>
    <t>General: Galvanizado pernos que sujetan los módulos(Paneles) en sc24 | sc24_45</t>
  </si>
  <si>
    <t>PHL-40388</t>
  </si>
  <si>
    <t>Retirar Plástico Ducto Afloramiento Salida BT Inversores (General) | SC27_39</t>
  </si>
  <si>
    <t>PHL-40389</t>
  </si>
  <si>
    <t>ejecucion de marca de apriete (torque) en tierra de hinca del inversor MSE15 | SC27_41</t>
  </si>
  <si>
    <t>PHL-40390</t>
  </si>
  <si>
    <t>Realizar limpieza de ductos cable solar, String Inverter y inversor en general | SC27_42</t>
  </si>
  <si>
    <t>PHL-40391</t>
  </si>
  <si>
    <t>retirar acopios de tierra del subcampo general | SC27_43</t>
  </si>
  <si>
    <t>PHL-40392</t>
  </si>
  <si>
    <t>inversor 8 instalar termoecongible de manera adecuada y corte de ducto PVC de la tierra del inversor. | SC27_44</t>
  </si>
  <si>
    <t>PHL-40393</t>
  </si>
  <si>
    <t>Instalación Diagrama Unifilar BT Panel A - B | SC27_45</t>
  </si>
  <si>
    <t>PHL-40394</t>
  </si>
  <si>
    <t>Retirar tronco de madera en ducto solar en salto de tracker 067 y 053 | SC27_46</t>
  </si>
  <si>
    <t>PHL-40395</t>
  </si>
  <si>
    <t>Realizar marca de apriete (torque) en tierra de hinca inversor MSE16 (General) | SC27_47</t>
  </si>
  <si>
    <t>PHL-40396</t>
  </si>
  <si>
    <t>Instalación Tapa Tablero SSAA CT | SC27_48</t>
  </si>
  <si>
    <t>PHL-40397</t>
  </si>
  <si>
    <t>Instalación de Masilla Prensaestopas SACU - Tab Comicaciones e Ingreso CT | SC27_49</t>
  </si>
  <si>
    <t>PHL-40398</t>
  </si>
  <si>
    <t>Pendiente marcas de torque en caja controladora de NCU | SC27_50</t>
  </si>
  <si>
    <t>PHL-40399</t>
  </si>
  <si>
    <t>Pendiente grouting en NCU, marcas de torque caja controladora | SC27_51</t>
  </si>
  <si>
    <t>PHL-40400</t>
  </si>
  <si>
    <t>Instalación de Pollo en Concreto Banco de Ducto Comunicaciones | SC27_52</t>
  </si>
  <si>
    <t>Cables</t>
  </si>
  <si>
    <t>2026-05-19</t>
  </si>
  <si>
    <t>PHL-40727</t>
  </si>
  <si>
    <t>pte correccion/instalacion  comm: Antena Rota en SC: 20 ncu: 15 MA0520-MQR017</t>
  </si>
  <si>
    <t>PHL-40728</t>
  </si>
  <si>
    <t>pte correccion/instalacion  comm: Antena Rota en SC: 20 ncu: 15 MA0520-MQR049</t>
  </si>
  <si>
    <t>PHL-40729</t>
  </si>
  <si>
    <t>pte correccion/instalacion  comm: Obstaculos (Impide movimiento) en SC: 20 ncu: 15 MA0520-MQR058</t>
  </si>
  <si>
    <t>PHL-40730</t>
  </si>
  <si>
    <t>pte correccion/instalacion  comm: Obstaculos (Impide movimiento) en SC: 21 ncu: 17 MA0521-MQR001</t>
  </si>
  <si>
    <t>PHL-40731</t>
  </si>
  <si>
    <t>pte correccion/instalacion  comm: Obstaculos (Impide movimiento) en SC: 21 ncu: 17 MA0521-MQR002</t>
  </si>
  <si>
    <t>PHL-40732</t>
  </si>
  <si>
    <t>pte correccion/instalacion  comm: String erroneo en SC: 21 ncu: 17 MA0521-MQR063</t>
  </si>
  <si>
    <t>PHL-40733</t>
  </si>
  <si>
    <t>pte correccion/instalacion  comm: TCU Maestra en SC: 21 ncu: 17 MA0521-MQR070</t>
  </si>
  <si>
    <t>PHL-40734</t>
  </si>
  <si>
    <t>pte correccion/instalacion  comm: TCU Master primero revisar String erroneo en SC: 21 ncu: 17 MA0521-MQR081</t>
  </si>
  <si>
    <t>PHL-40735</t>
  </si>
  <si>
    <t>pte correccion/instalacion  comm: Actuador Eslava 8 en SC: 21 ncu: 17 MA0521-MQR083</t>
  </si>
  <si>
    <t>PHL-40736</t>
  </si>
  <si>
    <t>pte correccion/instalacion  comm: Obstaculos (Impide movimiento) en SC: 21 ncu: 17 MA0521-MQR114</t>
  </si>
  <si>
    <t>PHL-40737</t>
  </si>
  <si>
    <t>pte correccion/instalacion  comm: Sin instalacion TCU Maestra en SC: 22 ncu: 14 MA0522-MQR008</t>
  </si>
  <si>
    <t>PHL-40738</t>
  </si>
  <si>
    <t>pte correccion/instalacion  comm: Sin instalacion TCU Maestra en SC: 22 ncu: 14 MA0522-MQR009</t>
  </si>
  <si>
    <t>PHL-40739</t>
  </si>
  <si>
    <t>pte correccion/instalacion  comm: Sin instalacion TCU Maestra en SC: 22 ncu: 14 MA0522-MQR010</t>
  </si>
  <si>
    <t>PHL-40740</t>
  </si>
  <si>
    <t>pte correccion/instalacion  comm: Sin instalacion TCU Maestra en SC: 22 ncu: 14 MA0522-MQR011</t>
  </si>
  <si>
    <t>PHL-40741</t>
  </si>
  <si>
    <t>pte correccion/instalacion  comm: Antena Rota en SC: 22 ncu: 14 MA0522-MQR012</t>
  </si>
  <si>
    <t>PHL-40742</t>
  </si>
  <si>
    <t>pte correccion/instalacion  comm: Sin instalacion TCU Maestra en SC: 22 ncu: 14 MA0522-MQR020</t>
  </si>
  <si>
    <t>PHL-40743</t>
  </si>
  <si>
    <t>pte correccion/instalacion  comm: Sin instalacion TCU Maestra en SC: 22 ncu: 14 MA0522-MQR021</t>
  </si>
  <si>
    <t>PHL-40744</t>
  </si>
  <si>
    <t>pte correccion/instalacion  comm: Sin instalacion TCU Maestra en SC: 22 ncu: 14 MA0522-MQR022</t>
  </si>
  <si>
    <t>PHL-40745</t>
  </si>
  <si>
    <t>pte correccion/instalacion  comm: Sin instalacion TCU Maestra en SC: 22 ncu: 14 MA0522-MQR023</t>
  </si>
  <si>
    <t>PHL-40746</t>
  </si>
  <si>
    <t>pte correccion/instalacion  comm: Sin instalacion TCU Maestra en SC: 22 ncu: 14 MA0522-MQR024</t>
  </si>
  <si>
    <t>PHL-40747</t>
  </si>
  <si>
    <t>pte correccion/instalacion  comm: Antena Rota en SC: 22 ncu: 14 MA0522-MQR025</t>
  </si>
  <si>
    <t>PHL-40748</t>
  </si>
  <si>
    <t>pte correccion/instalacion  comm: Antena Rota en SC: 22 ncu: 14 MA0522-MQR026</t>
  </si>
  <si>
    <t>PHL-40749</t>
  </si>
  <si>
    <t>pte correccion/instalacion  comm: Antena Rota en SC: 22 ncu: 14 MA0522-MQR027</t>
  </si>
  <si>
    <t>PHL-40750</t>
  </si>
  <si>
    <t>pte correccion/instalacion  comm: Antena Rota en SC: 22 ncu: 14 MA0522-MQR029</t>
  </si>
  <si>
    <t>PHL-40751</t>
  </si>
  <si>
    <t>pte correccion/instalacion  comm: Antena Rota en SC: 22 ncu: 14 MA0522-MQR030</t>
  </si>
  <si>
    <t>PHL-40752</t>
  </si>
  <si>
    <t>pte correccion/instalacion  comm: String erroneo en SC: 22 ncu: 14 MA0522-MQR031</t>
  </si>
  <si>
    <t>PHL-40753</t>
  </si>
  <si>
    <t>pte correccion/instalacion  comm: String erroneo en SC: 22 ncu: 14 MA0522-MQR032</t>
  </si>
  <si>
    <t>PHL-40754</t>
  </si>
  <si>
    <t>pte correccion/instalacion  comm: Obstaculos (Impide movimiento) en SC: 22 ncu: 14 MA0522-MQR038</t>
  </si>
  <si>
    <t>PHL-40755</t>
  </si>
  <si>
    <t>pte correccion/instalacion  comm: Antena Rota en SC: 22 ncu: 14 MA0522-MQR040</t>
  </si>
  <si>
    <t>PHL-40756</t>
  </si>
  <si>
    <t>pte correccion/instalacion  comm: Cables Esclava 7 y 8 en SC: 22 ncu: 14 MA0522-MQR042</t>
  </si>
  <si>
    <t>PHL-40757</t>
  </si>
  <si>
    <t>pte correccion/instalacion  comm: Cables Esclava 7 y 8 en SC: 22 ncu: 14 MA0522-MQR051</t>
  </si>
  <si>
    <t>PHL-40758</t>
  </si>
  <si>
    <t>pte correccion/instalacion  comm: Cables Esclava 7 y 8 en SC: 22 ncu: 14 MA0522-MQR052</t>
  </si>
  <si>
    <t>PHL-40759</t>
  </si>
  <si>
    <t>pte correccion/instalacion  comm: Cables Esclava 7 y 8 en SC: 22 ncu: 14 MA0522-MQR053</t>
  </si>
  <si>
    <t>PHL-40760</t>
  </si>
  <si>
    <t>pte correccion/instalacion  comm: Cables Esclava 7 y 8 en SC: 22 ncu: 14 MA0522-MQR054</t>
  </si>
  <si>
    <t>PHL-40761</t>
  </si>
  <si>
    <t>pte correccion/instalacion  comm: Cables Esclava 7 y 8 en SC: 22 ncu: 14 MA0522-MQR055</t>
  </si>
  <si>
    <t>PHL-40762</t>
  </si>
  <si>
    <t>pte correccion/instalacion  comm: Sin instalacion TCU Maestra en SC: 22 ncu: 14 MA0522-MQR058</t>
  </si>
  <si>
    <t>PHL-40763</t>
  </si>
  <si>
    <t>pte correccion/instalacion  comm: Sin instalacion TCU Maestra en SC: 22 ncu: 14 MA0522-MQR059</t>
  </si>
  <si>
    <t>PHL-40764</t>
  </si>
  <si>
    <t>pte correccion/instalacion  comm: Sin instalacion TCU Maestra en SC: 22 ncu: 14 MA0522-MQR060</t>
  </si>
  <si>
    <t>PHL-40765</t>
  </si>
  <si>
    <t>pte correccion/instalacion  comm: Sin instalacion TCU Maestra en SC: 22 ncu: 14 MA0522-MQR061</t>
  </si>
  <si>
    <t>PHL-40766</t>
  </si>
  <si>
    <t>pte correccion/instalacion  comm: Sin instalacion TCU Maestra en SC: 22 ncu: 14 MA0522-MQR062</t>
  </si>
  <si>
    <t>PHL-40767</t>
  </si>
  <si>
    <t>pte correccion/instalacion  comm: Sin instalacion TCU Maestra en SC: 22 ncu: 14 MA0522-MQR063</t>
  </si>
  <si>
    <t>PHL-40768</t>
  </si>
  <si>
    <t>pte correccion/instalacion  comm: Sin instalacion TCU Maestra en SC: 22 ncu: 14 MA0522-MQR064</t>
  </si>
  <si>
    <t>PHL-40769</t>
  </si>
  <si>
    <t>pte correccion/instalacion  comm: Sin instalacion TCU Maestra en SC: 22 ncu: 14 MA0522-MQR065</t>
  </si>
  <si>
    <t>PHL-40770</t>
  </si>
  <si>
    <t>pte correccion/instalacion  comm: Sin instalacion TCU Maestra en SC: 22 ncu: 14 MA0522-MQR066</t>
  </si>
  <si>
    <t>PHL-40771</t>
  </si>
  <si>
    <t>pte correccion/instalacion  comm: String erroneo en SC: 22 ncu: 14 MA0522-MQR067</t>
  </si>
  <si>
    <t>PHL-40772</t>
  </si>
  <si>
    <t>pte correccion/instalacion  comm: Antena Rota en SC: 22 ncu: 14 MA0522-MQR069</t>
  </si>
  <si>
    <t>PHL-40773</t>
  </si>
  <si>
    <t>pte correccion/instalacion  comm: Antena Rota en SC: 22 ncu: 14 MA0522-MQR070</t>
  </si>
  <si>
    <t>PHL-40774</t>
  </si>
  <si>
    <t>pte correccion/instalacion  comm: Cables Esclava 7 y 8 en SC: 22 ncu: 14 MA0522-MQR084</t>
  </si>
  <si>
    <t>PHL-40775</t>
  </si>
  <si>
    <t>pte correccion/instalacion  comm: Cables Esclava 7 y 8 en SC: 22 ncu: 14 MA0522-MQR085</t>
  </si>
  <si>
    <t>PHL-40776</t>
  </si>
  <si>
    <t>pte correccion/instalacion  comm: Cables Esclava 7 y 8 en SC: 22 ncu: 14 MA0522-MQR086</t>
  </si>
  <si>
    <t>PHL-40777</t>
  </si>
  <si>
    <t>pte correccion/instalacion  comm: Cables Esclava 7 y 8 en SC: 22 ncu: 14 MA0522-MQR087</t>
  </si>
  <si>
    <t>PHL-40778</t>
  </si>
  <si>
    <t>pte correccion/instalacion  comm: Cables Esclava 7 y 8 en SC: 22 ncu: 14 MA0522-MQR088</t>
  </si>
  <si>
    <t>PHL-40779</t>
  </si>
  <si>
    <t>pte correccion/instalacion  comm: Cables Esclava 7 y 8 en SC: 22 ncu: 14 MA0522-MQR089</t>
  </si>
  <si>
    <t>PHL-40780</t>
  </si>
  <si>
    <t>pte correccion/instalacion  comm: Sin instalacion TCU Maestra en SC: 22 ncu: 14 MA0522-MQR090</t>
  </si>
  <si>
    <t>PHL-40781</t>
  </si>
  <si>
    <t>pte correccion/instalacion  comm: Sin instalacion TCU Maestra en SC: 22 ncu: 14 MA0522-MQR091</t>
  </si>
  <si>
    <t>PHL-40782</t>
  </si>
  <si>
    <t>pte correccion/instalacion  comm: Sin instalacion TCU Maestra en SC: 22 ncu: 14 MA0522-MQR092</t>
  </si>
  <si>
    <t>PHL-40783</t>
  </si>
  <si>
    <t>pte correccion/instalacion  comm: Sin instalacion TCU Maestra en SC: 22 ncu: 14 MA0522-MQR093</t>
  </si>
  <si>
    <t>PHL-40784</t>
  </si>
  <si>
    <t>pte correccion/instalacion  comm: Sin instalacion TCU Maestra en SC: 22 ncu: 14 MA0522-MQR094</t>
  </si>
  <si>
    <t>PHL-40785</t>
  </si>
  <si>
    <t>pte correccion/instalacion  comm: sin instalacion cables hacia master y esclava 7 en SC: 22 ncu: 14 MA0522-MQR095</t>
  </si>
  <si>
    <t>PHL-40786</t>
  </si>
  <si>
    <t>pte correccion/instalacion  comm: Antena Rota en SC: 22 ncu: 14 MA0522-MQR096</t>
  </si>
  <si>
    <t>PHL-40787</t>
  </si>
  <si>
    <t>pte correccion/instalacion  comm: Antena Rota en SC: 22 ncu: 14 MA0522-MQR097</t>
  </si>
  <si>
    <t>PHL-40788</t>
  </si>
  <si>
    <t>pte correccion/instalacion  comm: Antena Rota en SC: 22 ncu: 14 MA0522-MQR098</t>
  </si>
  <si>
    <t>PHL-40789</t>
  </si>
  <si>
    <t>pte correccion/instalacion  comm: Antena Rota en SC: 22 ncu: 14 MA0522-MQR099</t>
  </si>
  <si>
    <t>PHL-40790</t>
  </si>
  <si>
    <t>pte correccion/instalacion  comm: Antena Rota/Instalacion erronea TCU Maestra en SC: 22 ncu: 14 MA0522-MQR100</t>
  </si>
  <si>
    <t>PHL-40791</t>
  </si>
  <si>
    <t>pte correccion/instalacion  comm: Antena Rota en SC: 22 ncu: 14 MA0522-MQR101</t>
  </si>
  <si>
    <t>PHL-40792</t>
  </si>
  <si>
    <t>pte correccion/instalacion  comm: Antena Rota en SC: 22 ncu: 14 MA0522-MQR102</t>
  </si>
  <si>
    <t>PHL-40793</t>
  </si>
  <si>
    <t>pte correccion/instalacion  comm: Antena Rota en SC: 22 ncu: 14 MA0522-MQR105</t>
  </si>
  <si>
    <t>PHL-40794</t>
  </si>
  <si>
    <t>pte correccion/instalacion  comm: sin instalacion cables hacia master y esclava en SC: 22 ncu: 14 MA0522-MQR111</t>
  </si>
  <si>
    <t>PHL-40795</t>
  </si>
  <si>
    <t>pte correccion/instalacion  comm: Esclava 7 y 8 en SC: 23 ncu: 13 MA0523-MQR024</t>
  </si>
  <si>
    <t>PHL-40796</t>
  </si>
  <si>
    <t>pte correccion/instalacion  comm: String erroneo en SC: 23 ncu: 13 MA0523-MQR049</t>
  </si>
  <si>
    <t>PHL-40797</t>
  </si>
  <si>
    <t>pte correccion/instalacion  comm: TCU Maestra en SC: 23 ncu: 13 MA0523-MQR052</t>
  </si>
  <si>
    <t>PHL-40798</t>
  </si>
  <si>
    <t>pte correccion/instalacion  comm: String erroneo en SC: 23 ncu: 13 MA0523-MQR058</t>
  </si>
  <si>
    <t>PHL-40799</t>
  </si>
  <si>
    <t>pte correccion/instalacion  comm: Motor escalva 8 en SC: 23 ncu: 13 MA0523-MQR060</t>
  </si>
  <si>
    <t>PHL-40800</t>
  </si>
  <si>
    <t>pte correccion/instalacion  comm: String erroneo en SC: 23 ncu: 13 MA0523-MQR079</t>
  </si>
  <si>
    <t>PHL-40801</t>
  </si>
  <si>
    <t>pte correccion/instalacion  comm: TCU Maestra en SC: 23 ncu: 13 MA0523-MQR084</t>
  </si>
  <si>
    <t>PHL-40802</t>
  </si>
  <si>
    <t>pte correccion/instalacion  comm: String erroneo en SC: 23 ncu: 13 MA0523-MQR091</t>
  </si>
  <si>
    <t>PHL-40803</t>
  </si>
  <si>
    <t>pte correccion/instalacion  comm: Obstaculo (Impide movimiento) en SC: 24 ncu: 11 MA0824-MQR012</t>
  </si>
  <si>
    <t>PHL-40804</t>
  </si>
  <si>
    <t>pte correccion/instalacion  comm: Esclava 8 en SC: 24 ncu: 11 MA0824-MQR018</t>
  </si>
  <si>
    <t>PHL-40805</t>
  </si>
  <si>
    <t>pte correccion/instalacion  comm: Antena Rota en SC: 24 ncu: 12 MA0824-MQR074</t>
  </si>
  <si>
    <t>PHL-40806</t>
  </si>
  <si>
    <t>pte correccion/instalacion  comm: String erroneo en SC: 25 ncu: 10 MA0825-MQR032</t>
  </si>
  <si>
    <t>PHL-40807</t>
  </si>
  <si>
    <t>pte correccion/instalacion  comm: String erroneo en SC: 25 ncu: 10 MA0825-MQR092</t>
  </si>
  <si>
    <t>PHL-40808</t>
  </si>
  <si>
    <t>pte correccion/instalacion  comm: Obstaculo (Impide movimiento) en SC: 26 ncu: 9 MA0826-MQR026</t>
  </si>
  <si>
    <t>PHL-40809</t>
  </si>
  <si>
    <t>pte correccion/instalacion  comm: Obstaculo (Impide movimiento) en SC: 26 ncu: 9 MA0826-MQR070</t>
  </si>
  <si>
    <t>PHL-40810</t>
  </si>
  <si>
    <t>pte correccion/instalacion  comm: Obstaculo (Impide movimiento) en SC: 26 ncu: 9 MA0826-MQR089</t>
  </si>
  <si>
    <t>PHL-40811</t>
  </si>
  <si>
    <t>pte correccion/instalacion  comm: Obstaculo (Impide movimiento) en SC: 26 ncu: 9 MA0826-MQR092</t>
  </si>
  <si>
    <t>PHL-40812</t>
  </si>
  <si>
    <t>pte correccion/instalacion  comm: Obstaculo (Impide movimiento) en SC: 27 ncu: 8 MA0827-MQR018</t>
  </si>
  <si>
    <t>PHL-40813</t>
  </si>
  <si>
    <t>pte correccion/instalacion  comm: Obstaculo (Impide movimiento) en SC: 27 ncu: 8 MA0827-MQR062</t>
  </si>
  <si>
    <t>PHL-40814</t>
  </si>
  <si>
    <t>pte correccion/instalacion  comm: Obstaculo (Impide movimiento) en SC: 27 ncu: 8 MA0827-MQR077</t>
  </si>
  <si>
    <t>PHL-40456</t>
  </si>
  <si>
    <t>SC24_MODULO DAÑADO SI. 07 String 15 traker 48</t>
  </si>
  <si>
    <t>PHL-40457</t>
  </si>
  <si>
    <t>SC24_MODULO DAÑADO SI.10 String 01 traker 32</t>
  </si>
  <si>
    <t>PHL-40458</t>
  </si>
  <si>
    <t>SC24_MODULO DAÑADO SI.12 String 16 traker 16</t>
  </si>
  <si>
    <t>PHL-40459</t>
  </si>
  <si>
    <t>SC25_ SOLAR HURTO Inversor 04 PV06 TODOS LOS STRINGS</t>
  </si>
  <si>
    <t>PHL-40460</t>
  </si>
  <si>
    <t>SC29_SOLAR HURTO  Inversor 03 PV 09 string 07 esta desconectado y mal marquillado en una punta indica string 5 y en la otra punta que llega al inversor dice string 07  (sc29)</t>
  </si>
  <si>
    <t>PHL-40461</t>
  </si>
  <si>
    <t>SC29_PANEL DAÑADO  inversor 12 string 15 se observa panel desprendido en el suelo (sc29)</t>
  </si>
  <si>
    <t>PHL-40462</t>
  </si>
  <si>
    <t>SC29_PANEL DAÑADO se encuentra encuentra panel desprendido en el TR 22 string 4</t>
  </si>
  <si>
    <t>PHL-40463</t>
  </si>
  <si>
    <t>SC29  SI.29.21 CORRECCION DE base del inversor con un nivel aproximado del 50% de sedimentos ocasionados por arrastre de material, incumpliendo la distancia mÍnima de 60 cm respecto a la base de concreto</t>
  </si>
  <si>
    <t>PHL-40815</t>
  </si>
  <si>
    <t>pte correccion/instalacion  comm: Actuador Esclava 7 en SC: 27 ncu: 8 MA0827-MQR078</t>
  </si>
  <si>
    <t>PHL-40816</t>
  </si>
  <si>
    <t>pte correccion/instalacion  comm: Obstaculo (Impide movimiento) en SC: 27 ncu: 8 MA0827-MQR099</t>
  </si>
  <si>
    <t>PHL-40817</t>
  </si>
  <si>
    <t>pte correccion/instalacion  comm: Obstaculo (Impide movimiento) en SC: 29 ncu: 6 MA0929-MQR100</t>
  </si>
  <si>
    <t>PHL-40818</t>
  </si>
  <si>
    <t>pte correccion/instalacion  comm: Obstaculo (Impide movimiento) en SC: 29 ncu: 6 MA0929-MQR103</t>
  </si>
  <si>
    <t>PHL-40819</t>
  </si>
  <si>
    <t>pte correccion/instalacion  comm: Obstaculo (Impide movimiento) en SC: 29 ncu: 6 MA0929-MQR106</t>
  </si>
  <si>
    <t>PHL-40820</t>
  </si>
  <si>
    <t>pte correccion/instalacion  comm: String erroneo en SC: 31 ncu: 4 MA0931-MQR017</t>
  </si>
  <si>
    <t>PHL-40821</t>
  </si>
  <si>
    <t>pte correccion/instalacion  comm: TCU Master en SC: 31 ncu: 4 MA0931-MQR033</t>
  </si>
  <si>
    <t>PHL-40822</t>
  </si>
  <si>
    <t>pte correccion/instalacion  comm: String erroneo en SC: 31 ncu: 4 MA0931-MQR036</t>
  </si>
  <si>
    <t>PHL-40823</t>
  </si>
  <si>
    <t>pte correccion/instalacion  comm: String erroneo en SC: 31 ncu: 4 MA0931-MQR060</t>
  </si>
  <si>
    <t>PHL-40464</t>
  </si>
  <si>
    <t>SC33 montículo de tierra y residuos de poda, bajo el tracker, MQR-019</t>
  </si>
  <si>
    <t>PHL-40465</t>
  </si>
  <si>
    <t>SC34_PANEL DAÑADO SI.34.05 Srt 13 panel quemado y Str 01 aislamiento (sc34)</t>
  </si>
  <si>
    <t>PHL-40824</t>
  </si>
  <si>
    <t>pte correccion/instalacion  comm: Obstaculo (Impide movimiento) en SC: 31 ncu: 4 MA0931-MQR098</t>
  </si>
  <si>
    <t>PHL-40825</t>
  </si>
  <si>
    <t>pte correccion/instalacion  comm: Obstaculo (Impide movimiento) en SC: 31 ncu: 4 MA0931-MQR101</t>
  </si>
  <si>
    <t>PHL-40826</t>
  </si>
  <si>
    <t>pte correccion/instalacion  comm: Obstaculo (Impide movimiento) en SC: 31 ncu: 4 MA0931-MQR102</t>
  </si>
  <si>
    <t>PHL-40827</t>
  </si>
  <si>
    <t>pte correccion/instalacion  comm: Obstaculo (Impide movimiento) en SC: 31 ncu: 4 MA0931-MQR106</t>
  </si>
  <si>
    <t>PHL-40828</t>
  </si>
  <si>
    <t>pte correccion/instalacion  comm: Obstaculo (Impide movimiento) en SC: 31 ncu: 4 MA0931-MQR107</t>
  </si>
  <si>
    <t>PHL-40829</t>
  </si>
  <si>
    <t>pte correccion/instalacion  comm: TCU Maestra en SC: 32 ncu: 2 MA1032-MQR007</t>
  </si>
  <si>
    <t>PHL-40830</t>
  </si>
  <si>
    <t>pte correccion/instalacion  comm: TCU Maestra en SC: 32 ncu: 2 MA1032-MQR034</t>
  </si>
  <si>
    <t>PHL-40831</t>
  </si>
  <si>
    <t>pte correccion/instalacion  comm: Obstaculo (Impide movimiento) en SC: 32 ncu: 2 MA1032-MQR109</t>
  </si>
  <si>
    <t>PHL-40832</t>
  </si>
  <si>
    <t>pte correccion/instalacion  comm: String erroneo en SC: 33 ncu: 1 MA1033-MQR011</t>
  </si>
  <si>
    <t>PHL-40833</t>
  </si>
  <si>
    <t>pte correccion/instalacion  comm: Obstaculo (Impide movimiento) en SC: 33 ncu: 1 MA1033-MQR019</t>
  </si>
  <si>
    <t>PHL-40834</t>
  </si>
  <si>
    <t>pte correccion/instalacion  comm: Obstaculo (Impide movimiento) en SC: 33 ncu: 1 MA1033-MQR051</t>
  </si>
  <si>
    <t>PHL-40835</t>
  </si>
  <si>
    <t>pte correccion/instalacion  comm: Obstaculo (Impide movimiento) en SC: 33 ncu: 1 MA1033-MQR052</t>
  </si>
  <si>
    <t>PHL-40836</t>
  </si>
  <si>
    <t>pte correccion/instalacion  comm: Obstaculo (Impide movimiento) en SC: 33 ncu: 1 MA1033-MQR057</t>
  </si>
  <si>
    <t>PHL-40837</t>
  </si>
  <si>
    <t>pte correccion/instalacion  comm: Obstaculo (Impide movimiento) en SC: 33 ncu: 1 MA1033-MQR060</t>
  </si>
  <si>
    <t>PHL-40838</t>
  </si>
  <si>
    <t>pte correccion/instalacion  comm: Obstaculo (Impide movimiento) en SC: 33 ncu: 1 MA1033-MQR074</t>
  </si>
  <si>
    <t>PHL-40839</t>
  </si>
  <si>
    <t>pte correccion/instalacion  comm: Obstaculo (Impide movimiento) en SC: 33 ncu: 1 MA1033-MQR075</t>
  </si>
  <si>
    <t>PHL-40840</t>
  </si>
  <si>
    <t>pte correccion/instalacion  comm: Obstaculo (Impide movimiento) en SC: 33 ncu: 1 MA1033-MQR092</t>
  </si>
  <si>
    <t>PHL-40841</t>
  </si>
  <si>
    <t>pte correccion/instalacion  comm: Obstaculo (Impide movimiento) en SC: 34 ncu: 3 MA1034-MQR035</t>
  </si>
  <si>
    <t>PHL-40842</t>
  </si>
  <si>
    <t>pte correccion/instalacion  comm: Obstaculo (Impide movimiento) en SC: 34 ncu: 3 MA1034-MQR037</t>
  </si>
  <si>
    <t>PHL-40843</t>
  </si>
  <si>
    <t>pte correccion/instalacion  comm: Obstaculo (Impide movimiento) en SC: 34 ncu: 3 MA1034-MQR046</t>
  </si>
  <si>
    <t>PHL-40844</t>
  </si>
  <si>
    <t>pte correccion/instalacion  comm: Esclava 7 en SC: 34 ncu: 39 MA1034-MQR091</t>
  </si>
  <si>
    <t>PHL-41041</t>
  </si>
  <si>
    <t>Bases en concreto cubierta por sedimento, no cumple distanciamiento mínimo de 60 cm, se requiere correccion para evitar sedimentos e inundaciones en los inversores, O&amp;M SC 31  general revision de todos los inversores| sc31_o&amp;M</t>
  </si>
  <si>
    <t>2026-07-19</t>
  </si>
  <si>
    <t>PHL-41042</t>
  </si>
  <si>
    <t>Correccion de paneles averiados en subcampo 20| sc20_o&amp;M</t>
  </si>
  <si>
    <t>PHL-41043</t>
  </si>
  <si>
    <t>Correccion de paneles averiados en subcampo 21| sc21_o&amp;M</t>
  </si>
  <si>
    <t>PHL-41044</t>
  </si>
  <si>
    <t>Correccion de paneles averiados en subcampo  23| sc23_o&amp;M</t>
  </si>
  <si>
    <t>PHL-41045</t>
  </si>
  <si>
    <t>Correccion de paneles averiados en subcampo  24| sc24_o&amp;M</t>
  </si>
  <si>
    <t>PHL-41046</t>
  </si>
  <si>
    <t>Correccion de paneles averiados en subcampo 26| sc26_o&amp;M</t>
  </si>
  <si>
    <t>PHL-41047</t>
  </si>
  <si>
    <t>Correccion de paneles averiados en subcampo 27| sc27_o&amp;M</t>
  </si>
  <si>
    <t>PHL-41048</t>
  </si>
  <si>
    <t>Correccion de paneles averiados en subcampo 28| sc28_o&amp;M</t>
  </si>
  <si>
    <t>PHL-41049</t>
  </si>
  <si>
    <t>Correccion de paneles averiados en subcampo 29| sc29_o&amp;M</t>
  </si>
  <si>
    <t>PHL-41050</t>
  </si>
  <si>
    <t>Correccion de paneles averiados en subcampo 30| sc30_o&amp;M</t>
  </si>
  <si>
    <t>PHL-41051</t>
  </si>
  <si>
    <t>Correccion de paneles averiados en subcampo 31| sc31_o&amp;M</t>
  </si>
  <si>
    <t>PHL-41052</t>
  </si>
  <si>
    <t>Correccion de paneles averiados en subcampo 33| sc33_o&amp;M</t>
  </si>
  <si>
    <t>PHL-41053</t>
  </si>
  <si>
    <t>Correccion de paneles averiados en subcampo 34| sc34_o&amp;M</t>
  </si>
  <si>
    <t>PHL-41054</t>
  </si>
  <si>
    <t>Reconformar terreno : T053, 054, 058, 043. sc20| sc20_o&amp;M</t>
  </si>
  <si>
    <t>PHL-41056</t>
  </si>
  <si>
    <t>Reposicion de material prestado en etapa de comisionamiento correspondiente a piezas de trackers, cabinas y equipos| sc99_o&amp;M</t>
  </si>
  <si>
    <t>PHL-41057</t>
  </si>
  <si>
    <t>Correccion de cable puesta a tierra en hinca de Tracker 004 partida. Y  hinca de Tracker 037 partida. Sc 29 O&amp;M| sc29_o&amp;M</t>
  </si>
  <si>
    <t>PHL-41058</t>
  </si>
  <si>
    <t>Tapa caja de empalme al frente del CT 29 con manija suelta, caja mt, sc 29 o&amp;M| sc29_o&amp;M</t>
  </si>
  <si>
    <t>PHL-41059</t>
  </si>
  <si>
    <t>Falta instalar tapa frontal del trablero de SSAA tc 26| sc26_o&amp;M</t>
  </si>
  <si>
    <t>PHL-41060</t>
  </si>
  <si>
    <t>Correccion de SPT desconectada en la hinca del tracker 050 y  hinca del tracker 057| sc34_o&amp;M</t>
  </si>
  <si>
    <t>PHL-41061</t>
  </si>
  <si>
    <t>En mesas del SC24, la 081, 082 y 096 se observa spt de las hincas sin torquear o sin testigos de torque.| sc24_o&amp;M</t>
  </si>
  <si>
    <t>PHL-41062</t>
  </si>
  <si>
    <t>Correccion de falla de aislamiento solar en string 15 PV 22 de la SI.24.06 sc 24 O&amp;M| sc24_o&amp;M</t>
  </si>
  <si>
    <t>PHL-41063</t>
  </si>
  <si>
    <t>Estabilización de red de drenajes en SC 34, construcción de descoles para evacuación de agua| sc34_o&amp;M</t>
  </si>
  <si>
    <t>PHL-41064</t>
  </si>
  <si>
    <t>Finalizacion de obras civiles y mecanicas asociadas al vallado perimetral a cargo de bop norte, incluye limpieza, retiro de materiales sobre vallado y correccion de oxidaciones mayores| sc99_o&amp;M</t>
  </si>
  <si>
    <t>PHL-41065</t>
  </si>
  <si>
    <t>correccion de amarres faltantes en: eje de tracker 019-021-022-023-024-025-035,045 y en ductos de hdep  Tracker 021-022-025-029-030-034. sc32| sc32_o&amp;M</t>
  </si>
  <si>
    <t>PHL-41066</t>
  </si>
  <si>
    <t>correcion de Batería de la estacion metereologica se encuentra suelta sc25| sc25_o&amp;M</t>
  </si>
  <si>
    <t>PHL-41067</t>
  </si>
  <si>
    <t>reposicion de Hurto bateria NCU 14 SC 22| sc22_o&amp;M</t>
  </si>
  <si>
    <t>PHL-41068</t>
  </si>
  <si>
    <t>PV03 Se evidencia conectado pero NO esta marcando corrientes, se evidencia que en el PV 10 Está conectado el String 3; el PV 4 donde debería estar el String 3 está libre, indeterminado SI.33.18 sc 33| sc33_o&amp;M</t>
  </si>
  <si>
    <t>PHL-41069</t>
  </si>
  <si>
    <t>Realizar control de erosion en subcampos zona norte,  hasta finalizacion de revegetalizacion y estabilizacion por parte del bop| sc99_o&amp;M</t>
  </si>
  <si>
    <t>PHL-41070</t>
  </si>
  <si>
    <t>finalizacion de obras viales internas conforme a ingenieria del alcance del bop norte| sc99_o&amp;M</t>
  </si>
  <si>
    <t>PHL-41071</t>
  </si>
  <si>
    <t>Se evidencia falta de marquillado en los SI cableado solar, falta aplicar espumas resistentes a alta temperatura inverters SI.33.15, SI.33.14, SI.33.01| sc33_o&amp;M</t>
  </si>
  <si>
    <t>PHL-41072</t>
  </si>
  <si>
    <t>En el tracker 86 se observan empalmes con conectores MC4 en todo el cableado solar, no se permite en cable solar nuevo el uso de MC4 para ejecutar empalmes dado que e un punto de falla adicional SI.30.09| sc30_o&amp;M</t>
  </si>
  <si>
    <t>PHL-41033</t>
  </si>
  <si>
    <t>Bases en concreto cubierta por sedimento, no cumple distanciamiento mínimo de 60 cm, O&amp;M SC 20 general revision de todos los inversores| sc20_o&amp;M</t>
  </si>
  <si>
    <t>PHL-41034</t>
  </si>
  <si>
    <t>Bases en concreto cubierta por sedimento, no cumple distanciamiento mínimo de 60 cm, O&amp;M SC 24 general revision de todos los inversores| sc24_o&amp;M</t>
  </si>
  <si>
    <t>PHL-41035</t>
  </si>
  <si>
    <t>Bases en concreto cubierta por sedimento, no cumple distanciamiento mínimo de 60 cm, O&amp;M SC 25 general revision de todos los inversores| sc25_o&amp;M</t>
  </si>
  <si>
    <t>PHL-41036</t>
  </si>
  <si>
    <t>Bases en concreto cubierta por sedimento, no cumple distanciamiento mínimo de 60 cm, O&amp;M SC 26 general revision de todos los inversores| sc26_o&amp;M</t>
  </si>
  <si>
    <t>PHL-41037</t>
  </si>
  <si>
    <t>Bases en concreto cubierta por sedimento, no cumple distanciamiento mínimo de 60 cm, O&amp;M SC 27 general revision de todos los inversores| sc27_o&amp;M</t>
  </si>
  <si>
    <t>PHL-41038</t>
  </si>
  <si>
    <t>Bases en concreto cubierta por sedimento, no cumple distanciamiento mínimo de 60 cm, O&amp;M SC 28  general revision de todos los inversores| sc28_o&amp;M</t>
  </si>
  <si>
    <t>PHL-41039</t>
  </si>
  <si>
    <t>Bases en concreto cubierta por sedimento, no cumple distanciamiento mínimo de 60 cm, O&amp;M SC 29  general revision de todos los inversores| sc29_o&amp;M</t>
  </si>
  <si>
    <t>PHL-41040</t>
  </si>
  <si>
    <t>Bases en concreto cubierta por sedimento, no cumple distanciamiento mínimo de 60 cm, O&amp;M SC 30  general revision de todos los inversores| sc30_o&amp;M</t>
  </si>
  <si>
    <t>LV/MV Transformation Cabin</t>
  </si>
  <si>
    <t>PHL-40171</t>
  </si>
  <si>
    <t>SI.32.08	MA1032.MSE08.T009 S06 módulo #12 y #15 fisurado</t>
  </si>
  <si>
    <t>PHL-40172</t>
  </si>
  <si>
    <t>SI.32.09	MA1032.MSE09.T005 S02 módulo #23 fisurado</t>
  </si>
  <si>
    <t>PHL-40173</t>
  </si>
  <si>
    <t>SI.32.15	MA1032.MSE15.T105.S11 Módulo #7 y #14 fisurado</t>
  </si>
  <si>
    <t>PHL-40174</t>
  </si>
  <si>
    <t>SI.32.05	MA1032.MSE05.T056.S03 modulo #23 partido</t>
  </si>
  <si>
    <t>PHL-40175</t>
  </si>
  <si>
    <t>SI.32.19	Se evidencia modulo roto, SI.32.19 TR 65 #18 Y 24</t>
  </si>
  <si>
    <t>PHL-40176</t>
  </si>
  <si>
    <t>SI.32.19	string 18 modulo roto. Traker 069</t>
  </si>
  <si>
    <t>2026-07-07</t>
  </si>
  <si>
    <t>2026-07-09</t>
  </si>
  <si>
    <t>PHL-40869</t>
  </si>
  <si>
    <t>Pendiente para todas las cabinas la señalización de advertencia de la energía incidente, arco eléctrico, categoría del epp a utilizar y  distancia de seguridad. (general) en sc</t>
  </si>
  <si>
    <t>PHL-40907</t>
  </si>
  <si>
    <t>Correccion en CT26 Falta poner tapa frontal al tablero de control UPS  en sc26</t>
  </si>
  <si>
    <t>2026-06-03</t>
  </si>
  <si>
    <t>se confirma cierre de nc</t>
  </si>
  <si>
    <t>Safety and Environmental coordinator</t>
  </si>
  <si>
    <t>Corte de azas y resane de caja</t>
  </si>
  <si>
    <t>Civil Specialist</t>
  </si>
  <si>
    <t>Electrical Specialist</t>
  </si>
  <si>
    <t>String Inverter</t>
  </si>
  <si>
    <t>2026-05-12</t>
  </si>
  <si>
    <t>Environmental Officer</t>
  </si>
  <si>
    <t>2026-05-13</t>
  </si>
  <si>
    <t>Trenches and Cable Way</t>
  </si>
  <si>
    <t>PHL-39471</t>
  </si>
  <si>
    <t>Earthing system</t>
  </si>
  <si>
    <t>SC34_(46)</t>
  </si>
  <si>
    <t>Instalación Cajas de Inspección Malla SPT CT</t>
  </si>
  <si>
    <t>PHL-39096</t>
  </si>
  <si>
    <t>Caja de paso del costado norte de la OC5 de los CTOS 8-9-16</t>
  </si>
  <si>
    <t>Retoque de pintura en  tapas metalicas</t>
  </si>
  <si>
    <t>PHL-39077</t>
  </si>
  <si>
    <t>Caja de empalme del CTO9 del SC20 en el cruce de promigas PR5 costado Sur</t>
  </si>
  <si>
    <t>Instalacion de monolitos</t>
  </si>
  <si>
    <t>PHL-39068</t>
  </si>
  <si>
    <t>Caja de paso de MT de los circuitos 8-9-10 del SC20 (cruce PR5)</t>
  </si>
  <si>
    <t>Aterrizar tapas de cajas</t>
  </si>
  <si>
    <t>PHL-39065</t>
  </si>
  <si>
    <t>Caja de empalme continua a la ITS24</t>
  </si>
  <si>
    <t>PHL-39062</t>
  </si>
  <si>
    <t>Limpieza de cables MT</t>
  </si>
  <si>
    <t>PHL-39469</t>
  </si>
  <si>
    <t>LV/MV Transformation Cabin Others</t>
  </si>
  <si>
    <t>SC34_(43)</t>
  </si>
  <si>
    <t>Aplicación de cortafuegos en SACU de CT34</t>
  </si>
  <si>
    <t>PHL-39461</t>
  </si>
  <si>
    <t>SC34_(32)</t>
  </si>
  <si>
    <t>General:  completar lleno Alrededor de zapata</t>
  </si>
  <si>
    <t>PHL-39460</t>
  </si>
  <si>
    <t>SC34_(31)</t>
  </si>
  <si>
    <t>PHL-39456</t>
  </si>
  <si>
    <t>SC34_(26)</t>
  </si>
  <si>
    <t>General: SC 34 Galvanizado de Hincas</t>
  </si>
  <si>
    <t>PHL-39455</t>
  </si>
  <si>
    <t>SC34_(23)</t>
  </si>
  <si>
    <t>Limpieza Panel Solar General inlcuido los marcos</t>
  </si>
  <si>
    <t>PHL-39458</t>
  </si>
  <si>
    <t>SC34_(29)</t>
  </si>
  <si>
    <t>General:SC 34 Limpieza de ejes</t>
  </si>
  <si>
    <t>PHL-39447</t>
  </si>
  <si>
    <t>SC34_ (8)</t>
  </si>
  <si>
    <t>General: Falta marcación de inversores en campo</t>
  </si>
  <si>
    <t>PHL-39518</t>
  </si>
  <si>
    <t>MT CTO10_(146)Caja de Empalme Sectioning Pit Cto 10 Lewis 6-7</t>
  </si>
  <si>
    <t>limpieza general, orden y aseo alrededor de la caja</t>
  </si>
  <si>
    <t>PHL-39486</t>
  </si>
  <si>
    <t>SC34_(66)</t>
  </si>
  <si>
    <t>Continuar con el retiro y gestión de residuos de aprovechamiento forestal que se encuentran en el área de vallado y dispersos en el SC</t>
  </si>
  <si>
    <t>PHL-39483</t>
  </si>
  <si>
    <t>SC34_(63)</t>
  </si>
  <si>
    <t>Continuar con la jornada de recolección y disposición de los residuos de menor tamaño que se encuentran dispersos en el subcampo (zunchos, manilas, cinta de seguridad, estacas, madera...), se resalta que simultánea a la caminata se encontraba cuadrilla ambiental realizando recolección de residuos dispersos</t>
  </si>
  <si>
    <t>PHL-39519</t>
  </si>
  <si>
    <t>MT CTO10_(148)Caja de Empalme Sectioning Pit Cto 10 Lewis 6-7</t>
  </si>
  <si>
    <t>Marcacion de tapas de caja de fibra</t>
  </si>
  <si>
    <t>PHL-39479</t>
  </si>
  <si>
    <t>SC34_(59)</t>
  </si>
  <si>
    <t>Falta pollo en concreto en las llegadas de cable de comununicaciones a la CT</t>
  </si>
  <si>
    <t>PHL-39450</t>
  </si>
  <si>
    <t>SC34_(18)</t>
  </si>
  <si>
    <t>General: Marcacion definitiva de los trackers</t>
  </si>
  <si>
    <t>PHL-39515</t>
  </si>
  <si>
    <t>MT CTO10_(141)Caja de Paso MT Cto 10 (SC32-SE) Costado Norte</t>
  </si>
  <si>
    <t>conformación de terreno Cajas de Empalme - Paso.</t>
  </si>
  <si>
    <t>PHL-39514</t>
  </si>
  <si>
    <t>MT CTO10_(140)Caja de Paso MT Cto 10 (SC32-SE) Costado Norte</t>
  </si>
  <si>
    <t>PHL-39516</t>
  </si>
  <si>
    <t>MT CTO10_(143)Caja de Empalme Sectioning Pit Cto 10 Lewis 6-7</t>
  </si>
  <si>
    <t>Instalación de monolito</t>
  </si>
  <si>
    <t>PHL-39512</t>
  </si>
  <si>
    <t>MT CTO10_(138)Caja de empalme cxto 10 SC24</t>
  </si>
  <si>
    <t>conformación de terreno Cajas de Empalme - Paso</t>
  </si>
  <si>
    <t>PHL-39511</t>
  </si>
  <si>
    <t>MT CTO10_(134)Caja de paso Promigas 5 costado norte</t>
  </si>
  <si>
    <t>orden y aseo</t>
  </si>
  <si>
    <t>PHL-39506</t>
  </si>
  <si>
    <t>MT CTO10_ (123) -Cajas de paso OC1 costado norte y sur:</t>
  </si>
  <si>
    <t>Instalación TAG</t>
  </si>
  <si>
    <t>PF</t>
  </si>
  <si>
    <t>Resolved</t>
  </si>
  <si>
    <t>Drainage System</t>
  </si>
  <si>
    <t>PHL-39481</t>
  </si>
  <si>
    <t>SC34_(61)</t>
  </si>
  <si>
    <t>Falta terminar ajustes en cuadro de comunicaciones</t>
  </si>
  <si>
    <t>PHL-39071</t>
  </si>
  <si>
    <t>Instalacion de tag y señalizacion RETIE</t>
  </si>
  <si>
    <t>PHL-39066</t>
  </si>
  <si>
    <t>Sellado ductos material impermeabilizante</t>
  </si>
  <si>
    <t>PHL-39081</t>
  </si>
  <si>
    <t>Pendiente instalacion de canal en U para division de tapas</t>
  </si>
  <si>
    <t>PHL-39487</t>
  </si>
  <si>
    <t>SC34_(67)</t>
  </si>
  <si>
    <t>Gestión y retiro de llantas, accesorios de maquinaria y mecánicos, hierro</t>
  </si>
  <si>
    <t>PHL-39488</t>
  </si>
  <si>
    <t>SC34_(70)</t>
  </si>
  <si>
    <t>Falta marquillado en breaker de inversores AC CT34 Panel B</t>
  </si>
  <si>
    <t>PHL-39485</t>
  </si>
  <si>
    <t>SC34_(65)</t>
  </si>
  <si>
    <t>Gestión de materiales sobrantes de excavación</t>
  </si>
  <si>
    <t>PHL-38314</t>
  </si>
  <si>
    <t>SC28_(40)</t>
  </si>
  <si>
    <t>Identificación del TAG de la NCU.</t>
  </si>
  <si>
    <t>PHL-38312</t>
  </si>
  <si>
    <t>SC28_(38)</t>
  </si>
  <si>
    <t>Identificación del compartimiento de BT</t>
  </si>
  <si>
    <t>2026-07-10</t>
  </si>
  <si>
    <t>PHL-39061</t>
  </si>
  <si>
    <t>PHL-39060</t>
  </si>
  <si>
    <t>Tapar zanja de MT del CTO09 que se cruza con la BT en el SC24.</t>
  </si>
  <si>
    <t>Reconformacion de terreno alrededor de la caja</t>
  </si>
  <si>
    <t>PHL-39083</t>
  </si>
  <si>
    <t>caja de paso de la OC5 costado Sur de los CTOS 8-9-10 :</t>
  </si>
  <si>
    <t>PHL-39067</t>
  </si>
  <si>
    <t>PHL-39099</t>
  </si>
  <si>
    <t>Caja de Empalme Sectioning Pit Cto 09 Lewis 6-9</t>
  </si>
  <si>
    <t>PHL-38325</t>
  </si>
  <si>
    <t>SC28_(41)</t>
  </si>
  <si>
    <t>Desencofrado y lleno alrededor de la base de la estación meteo..</t>
  </si>
  <si>
    <t>PHL-38321</t>
  </si>
  <si>
    <t>SC28_(33)</t>
  </si>
  <si>
    <t>Remates y acabados del concreto de la cimentacion de la CT-28.</t>
  </si>
  <si>
    <t>Acabada la cimentación del CT</t>
  </si>
  <si>
    <t>PHL-38340</t>
  </si>
  <si>
    <t>SC28_(81)</t>
  </si>
  <si>
    <t>La madera usada en la estructura, esta debe retirarse y hacer disposición adecuada.</t>
  </si>
  <si>
    <t>PHL-38336</t>
  </si>
  <si>
    <t>SC28_(74)</t>
  </si>
  <si>
    <t>Se identifica acercamientos con el suelo debido a movimientos de tierra  y desprendimiento de matrial</t>
  </si>
  <si>
    <t>PHL-38342</t>
  </si>
  <si>
    <t>SC28_(83)</t>
  </si>
  <si>
    <t>Limpieza general. Residuos de Icopor, y residuos de delimitación (manila, cinta peligro) el cual se encuentra en áreas ya conformadas.</t>
  </si>
  <si>
    <t>PHL-38341</t>
  </si>
  <si>
    <t>SC28_(82)</t>
  </si>
  <si>
    <t>Revisar en el SC en general entre los trackers, ya que se observan residuos plásticos asi como RCD.</t>
  </si>
  <si>
    <t>PHL-38334</t>
  </si>
  <si>
    <t>SC28_(69)</t>
  </si>
  <si>
    <t>Conformación para control de carcavas SC-28.</t>
  </si>
  <si>
    <t>PHL-38318</t>
  </si>
  <si>
    <t>SC28_(77)</t>
  </si>
  <si>
    <t>Identificación de celdas de MT con nomenclatura operativa.</t>
  </si>
  <si>
    <t>PHL-38316</t>
  </si>
  <si>
    <t>LV/MV  Cabin for string inverter Assembly</t>
  </si>
  <si>
    <t>SC28_(59)</t>
  </si>
  <si>
    <t>Instalación de la señalizacion RETIE en inversores</t>
  </si>
  <si>
    <t>PHL-38315</t>
  </si>
  <si>
    <t>SC28_(57)</t>
  </si>
  <si>
    <t>Instalación de placa característica en inversores</t>
  </si>
  <si>
    <t>2026-05-14</t>
  </si>
  <si>
    <t>2026-06-01</t>
  </si>
  <si>
    <t>Roads</t>
  </si>
  <si>
    <t>PHL-39091</t>
  </si>
  <si>
    <t>Caja de paso del costado norte de la OC5 de los CTOS 8-9-11</t>
  </si>
  <si>
    <t>PHL-39090</t>
  </si>
  <si>
    <t>Caja de paso del costado norte de la OC5 de los CTOS 8-9-10</t>
  </si>
  <si>
    <t>PHL-39088</t>
  </si>
  <si>
    <t>PHL-39084</t>
  </si>
  <si>
    <t>PHL-39082</t>
  </si>
  <si>
    <t>PHL-39098</t>
  </si>
  <si>
    <t>Caja de Empalme Sectioning Pit Cto 09 Lewis 6-8</t>
  </si>
  <si>
    <t>PHL-39101</t>
  </si>
  <si>
    <t>Caja de Empalme Sectioning Pit Cto 09 Lewis 6-11</t>
  </si>
  <si>
    <t>Security System</t>
  </si>
  <si>
    <t>PHL-39448</t>
  </si>
  <si>
    <t>SC34_(10)</t>
  </si>
  <si>
    <t>instalar señalización de reisgo Eléctrico en el SC</t>
  </si>
  <si>
    <t>PHL-39459</t>
  </si>
  <si>
    <t>SC34_(30)</t>
  </si>
  <si>
    <t>SC 34 alinear soportes de TCU TR 18 y 17</t>
  </si>
  <si>
    <t>PHL-39517</t>
  </si>
  <si>
    <t>MT CTO10_(145)Caja de Empalme Sectioning Pit Cto 10 Lewis 6-7</t>
  </si>
  <si>
    <t>PHL-39509</t>
  </si>
  <si>
    <t>MT CTO10_(129)Caja empalme cxto 10 SC26</t>
  </si>
  <si>
    <t>PHL-38895</t>
  </si>
  <si>
    <t>SC29_(117)</t>
  </si>
  <si>
    <t>Terminar alcance de cctv</t>
  </si>
  <si>
    <t>PHL-38322</t>
  </si>
  <si>
    <t>SC28_(35)</t>
  </si>
  <si>
    <t>Conformación de la plataforma, paisajismo y drenajes del área de la CT-28.</t>
  </si>
  <si>
    <t>2026-04-28</t>
  </si>
  <si>
    <t>PHL-39467</t>
  </si>
  <si>
    <t>SC34_(39)</t>
  </si>
  <si>
    <t>Sellar fisura base de concreto MSE 01 MSE 20</t>
  </si>
  <si>
    <t>PHL-39507</t>
  </si>
  <si>
    <t>MT CTO10_ (126)Cajas de paso OC1 costado norte y sur:</t>
  </si>
  <si>
    <t>PHL-39092</t>
  </si>
  <si>
    <t>Caja de paso del costado norte de la OC5 de los CTOS 8-9-12</t>
  </si>
  <si>
    <t>PHL-39074</t>
  </si>
  <si>
    <t>PHL-39073</t>
  </si>
  <si>
    <t>PHL-38627</t>
  </si>
  <si>
    <t>SC28_(93)</t>
  </si>
  <si>
    <t>limpieza de módulos.</t>
  </si>
  <si>
    <t>PHL-38626</t>
  </si>
  <si>
    <t>SC28_(92)</t>
  </si>
  <si>
    <t>Inundamiento por lluvias</t>
  </si>
  <si>
    <t>PHL-38625</t>
  </si>
  <si>
    <t>SC28_(58)</t>
  </si>
  <si>
    <t>Inversor MSE 01: Realizar resane al concreto de la base</t>
  </si>
  <si>
    <t>PHL-38348</t>
  </si>
  <si>
    <t>SC28_(91)</t>
  </si>
  <si>
    <t>No se evidencia señalización</t>
  </si>
  <si>
    <t>PHL-38313</t>
  </si>
  <si>
    <t>SC28_(39)</t>
  </si>
  <si>
    <t>Nomenclatura operativa de BT en breaker</t>
  </si>
  <si>
    <t>PHL-38317</t>
  </si>
  <si>
    <t>SC28_(67)</t>
  </si>
  <si>
    <t>Realizar el cambio de los esparragos que no cumplen con la distancia mínima por fuera de la tuerca.</t>
  </si>
  <si>
    <t xml:space="preserve">Se realiza cambio de espárragos en inversores que no cumplen con la distancia mínima </t>
  </si>
  <si>
    <t>PHL-38319</t>
  </si>
  <si>
    <t>SC28_(95)</t>
  </si>
  <si>
    <t>CCTV</t>
  </si>
  <si>
    <t>Site Quality Coordinator</t>
  </si>
  <si>
    <t>PHL-38320</t>
  </si>
  <si>
    <t>SC28_(96)</t>
  </si>
  <si>
    <t>Instalacion de sensores de temperatura</t>
  </si>
  <si>
    <t>PHL-38347</t>
  </si>
  <si>
    <t>SC28_(89)</t>
  </si>
  <si>
    <t>Ajustar señalizaciónes instaladas</t>
  </si>
  <si>
    <t>PHL-38324</t>
  </si>
  <si>
    <t>SC28_(37)</t>
  </si>
  <si>
    <t>Construcción vial de acceso  a la CT-28</t>
  </si>
  <si>
    <t>PHL-38333</t>
  </si>
  <si>
    <t>SC28_(68)</t>
  </si>
  <si>
    <t>Inversor MSE  14: Realizar resane a base del concreto, en afloramiento del cable</t>
  </si>
  <si>
    <t>Se resana base de concreto INV 14</t>
  </si>
  <si>
    <t>PHL-38628</t>
  </si>
  <si>
    <t>SC28_(94)</t>
  </si>
  <si>
    <t>Roceria</t>
  </si>
  <si>
    <t>2026-05-11</t>
  </si>
  <si>
    <t>Entrega de rocería</t>
  </si>
  <si>
    <t>se finalizan actividades</t>
  </si>
  <si>
    <t>PHL-38331</t>
  </si>
  <si>
    <t>SC28_(54)</t>
  </si>
  <si>
    <t>Cárcavas afectan altura de hincas</t>
  </si>
  <si>
    <t>PHL-38338</t>
  </si>
  <si>
    <t>SC28_(79)</t>
  </si>
  <si>
    <t>Material de excavación mezclado con residuos plásticos (tuberia), adicionalmente se observa material petreo en el área.</t>
  </si>
  <si>
    <t>PHL-38335</t>
  </si>
  <si>
    <t>SC28_(71)</t>
  </si>
  <si>
    <t>Se identifican Hincas que no cumplen con la altura debido al movimiento de tierra</t>
  </si>
  <si>
    <t>PHL-38332</t>
  </si>
  <si>
    <t>SC28_(65)</t>
  </si>
  <si>
    <t>Pendiente base para los extintores</t>
  </si>
  <si>
    <t>PHL-38329</t>
  </si>
  <si>
    <t>SC28_(49)</t>
  </si>
  <si>
    <t>Hinca inversor MSE 20: Altura de hinca a acá ado de concreto 2,08 m. No cumple</t>
  </si>
  <si>
    <t>PHL-38339</t>
  </si>
  <si>
    <t>SC28_(80)</t>
  </si>
  <si>
    <t>Disponer adecuadamente.RCD, plástico y material de excavación</t>
  </si>
  <si>
    <t>PHL-38327</t>
  </si>
  <si>
    <t>SC28_(45)</t>
  </si>
  <si>
    <t>Identificación de tracker</t>
  </si>
  <si>
    <t>PHL-38344</t>
  </si>
  <si>
    <t>SC28_(85)</t>
  </si>
  <si>
    <t>Falta de señalización y/o delimitación teniendo en cuenta las pruebas que se estén ejecutando</t>
  </si>
  <si>
    <t>PHL-38337</t>
  </si>
  <si>
    <t>SC28_(78)</t>
  </si>
  <si>
    <t>Es necesario recolección de residuos de plástico, cartón, madera que se encuentran dispersos en el área.</t>
  </si>
  <si>
    <t>PHL-38343</t>
  </si>
  <si>
    <t>SC28_(84)</t>
  </si>
  <si>
    <t>Cuenta con acopio temporal de residuos de madera, este espacio debe estar delimitado, señalizado, en orden y aseo. Adicionalmente cuando se realice el respectivo desmantelamiento y retiro total del acopio, el área debe entregarse limpia.</t>
  </si>
  <si>
    <t>PHL-38330</t>
  </si>
  <si>
    <t>SC28_(52)</t>
  </si>
  <si>
    <t>Hincas bajas por arrastre de material</t>
  </si>
  <si>
    <t>PHL-38326</t>
  </si>
  <si>
    <t>SC28_(42)</t>
  </si>
  <si>
    <t>Nivelación de terreno general  del SC-28</t>
  </si>
  <si>
    <t>PHL-39095</t>
  </si>
  <si>
    <t>Caja de paso del costado norte de la OC5 de los CTOS 8-9-15</t>
  </si>
  <si>
    <t>PHL-39093</t>
  </si>
  <si>
    <t>Caja de paso del costado norte de la OC5 de los CTOS 8-9-13</t>
  </si>
  <si>
    <t>PHL-39079</t>
  </si>
  <si>
    <t>PHL-39075</t>
  </si>
  <si>
    <t xml:space="preserve">se confirma cierre </t>
  </si>
  <si>
    <t>2026-04-29</t>
  </si>
  <si>
    <t>PHL-39076</t>
  </si>
  <si>
    <t>PHL-39069</t>
  </si>
  <si>
    <t>PHL-39064</t>
  </si>
  <si>
    <t>PHL-39058</t>
  </si>
  <si>
    <t>PHL-39070</t>
  </si>
  <si>
    <t>PHL-39063</t>
  </si>
  <si>
    <t>PHL-39218</t>
  </si>
  <si>
    <t>SC32_(31)</t>
  </si>
  <si>
    <t>Pendiente tapa torque tubo tracker 68, 69, 41,73 inv 4</t>
  </si>
  <si>
    <t>PHL-39191</t>
  </si>
  <si>
    <t>SC30_COMM</t>
  </si>
  <si>
    <t>Antena Rota T77</t>
  </si>
  <si>
    <t>2026-04-24</t>
  </si>
  <si>
    <t>se repara antena</t>
  </si>
  <si>
    <t>PHL-39220</t>
  </si>
  <si>
    <t>SC32_(37)</t>
  </si>
  <si>
    <t>Peinado de cable solar</t>
  </si>
  <si>
    <t>PHL-39300</t>
  </si>
  <si>
    <t>SC33_(95)</t>
  </si>
  <si>
    <t>Testigo De torqueo hinca 5 trácker 56</t>
  </si>
  <si>
    <t>PHL-39221</t>
  </si>
  <si>
    <t>SC32_(38)</t>
  </si>
  <si>
    <t>Entrega de planos As Built</t>
  </si>
  <si>
    <t>PHL-38784</t>
  </si>
  <si>
    <t>SC31_(96)</t>
  </si>
  <si>
    <t>PHL-38794</t>
  </si>
  <si>
    <t>SC31_(106)</t>
  </si>
  <si>
    <t>2026-07-08</t>
  </si>
  <si>
    <t>PHL-38780</t>
  </si>
  <si>
    <t>SC31_(92)</t>
  </si>
  <si>
    <t>Instalar delimitación al rededor del CT.</t>
  </si>
  <si>
    <t>Delimitación del CT</t>
  </si>
  <si>
    <t>PHL-38770</t>
  </si>
  <si>
    <t>SC31_(77)</t>
  </si>
  <si>
    <t>Revisar traqueo inca 2 Sur Norte tracker</t>
  </si>
  <si>
    <t>PHL-38766</t>
  </si>
  <si>
    <t>SC31_(68)</t>
  </si>
  <si>
    <t>Conformación de área perimetral, paisajismo y lavado final con grava, Área CT 31.</t>
  </si>
  <si>
    <t>Paisajismo del ct</t>
  </si>
  <si>
    <t>PHL-38758</t>
  </si>
  <si>
    <t>SC31_(60)</t>
  </si>
  <si>
    <t>Inversor 7 MQR 77: Realizar conexión hinca a torquetubo tierra en hinca 1</t>
  </si>
  <si>
    <t>PHL-38755</t>
  </si>
  <si>
    <t>SC31_(57)</t>
  </si>
  <si>
    <t>General: Retiro nido avispas</t>
  </si>
  <si>
    <t>Retiro nidos de avispas</t>
  </si>
  <si>
    <t>PHL-38751</t>
  </si>
  <si>
    <t>SC31_(53)</t>
  </si>
  <si>
    <t>Relleno del respaldo de aletas de las cunetas.</t>
  </si>
  <si>
    <t>PHL-38811</t>
  </si>
  <si>
    <t>SC29_(25)</t>
  </si>
  <si>
    <t>PHL-38742</t>
  </si>
  <si>
    <t>SC31_(44)</t>
  </si>
  <si>
    <t>Inversor #1, retirar madera</t>
  </si>
  <si>
    <t>Retirar madera</t>
  </si>
  <si>
    <t>PHL-38732</t>
  </si>
  <si>
    <t>SC31_(34)</t>
  </si>
  <si>
    <t>Instalar  tapones para MC4 descubiertos</t>
  </si>
  <si>
    <t>PHL-38728</t>
  </si>
  <si>
    <t>SC31_(29)</t>
  </si>
  <si>
    <t>Pendiente sellado  ductos solar y BT con Espuma de poliuretano -en estrustura</t>
  </si>
  <si>
    <t>PHL-38727</t>
  </si>
  <si>
    <t>SC31_(25)</t>
  </si>
  <si>
    <t>Pendiente Cierre de la NC053 (Por Hincas de Trackers Bajas en SI Subcampo 31)</t>
  </si>
  <si>
    <t>PHL-38721</t>
  </si>
  <si>
    <t>SC30_(127)</t>
  </si>
  <si>
    <t>tener en cuenta la instalación señalización informativa riesgo eléctrico en el SC</t>
  </si>
  <si>
    <t xml:space="preserve">cerrado confirma ito
</t>
  </si>
  <si>
    <t>cerrado confirma ito</t>
  </si>
  <si>
    <t>PHL-38818</t>
  </si>
  <si>
    <t>SC29_(36)</t>
  </si>
  <si>
    <t>Instalar nomenclatura operativa en celdas de MT.</t>
  </si>
  <si>
    <t>PHL-38819</t>
  </si>
  <si>
    <t>SC29_(37)</t>
  </si>
  <si>
    <t>Anclaje TC manera general SC29, faltan pernos de platina a cabina e instalación de una platina</t>
  </si>
  <si>
    <t>PHL-38696</t>
  </si>
  <si>
    <t>SC30_(102)</t>
  </si>
  <si>
    <t>General: Realizar llenos compactado alrededor de las bases de los inversores, retirar plastico en la parte inferior de las hincas,  sellar huecos con concreto y sellar fisuras en el concreto</t>
  </si>
  <si>
    <t>PHL-38775</t>
  </si>
  <si>
    <t>SC31_(86)</t>
  </si>
  <si>
    <t>Retirar lazos en torque tubos</t>
  </si>
  <si>
    <t>PHL-38774</t>
  </si>
  <si>
    <t>SC31_(85)</t>
  </si>
  <si>
    <t>SC 31 tracker 69 corregír pletinas de freno</t>
  </si>
  <si>
    <t>Corrección de pletinas de freno</t>
  </si>
  <si>
    <t>PHL-38692</t>
  </si>
  <si>
    <t>SC30_(97)</t>
  </si>
  <si>
    <t>Mejorar terminación entre hinca y loza. Inversor 06</t>
  </si>
  <si>
    <t>Mejora de terminación concreto - hinca</t>
  </si>
  <si>
    <t>PHL-38687</t>
  </si>
  <si>
    <t>SC30_(92)</t>
  </si>
  <si>
    <t>Definir medida preventiva para recoger agua de escorrentia antes de la cabina, se sugiere viga corona</t>
  </si>
  <si>
    <t>PHL-38676</t>
  </si>
  <si>
    <t>SC30_(79)</t>
  </si>
  <si>
    <t>Adecuación del terreno alrededor de las hincas sector oeste vecino al SC32, no se puede dejar ese material ahí</t>
  </si>
  <si>
    <t>PHL-38638</t>
  </si>
  <si>
    <t>SC30_(10)</t>
  </si>
  <si>
    <t>Figurar cableado antena comunicaciones (Solo figurado de cable)</t>
  </si>
  <si>
    <t>PHL-38637</t>
  </si>
  <si>
    <t>SC30_(8)</t>
  </si>
  <si>
    <t>General : Finalizar conexionado TCU Principal y auxiliar. (Actividad conexionado se realiza según indicaciones de trinaen sitio)</t>
  </si>
  <si>
    <t>2026-04-27</t>
  </si>
  <si>
    <t>se finalizan actividades confirma oskar supervisor tecnico ito enel</t>
  </si>
  <si>
    <t>PHL-39316</t>
  </si>
  <si>
    <t>SC33_(25)</t>
  </si>
  <si>
    <t>No se evidencian señalización de riego electrónico en inversores</t>
  </si>
  <si>
    <t>PHL-39322</t>
  </si>
  <si>
    <t>SC33_(99)</t>
  </si>
  <si>
    <t>PHL-39271</t>
  </si>
  <si>
    <t>SC33_(59)</t>
  </si>
  <si>
    <t>Aterrizar cerramiento perimetral</t>
  </si>
  <si>
    <t>PHL-39239</t>
  </si>
  <si>
    <t>SC32_(57)</t>
  </si>
  <si>
    <t>General: Limpieza y lavado de módulos y marcos</t>
  </si>
  <si>
    <t>PHL-39245</t>
  </si>
  <si>
    <t>SC32_(63)</t>
  </si>
  <si>
    <t>Inversores: Limpieza general alrededor de las bases, retiro de RCD, residuos plásticos (cinta de peligro, retazos de cinta, accesorios, amarres, espuma sellante) entre otros.</t>
  </si>
  <si>
    <t>PHL-39238</t>
  </si>
  <si>
    <t>SC32_(56)</t>
  </si>
  <si>
    <t>PHL-39237</t>
  </si>
  <si>
    <t>SC32_(55)</t>
  </si>
  <si>
    <t>General: Rellenar con concreto o grout, los vacíos que hay en las bases de inversores, en centro de las hincas</t>
  </si>
  <si>
    <t>PHL-39222</t>
  </si>
  <si>
    <t>SC32_(39)</t>
  </si>
  <si>
    <t>Construir vial de acceso a la TC</t>
  </si>
  <si>
    <t>PHL-39215</t>
  </si>
  <si>
    <t>SC32_(28)</t>
  </si>
  <si>
    <t>Aterrizar el cerramiento perimetral</t>
  </si>
  <si>
    <t>PHL-39206</t>
  </si>
  <si>
    <t>SC32_(17)</t>
  </si>
  <si>
    <t>Marquillado Cajas del SPT. En CT32</t>
  </si>
  <si>
    <t>PHL-39287</t>
  </si>
  <si>
    <t>SC33_(78)</t>
  </si>
  <si>
    <t>SC 33 Recojer materiales sobrantes</t>
  </si>
  <si>
    <t>PHL-39284</t>
  </si>
  <si>
    <t>SC33_(74)</t>
  </si>
  <si>
    <t>General: SC 33 realizar limpieza y galvanizado en los lever</t>
  </si>
  <si>
    <t>PHL-39278</t>
  </si>
  <si>
    <t>SC33_(50)</t>
  </si>
  <si>
    <t>General: adecuar y garantizar el enterramiento indicado por ingenieria de los ductos hdpe de bajante solar</t>
  </si>
  <si>
    <t>PHL-39275</t>
  </si>
  <si>
    <t>SC33_(46)</t>
  </si>
  <si>
    <t>General: sellar las  TCU</t>
  </si>
  <si>
    <t>PHL-39268</t>
  </si>
  <si>
    <t>SC33_(54)</t>
  </si>
  <si>
    <t>Limpieza termocontraible en cable AC string inverters 02</t>
  </si>
  <si>
    <t>PHL-39267</t>
  </si>
  <si>
    <t>SC33_(45)</t>
  </si>
  <si>
    <t>General: Mejorar peinado cable antena de comunicaciones TCU. Falta bucle.o gota.</t>
  </si>
  <si>
    <t>PHL-38893</t>
  </si>
  <si>
    <t>SC29_(115)</t>
  </si>
  <si>
    <t>Lavado de paneles</t>
  </si>
  <si>
    <t>PHL-38859</t>
  </si>
  <si>
    <t>SC29_(80)</t>
  </si>
  <si>
    <t>Revisar instalacion tolerancia soporte a ras extremo torque tubos T61 hinca1</t>
  </si>
  <si>
    <t>PHL-38851</t>
  </si>
  <si>
    <t>SC29_(71)</t>
  </si>
  <si>
    <t>Inversor MSE 22: Sellar fisuras en el concreto de la base, sellar hueco en el centro de la hinca</t>
  </si>
  <si>
    <t>PHL-38841</t>
  </si>
  <si>
    <t>SC29_(59)</t>
  </si>
  <si>
    <t>Retiro y gestión de residuos de madera, plástico, RCD y residuos ordinarios que se encuentran por el inversor 22 / Tracker 86.</t>
  </si>
  <si>
    <t>PHL-38833</t>
  </si>
  <si>
    <t>SC29_(51)</t>
  </si>
  <si>
    <t>Retiro y gestión de residuos de madera, zunchos metálicos y restos de tubería que se encuentran dispersos.</t>
  </si>
  <si>
    <t>PHL-38830</t>
  </si>
  <si>
    <t>SC29_(48)</t>
  </si>
  <si>
    <t>Instalar tag de cabina definitivo y plano de ubicación de string inverter</t>
  </si>
  <si>
    <t>PHL-38787</t>
  </si>
  <si>
    <t>SC31_(99)</t>
  </si>
  <si>
    <t>PHL-38765</t>
  </si>
  <si>
    <t>SC31_(67)</t>
  </si>
  <si>
    <t>Pendiente la Instalaciòn del tanque de aguas aceitosas CT 31.</t>
  </si>
  <si>
    <t>PHL-38757</t>
  </si>
  <si>
    <t>SC31_(59)</t>
  </si>
  <si>
    <t>SC 31 corregír ubicación de pletinas de frenos tracker 67,68,69, 71,72 y  general</t>
  </si>
  <si>
    <t>PHL-38714</t>
  </si>
  <si>
    <t>SC30_(120)</t>
  </si>
  <si>
    <t>Gestión de RAEE</t>
  </si>
  <si>
    <t>SE CONFIRMA CIERRE DESDE AREA AMBEINTAL</t>
  </si>
  <si>
    <t>PHL-38711</t>
  </si>
  <si>
    <t>SC30_(117)</t>
  </si>
  <si>
    <t>Gestión de material de construcción y de excavación.</t>
  </si>
  <si>
    <t>PHL-38691</t>
  </si>
  <si>
    <t>SC30_(96)</t>
  </si>
  <si>
    <t>MQR 84 entre hincas 2 y 3: Borde de modulo golpeado. Reparar o cambia</t>
  </si>
  <si>
    <t>cerrado confirm aadriana naranjo</t>
  </si>
  <si>
    <t>PHL-38688</t>
  </si>
  <si>
    <t>SC30_(93)</t>
  </si>
  <si>
    <t>Pendiente nivelación terreno alrededor del inversor 01. Se evidencia punto de inundable</t>
  </si>
  <si>
    <t>PHL-38647</t>
  </si>
  <si>
    <t>SC30_(48)</t>
  </si>
  <si>
    <t>Profundizar, mejorar salida de ducteria solar mesa MQR087</t>
  </si>
  <si>
    <t>PHL-38815</t>
  </si>
  <si>
    <t>SC29_(31)</t>
  </si>
  <si>
    <t>Adecuación del terreno adyacente al acabado de cabina</t>
  </si>
  <si>
    <t>PHL-38824</t>
  </si>
  <si>
    <t>SC29_(42)</t>
  </si>
  <si>
    <t>Dar manejo al material de excavación que se encuentra junto al CT, una vez finalicen las actividades.</t>
  </si>
  <si>
    <t>PHL-38825</t>
  </si>
  <si>
    <t>SC29_(43)</t>
  </si>
  <si>
    <t>Presentar aval de ingeniería sobre el proceso de prolongación de la tierra en pantalla</t>
  </si>
  <si>
    <t>PHL-38800</t>
  </si>
  <si>
    <t>SC31_(112)</t>
  </si>
  <si>
    <t>Realizar la recolección y disposición adecuada de los residuos de menor tamaño de plástico que se encuentran entre los tracker, correspondientes a retazos de cable y amarres.</t>
  </si>
  <si>
    <t>2026-07-17</t>
  </si>
  <si>
    <t>se confirma cierre por el area ambiental</t>
  </si>
  <si>
    <t>PHL-38829</t>
  </si>
  <si>
    <t>SC29_(47)</t>
  </si>
  <si>
    <t>Lleno compactado alrededor de la caja MT, e instalar tapa</t>
  </si>
  <si>
    <t>PHL-38827</t>
  </si>
  <si>
    <t>SC29_(45)</t>
  </si>
  <si>
    <t>Instalar planos unifilares de MT, BT y SSAA.</t>
  </si>
  <si>
    <t>PHL-38782</t>
  </si>
  <si>
    <t>SC31_(94)</t>
  </si>
  <si>
    <t>PHL-38828</t>
  </si>
  <si>
    <t>SC29_(46)</t>
  </si>
  <si>
    <t>Terminar de realizar lleno entre las vigas de la TC</t>
  </si>
  <si>
    <t>PHL-38763</t>
  </si>
  <si>
    <t>SC31_(65)</t>
  </si>
  <si>
    <t>MQR 086 Hinca 1: Retirar roca y residuos de madera</t>
  </si>
  <si>
    <t>Retiro de roca y residuos</t>
  </si>
  <si>
    <t>PHL-38832</t>
  </si>
  <si>
    <t>SC29_(50)</t>
  </si>
  <si>
    <t>Dar manejo al material sobrante de excavación que se encuentra junto a la estación meteorológica del subcampo 29</t>
  </si>
  <si>
    <t>PHL-38752</t>
  </si>
  <si>
    <t>SC31_(54)</t>
  </si>
  <si>
    <t>General omegas sobre tapas extremos, corregir y como observación en general en el SC (Verificar Todo el Subcampo)</t>
  </si>
  <si>
    <t>PHL-38311</t>
  </si>
  <si>
    <t>SC28_(26)</t>
  </si>
  <si>
    <t>Garantizar el cierre uniforme que evita el ingreso de animales al punto de conexión  en BT.</t>
  </si>
  <si>
    <t>PHL-38694</t>
  </si>
  <si>
    <t>SC30_(100)</t>
  </si>
  <si>
    <t>MQR  018 hinca 1: Terreno con depresión y empozamiento de agua. Nivelar terreno</t>
  </si>
  <si>
    <t>PHL-38693</t>
  </si>
  <si>
    <t>SC30_(99)</t>
  </si>
  <si>
    <t>Inversor MSE  07: Reparar concrero para la base, realizar lleno compactado a su alrededor, sellar fisuras</t>
  </si>
  <si>
    <t>PHL-38685</t>
  </si>
  <si>
    <t>SC30_(90)</t>
  </si>
  <si>
    <t>Construcción de terraplén y acabado civil en cabina</t>
  </si>
  <si>
    <t>PHL-39240</t>
  </si>
  <si>
    <t>SC32_(58)</t>
  </si>
  <si>
    <t>Faltan líneas de torqueo soportes de omegas tracker 37 al 31</t>
  </si>
  <si>
    <t>PHL-39244</t>
  </si>
  <si>
    <t>SC32_(62)</t>
  </si>
  <si>
    <t>Limpieza general alrededor de CT, retiro de residuos plásticos, RCD de menor tamaño, tornilleria, placas de protección, entre otros.</t>
  </si>
  <si>
    <t>se confirma cierre por aprte ambiental</t>
  </si>
  <si>
    <t>PHL-39227</t>
  </si>
  <si>
    <t>SC32_(44)</t>
  </si>
  <si>
    <t>Retiro madera de encofrado y Realizar lleno compactado alrededor de la base de la NCU</t>
  </si>
  <si>
    <t>PHL-39246</t>
  </si>
  <si>
    <t>SC32_(64)</t>
  </si>
  <si>
    <t>Retiro y disposición adecuada de las formaletas usadas para la fundida de las bases</t>
  </si>
  <si>
    <t>PHL-39231</t>
  </si>
  <si>
    <t>SC32_(48)</t>
  </si>
  <si>
    <t>Nivelar,  reconformar y compactar terrenos para sellar huellas dejadas por maquinaria y telehandlers (paisajismo)</t>
  </si>
  <si>
    <t>PHL-39270</t>
  </si>
  <si>
    <t>SC33_(58)</t>
  </si>
  <si>
    <t>Testigo Torqueo soportes String inverter Tr61</t>
  </si>
  <si>
    <t>PHL-39260</t>
  </si>
  <si>
    <t>SC33_(34)</t>
  </si>
  <si>
    <t>Pendiente sellado de ingresos tablero de comunicaciones</t>
  </si>
  <si>
    <t>PHL-39320</t>
  </si>
  <si>
    <t>SC33_(97)</t>
  </si>
  <si>
    <t>Realizar la recolección y disposición de los residuos que se encuentran acopiados y dispersos en el subcampo (cartón, plástico, restos de tubería...), se resalta que simultánea a la caminata se encontraba cuadrilla ambiental realizando recolección de residuos dispersos de menor tamaño</t>
  </si>
  <si>
    <t>PHL-39085</t>
  </si>
  <si>
    <t>PHL-39172</t>
  </si>
  <si>
    <t>SC31_117</t>
  </si>
  <si>
    <t>PHL-39249</t>
  </si>
  <si>
    <t>SC32_(67)</t>
  </si>
  <si>
    <t>Realizar limpieza general del SC, se identifican residuos plásticos (amarres, zunchos, tapas, accesorios, bolsas, delimitación, espuma sellante, etc), madera de estibas y carretes, cartón. Disponer adecuadamente.</t>
  </si>
  <si>
    <t>PHL-39233</t>
  </si>
  <si>
    <t>SC32_(50)</t>
  </si>
  <si>
    <t>Retiro de tierra excedente entre trackers 21 al 25</t>
  </si>
  <si>
    <t>PHL-39228</t>
  </si>
  <si>
    <t>SC32_(45)</t>
  </si>
  <si>
    <t>General: Realizar lleno compactado alrededor de las bases de los inversores</t>
  </si>
  <si>
    <t>PHL-39225</t>
  </si>
  <si>
    <t>SC32_(42)</t>
  </si>
  <si>
    <t>Terminar de realizar los llenos entre las vigas de la TC</t>
  </si>
  <si>
    <t>PHL-38809</t>
  </si>
  <si>
    <t>SC29_(23)</t>
  </si>
  <si>
    <t>PHL-38810</t>
  </si>
  <si>
    <t>SC29_(24)</t>
  </si>
  <si>
    <t>Instalacion de nomenclatura operativa de BT en breaker</t>
  </si>
  <si>
    <t>PHL-38808</t>
  </si>
  <si>
    <t>SC29_(22)</t>
  </si>
  <si>
    <t>Finalizar conexionado de malla de la cabina e instalación de cajas.</t>
  </si>
  <si>
    <t>PHL-38842</t>
  </si>
  <si>
    <t>SC29_(60)</t>
  </si>
  <si>
    <t>Identificación de SI e instalación riesgo eléctrico, general</t>
  </si>
  <si>
    <t>PHL-38778</t>
  </si>
  <si>
    <t>SC31_(89)</t>
  </si>
  <si>
    <t>Instalar tapa en torque tubos general</t>
  </si>
  <si>
    <t>PHL-38845</t>
  </si>
  <si>
    <t>SC29_(64)</t>
  </si>
  <si>
    <t>Sello de ductos ingreso cable solar, general</t>
  </si>
  <si>
    <t>PHL-38735</t>
  </si>
  <si>
    <t>SC31_(37)</t>
  </si>
  <si>
    <t>Terreno Alto en tracker 6</t>
  </si>
  <si>
    <t>Terreno adecuado</t>
  </si>
  <si>
    <t>PHL-38847</t>
  </si>
  <si>
    <t>SC29_(66)</t>
  </si>
  <si>
    <t>Sello ductos en bajante de agrupación de cable solar, general</t>
  </si>
  <si>
    <t>PHL-38744</t>
  </si>
  <si>
    <t>SC31_(46)</t>
  </si>
  <si>
    <t>Instalación alarmas visibles SACU</t>
  </si>
  <si>
    <t>PHL-38701</t>
  </si>
  <si>
    <t>SC30_(107)</t>
  </si>
  <si>
    <t>PHL-38849</t>
  </si>
  <si>
    <t>SC29_(69)</t>
  </si>
  <si>
    <t>Realizar limpieza general, recolección de residuos y retiro de parte de hinca por tracker 58.</t>
  </si>
  <si>
    <t>PHL-38683</t>
  </si>
  <si>
    <t>SC30_(88)</t>
  </si>
  <si>
    <t>Terminación de cunetas</t>
  </si>
  <si>
    <t>PHL-38681</t>
  </si>
  <si>
    <t>SC30_(86)</t>
  </si>
  <si>
    <t>Conformacion del terreno. Correccion de carcavas MQR061. Prioritario</t>
  </si>
  <si>
    <t>PHL-38677</t>
  </si>
  <si>
    <t>SC30_(80)</t>
  </si>
  <si>
    <t>Inversor 19 igual observación para el cumplimiento de los 70 cm</t>
  </si>
  <si>
    <t>PHL-38670</t>
  </si>
  <si>
    <t>SC30_(72)</t>
  </si>
  <si>
    <t>Hinca con altura de 1,80  MQR 028</t>
  </si>
  <si>
    <t>PHL-38664</t>
  </si>
  <si>
    <t>SC30_(66)</t>
  </si>
  <si>
    <t>Inversor 17 se debe cortar el terreno alrededor y adecuar la salida de agua para cumplir con los 70 cm al terreno</t>
  </si>
  <si>
    <t>Corrección del altura</t>
  </si>
  <si>
    <t>PHL-39086</t>
  </si>
  <si>
    <t>PHL-39089</t>
  </si>
  <si>
    <t>PHL-39250</t>
  </si>
  <si>
    <t>SC32_(68)</t>
  </si>
  <si>
    <t>Material de excavación, implementar la medida de manejo ambiental correspondiente (conformación o disposición ZODME)</t>
  </si>
  <si>
    <t>PHL-39248</t>
  </si>
  <si>
    <t>SC32_(66)</t>
  </si>
  <si>
    <t>Mantener las medidas de manejo ambiental en los puntos de sombra y cuando se realice el retiro de esto, es necesaria la limpieza de las zonas.</t>
  </si>
  <si>
    <t>PHL-39319</t>
  </si>
  <si>
    <t>SC33_(55)</t>
  </si>
  <si>
    <t>General: en los 22 inversores :  Retiro de material sobre base, orden y aseo del área (retiro de plásticos)</t>
  </si>
  <si>
    <t>PHL-39304</t>
  </si>
  <si>
    <t>SC33_(63)</t>
  </si>
  <si>
    <t>Colocar cuello de ganso al tanque de aceites</t>
  </si>
  <si>
    <t>PHL-39302</t>
  </si>
  <si>
    <t>SC33_(53)</t>
  </si>
  <si>
    <t>SC 33 retiro de material de excavación TR 06</t>
  </si>
  <si>
    <t>PHL-39288</t>
  </si>
  <si>
    <t>SC33_(79)</t>
  </si>
  <si>
    <t>Testigo de torqueo hinca 3 norte sur tracker 105</t>
  </si>
  <si>
    <t>PHL-39272</t>
  </si>
  <si>
    <t>SC33_(13)</t>
  </si>
  <si>
    <t>General: en los 22 inversores: Adecuacion de terreno retirando los moticulos de tierra acopiados</t>
  </si>
  <si>
    <t>PHL-39259</t>
  </si>
  <si>
    <t>SC33_(33)</t>
  </si>
  <si>
    <t>Pendiente sellado de ingresos SACU</t>
  </si>
  <si>
    <t>PHL-38789</t>
  </si>
  <si>
    <t>SC31_(101)</t>
  </si>
  <si>
    <t>PHL-38785</t>
  </si>
  <si>
    <t>SC31_(97)</t>
  </si>
  <si>
    <t>Cuando se realice el desmantelamiento del respectivo acopio, realizar limpieza y recolección de todos los residuos generados en este</t>
  </si>
  <si>
    <t>PHL-38806</t>
  </si>
  <si>
    <t>SC29_(20)</t>
  </si>
  <si>
    <t>Reforzar la instalación de los ductos de BT.</t>
  </si>
  <si>
    <t>PHL-38772</t>
  </si>
  <si>
    <t>SC31_(83)</t>
  </si>
  <si>
    <t>SC 31 tracker 66 hincas bajas</t>
  </si>
  <si>
    <t>Corrección de hincas bajas</t>
  </si>
  <si>
    <t>PHL-38754</t>
  </si>
  <si>
    <t>SC31_(56)</t>
  </si>
  <si>
    <t>Reconformaciòn de terreno para control de carcavas.</t>
  </si>
  <si>
    <t>PHL-38862</t>
  </si>
  <si>
    <t>SC29_(83)</t>
  </si>
  <si>
    <t>Pendiente adecuacion SPT ST21</t>
  </si>
  <si>
    <t>PHL-38717</t>
  </si>
  <si>
    <t>SC30_(123)</t>
  </si>
  <si>
    <t>Recolección y gestión de residuos dispersos alrededor del CT</t>
  </si>
  <si>
    <t>PHL-38865</t>
  </si>
  <si>
    <t>SC29_(86)</t>
  </si>
  <si>
    <t>Inversor MSE 009: Retirar plástico en la base devla hinca, completar sellado del concreto</t>
  </si>
  <si>
    <t>PHL-38866</t>
  </si>
  <si>
    <t>SC29_(87)</t>
  </si>
  <si>
    <t>Realizar limpieza general, recolección y gestión de residuos y retiro de materiales sobrantes, gestión de RAEE, entre los trackers 80-82.</t>
  </si>
  <si>
    <t>PHL-38869</t>
  </si>
  <si>
    <t>SC29_(90)</t>
  </si>
  <si>
    <t>Roceria del subcampo</t>
  </si>
  <si>
    <t>PHL-38870</t>
  </si>
  <si>
    <t>SC29_(91)</t>
  </si>
  <si>
    <t>Garantizar 4 puntos de amarres especialmente en el centro del cu ducto, general</t>
  </si>
  <si>
    <t>PHL-38871</t>
  </si>
  <si>
    <t>SC29_(92)</t>
  </si>
  <si>
    <t>Eliminar rebaba riel chanel ST11</t>
  </si>
  <si>
    <t>PHL-39194</t>
  </si>
  <si>
    <t>SC31_COMM</t>
  </si>
  <si>
    <t>String= T1,T7, T36, T60</t>
  </si>
  <si>
    <t>PHL-38873</t>
  </si>
  <si>
    <t>SC29_(94)</t>
  </si>
  <si>
    <t>Retiro de poli sombra tracker 28 inca 7</t>
  </si>
  <si>
    <t>se cofirma cierre</t>
  </si>
  <si>
    <t>PHL-39477</t>
  </si>
  <si>
    <t>SC34_(57)</t>
  </si>
  <si>
    <t>Retirar masilla en ducto HDPE de la entrada del cable de alimentacion a la NCU</t>
  </si>
  <si>
    <t>PHL-39476</t>
  </si>
  <si>
    <t>SC34_(55)</t>
  </si>
  <si>
    <t>Falta retocar todas las estructuras metalicas de los soportes de techos de SI</t>
  </si>
  <si>
    <t>PHL-39480</t>
  </si>
  <si>
    <t>SC34_(60)</t>
  </si>
  <si>
    <t>Falta retirar componentes sobrantes de la SACU  y entregar a logistica enel.</t>
  </si>
  <si>
    <t>PHL-39475</t>
  </si>
  <si>
    <t>SC34_(53)</t>
  </si>
  <si>
    <t>General: Falta marquillado en breaker de inversores AC CT34 Panel B</t>
  </si>
  <si>
    <t>PHL-40094</t>
  </si>
  <si>
    <t>SC34_67</t>
  </si>
  <si>
    <t>Gestión y retiro de llantas, accesorios de maquinaria y Rosa Bustos Duques, hierro</t>
  </si>
  <si>
    <t>PHL-39470</t>
  </si>
  <si>
    <t>SC34_(44)</t>
  </si>
  <si>
    <t>Presentar protocolos de verticalidad de las 2 NCU</t>
  </si>
  <si>
    <t>PHL-39236</t>
  </si>
  <si>
    <t>SC32_(53)</t>
  </si>
  <si>
    <t>Corrección de líneas de torqueo tracker 26</t>
  </si>
  <si>
    <t>PHL-39080</t>
  </si>
  <si>
    <t>PHL-39170</t>
  </si>
  <si>
    <t>SC29_118</t>
  </si>
  <si>
    <t>PHL-39235</t>
  </si>
  <si>
    <t>SC32_(52)</t>
  </si>
  <si>
    <t>General: Colocar marquilla definitiva de referenciacion del Tracker</t>
  </si>
  <si>
    <t>PHL-39226</t>
  </si>
  <si>
    <t>SC32_(43)</t>
  </si>
  <si>
    <t>Aplicar grout de Nivelación para los pernos de soporte de la NCU</t>
  </si>
  <si>
    <t>PHL-39211</t>
  </si>
  <si>
    <t>SC32_(23)</t>
  </si>
  <si>
    <t>Instalar en cabina los diagramas unifilares de BT y SSAA</t>
  </si>
  <si>
    <t>PHL-39204</t>
  </si>
  <si>
    <t>SC32_(15)</t>
  </si>
  <si>
    <t>Instalar nomenclatura operativa de las celdas de MT</t>
  </si>
  <si>
    <t>PHL-39325</t>
  </si>
  <si>
    <t>SC33_(102)</t>
  </si>
  <si>
    <t>Limpieza y retiro de sedimentos y recolección de residuos evidenciados en tramos de las cunetas de manejo de aguas de escorrentía superficial.</t>
  </si>
  <si>
    <t>cerrado se confrima cierre</t>
  </si>
  <si>
    <t>PHL-39310</t>
  </si>
  <si>
    <t>SC33_(70)</t>
  </si>
  <si>
    <t>Conformación de terreno y relleno de grouting en NCU</t>
  </si>
  <si>
    <t>PHL-39094</t>
  </si>
  <si>
    <t>Caja de paso del costado norte de la OC5 de los CTOS 8-9-14</t>
  </si>
  <si>
    <t>PHL-39478</t>
  </si>
  <si>
    <t>SC34_(58)</t>
  </si>
  <si>
    <t>Pendiente colocar tapa y bandeja en SSAA de cabina</t>
  </si>
  <si>
    <t>PHL-39197</t>
  </si>
  <si>
    <t>SC32_COMM</t>
  </si>
  <si>
    <t>String =T34</t>
  </si>
  <si>
    <t>PHL-39208</t>
  </si>
  <si>
    <t>SC32_(19)</t>
  </si>
  <si>
    <t>Identificar compartimiento de BT</t>
  </si>
  <si>
    <t>PHL-39205</t>
  </si>
  <si>
    <t>SC32_(16)</t>
  </si>
  <si>
    <t>Instalacion Cajas del SPT. En CT32</t>
  </si>
  <si>
    <t>PHL-39283</t>
  </si>
  <si>
    <t>SC33_(72)</t>
  </si>
  <si>
    <t>General:  SC 33 falta marca de torque en omegas y lever</t>
  </si>
  <si>
    <t>PHL-38986</t>
  </si>
  <si>
    <t>Caja de Empalme Sectioning Pit Cto 09 Suc 22</t>
  </si>
  <si>
    <t>2026-04-25</t>
  </si>
  <si>
    <t>PHL-39484</t>
  </si>
  <si>
    <t>SC34_(64)</t>
  </si>
  <si>
    <t>Limpieza y recolección de RCD que se encuentran en las zapatas de los tracker con inversores, NCU y acopiados al borde del vial</t>
  </si>
  <si>
    <t>PHL-38853</t>
  </si>
  <si>
    <t>SC29_(74)</t>
  </si>
  <si>
    <t>Sedimentacion placa concreto String Inverter T60</t>
  </si>
  <si>
    <t>PHL-38858</t>
  </si>
  <si>
    <t>SC29_(79)</t>
  </si>
  <si>
    <t>Identificación de hincas</t>
  </si>
  <si>
    <t>PHL-38762</t>
  </si>
  <si>
    <t>SC31_(64)</t>
  </si>
  <si>
    <t>MQR 109 hinca 2: Hinca baja. Regularizar el terreno</t>
  </si>
  <si>
    <t>Altura de hinca corregida</t>
  </si>
  <si>
    <t>PHL-38737</t>
  </si>
  <si>
    <t>SC31_(39)</t>
  </si>
  <si>
    <t>Oxidación en pernos en montaje inversores  general</t>
  </si>
  <si>
    <t>PHL-38724</t>
  </si>
  <si>
    <t>SC31_(22)</t>
  </si>
  <si>
    <t>Instalar Techos en Inversores Externos a los Trackers.</t>
  </si>
  <si>
    <t>Instalación de techos</t>
  </si>
  <si>
    <t>PHL-38705</t>
  </si>
  <si>
    <t>SC30_(111)</t>
  </si>
  <si>
    <t>Zona de tracker oeste es decir vecina al 32, retiro de paneles dañados limpieza general sobre tapamos de piedras residuos de plástico</t>
  </si>
  <si>
    <t>PHL-38684</t>
  </si>
  <si>
    <t>SC30_(89)</t>
  </si>
  <si>
    <t>Corregir carcavas sector MQR080 a MQR074</t>
  </si>
  <si>
    <t>PHL-38887</t>
  </si>
  <si>
    <t>SC29_(109)</t>
  </si>
  <si>
    <t>Instalar señalizacion del cerramiento perimetral del S29.</t>
  </si>
  <si>
    <t>PHL-38888</t>
  </si>
  <si>
    <t>SC29_(110)</t>
  </si>
  <si>
    <t>falta de delimitación alrededor del CT</t>
  </si>
  <si>
    <t>PHL-39103</t>
  </si>
  <si>
    <t>Caja de Empalme Sectioning Pit Cto 09 Lewis 6-13</t>
  </si>
  <si>
    <t>PHL-39097</t>
  </si>
  <si>
    <t>Caja de Empalme Sectioning Pit Cto 09 Lewis 6-7</t>
  </si>
  <si>
    <t>PHL-39059</t>
  </si>
  <si>
    <t>PHL-39223</t>
  </si>
  <si>
    <t>SC32_(40)</t>
  </si>
  <si>
    <t>Instalación de pernos platina de anclaje costado oriental y occidental de la CT</t>
  </si>
  <si>
    <t>PHL-39466</t>
  </si>
  <si>
    <t>SC34_(38)</t>
  </si>
  <si>
    <t>Cambiar posición latiguillo tierra TR 75 a TR 90,</t>
  </si>
  <si>
    <t>PHL-39468</t>
  </si>
  <si>
    <t>SC34_(42)</t>
  </si>
  <si>
    <t>Ductos expuestos llegada NCU 039</t>
  </si>
  <si>
    <t>PHL-39465</t>
  </si>
  <si>
    <t>SC34_(36)</t>
  </si>
  <si>
    <t>Adecuación del terreno aldedor de la cimentación de la NCU 39 dejando escurrimiento hacia afuera</t>
  </si>
  <si>
    <t>PHL-39464</t>
  </si>
  <si>
    <t>SC34_(35)</t>
  </si>
  <si>
    <t>SC 34 falta concreto Secundario en NCU 3 y 39 , con pendiente del 5% como indica el plano</t>
  </si>
  <si>
    <t>PHL-39457</t>
  </si>
  <si>
    <t>SC34_(27)</t>
  </si>
  <si>
    <t>Lleno sobre zanja CCTV debe completarse a nivel de terreno dejar una capa de 20 cm sobre las para suplí asentamientos por no compactar (general)</t>
  </si>
  <si>
    <t>PHL-39454</t>
  </si>
  <si>
    <t>SC34_(22)</t>
  </si>
  <si>
    <t>Adecuación general del terreno por ahuellamientos y material sobrante de excavación</t>
  </si>
  <si>
    <t>PHL-39452</t>
  </si>
  <si>
    <t>SC34_(20)</t>
  </si>
  <si>
    <t>Limpieza de cunetas</t>
  </si>
  <si>
    <t>PHL-38892</t>
  </si>
  <si>
    <t>SC29_(114)</t>
  </si>
  <si>
    <t>La instalación señalización informativa riesgo electrico en el SC</t>
  </si>
  <si>
    <t>PHL-38882</t>
  </si>
  <si>
    <t>SC29_(104)</t>
  </si>
  <si>
    <t>Sin riel Chanel para soporte de ductos en SI 5, 6 y 7</t>
  </si>
  <si>
    <t>PHL-38867</t>
  </si>
  <si>
    <t>SC29_(88)</t>
  </si>
  <si>
    <t>Construcción del drenaje</t>
  </si>
  <si>
    <t>PHL-38840</t>
  </si>
  <si>
    <t>SC29_(58)</t>
  </si>
  <si>
    <t>General: Marcacion de torqueo</t>
  </si>
  <si>
    <t>PHL-38771</t>
  </si>
  <si>
    <t>SC31_(80)</t>
  </si>
  <si>
    <t>Retiro de roca escombros tracker 83 inca 7 Sur Norte</t>
  </si>
  <si>
    <t>Retiro de escombros</t>
  </si>
  <si>
    <t>PHL-38739</t>
  </si>
  <si>
    <t>SC31_(41)</t>
  </si>
  <si>
    <t>Limpieza general en Inversores</t>
  </si>
  <si>
    <t>PHL-38722</t>
  </si>
  <si>
    <t>SC31_(16)</t>
  </si>
  <si>
    <t>Instalación de cajas de registros para SPT de cabina</t>
  </si>
  <si>
    <t>PHL-39100</t>
  </si>
  <si>
    <t>Caja de Empalme Sectioning Pit Cto 09 Lewis 6-10</t>
  </si>
  <si>
    <t>PHL-38861</t>
  </si>
  <si>
    <t>SC29_(82)</t>
  </si>
  <si>
    <t>Inversor MSE 11: Sellar fisuras en el acabado de la base del concreto</t>
  </si>
  <si>
    <t>PHL-38852</t>
  </si>
  <si>
    <t>SC29_(72)</t>
  </si>
  <si>
    <t>General: Lleno compactado alrededor de las bases de los inversores</t>
  </si>
  <si>
    <t>PHL-38850</t>
  </si>
  <si>
    <t>SC29_(70)</t>
  </si>
  <si>
    <t>MQR 086 hinca 4; Limpieza de la hinca</t>
  </si>
  <si>
    <t>PHL-38839</t>
  </si>
  <si>
    <t>SC29_(57)</t>
  </si>
  <si>
    <t>General: Sello de carcsvas</t>
  </si>
  <si>
    <t>PHL-38835</t>
  </si>
  <si>
    <t>SC29_(53)</t>
  </si>
  <si>
    <t>Instalación de señalizacion RETIE  en cabina</t>
  </si>
  <si>
    <t>PHL-38822</t>
  </si>
  <si>
    <t>SC29_(40)</t>
  </si>
  <si>
    <t>garantizar la protección del cable de MT.</t>
  </si>
  <si>
    <t>PHL-38820</t>
  </si>
  <si>
    <t>SC29_(38)</t>
  </si>
  <si>
    <t>Pendiente aplicacion de masilla sellaste en SACU</t>
  </si>
  <si>
    <t>PHL-38814</t>
  </si>
  <si>
    <t>SC29_(30)</t>
  </si>
  <si>
    <t>Señalizar tanque de aceites y colocar cuello de ganso</t>
  </si>
  <si>
    <t>PHL-38807</t>
  </si>
  <si>
    <t>SC29_(21)</t>
  </si>
  <si>
    <t>CT: Conformar la plataforma</t>
  </si>
  <si>
    <t>PHL-38781</t>
  </si>
  <si>
    <t>SC31_(93)</t>
  </si>
  <si>
    <t>Instalar adecuadamente la señalización en la excavación del tanque de aguas aceitosas.</t>
  </si>
  <si>
    <t>PHL-38773</t>
  </si>
  <si>
    <t>SC31_(84)</t>
  </si>
  <si>
    <t>SC 31 tracker 68 Cambiar tapa extremo por golpe</t>
  </si>
  <si>
    <t>Cambio de tapa</t>
  </si>
  <si>
    <t>PHL-38759</t>
  </si>
  <si>
    <t>SC31_(61)</t>
  </si>
  <si>
    <t>Realizar marcacion definitiva de los trackers</t>
  </si>
  <si>
    <t>PHL-38745</t>
  </si>
  <si>
    <t>SC31_(47)</t>
  </si>
  <si>
    <t>Sin tapó la alimentación dél gato hidráulico en el tracker 65 y 44.</t>
  </si>
  <si>
    <t>Conectados todos los actuadores</t>
  </si>
  <si>
    <t>PHL-38723</t>
  </si>
  <si>
    <t>SC31_(20)</t>
  </si>
  <si>
    <t>Presentar Planos red line (Si aplica)</t>
  </si>
  <si>
    <t>Entrega de planos Redline y devolución firmados</t>
  </si>
  <si>
    <t>PHL-38720</t>
  </si>
  <si>
    <t>SC30_(126)</t>
  </si>
  <si>
    <t>no se encuentra señalizado tanque de aguas aceitosas</t>
  </si>
  <si>
    <t xml:space="preserve">cerrado confirna ito
</t>
  </si>
  <si>
    <t>PHL-38695</t>
  </si>
  <si>
    <t>SC30_(101)</t>
  </si>
  <si>
    <t>MQR 17 entre hincas 1 y 2: Terreno con depresión y empozamiento de agua. Nivelar terreno</t>
  </si>
  <si>
    <t>PHL-38679</t>
  </si>
  <si>
    <t>SC30_(83)</t>
  </si>
  <si>
    <t>Inversor 22 igual observación del corte de terreno y adecuación</t>
  </si>
  <si>
    <t>se cofnriam cierre</t>
  </si>
  <si>
    <t>PHL-38855</t>
  </si>
  <si>
    <t>SC29_(76)</t>
  </si>
  <si>
    <t>Hinca con base de concreto cubierta por material de arrastre pendiente corte del terreno y garantizar descole Tracker 60 Hinca 1</t>
  </si>
  <si>
    <t>PHL-38857</t>
  </si>
  <si>
    <t>SC29_(78)</t>
  </si>
  <si>
    <t>Corrección de hincas bajas,plicación de las medidas del Plan de manejo de erosión y drenajes</t>
  </si>
  <si>
    <t>PHL-38783</t>
  </si>
  <si>
    <t>SC31_(95)</t>
  </si>
  <si>
    <t>PHL-38740</t>
  </si>
  <si>
    <t>SC31_(42)</t>
  </si>
  <si>
    <t>Inv 9 suelto riel  Channel , cortar pvc de tierra  y sellar</t>
  </si>
  <si>
    <t>PHL-38689</t>
  </si>
  <si>
    <t>SC30_(94)</t>
  </si>
  <si>
    <t>Correccion de carcavas MQR051-52</t>
  </si>
  <si>
    <t>PHL-38686</t>
  </si>
  <si>
    <t>SC30_(91)</t>
  </si>
  <si>
    <t>Adecuación del terreno en la zona de cabina para evitar empozamiientos</t>
  </si>
  <si>
    <t>PHL-38669</t>
  </si>
  <si>
    <t>SC30_(71)</t>
  </si>
  <si>
    <t>Inversor # 16: Construir base en concreto</t>
  </si>
  <si>
    <t>se confirma cierre adriana maria naranjo</t>
  </si>
  <si>
    <t>PHL-38649</t>
  </si>
  <si>
    <t>SC30_(50)</t>
  </si>
  <si>
    <t>Pendiente seriar y amarrar circuitos en el lado de la “Tracker al lado del SC32”</t>
  </si>
  <si>
    <t>PHL-39102</t>
  </si>
  <si>
    <t>Caja de Empalme Sectioning Pit Cto 09 Lewis 6-12</t>
  </si>
  <si>
    <t>PHL-39072</t>
  </si>
  <si>
    <t>PHL-38878</t>
  </si>
  <si>
    <t>SC29_(99)</t>
  </si>
  <si>
    <t>Sellar los orificios de la NCU</t>
  </si>
  <si>
    <t>Se realiza sellado de los orificios</t>
  </si>
  <si>
    <t>PHL-38823</t>
  </si>
  <si>
    <t>SC29_(41)</t>
  </si>
  <si>
    <t>Señalizar, delimitar y cubrir material de construcción (arena) y retirar excedentes cuando finalicen actividades.</t>
  </si>
  <si>
    <t>PHL-38812</t>
  </si>
  <si>
    <t>SC29_(27)</t>
  </si>
  <si>
    <t>Resanar borde concreto viga de cimentación de la TC</t>
  </si>
  <si>
    <t>PHL-38764</t>
  </si>
  <si>
    <t>SC31_(66)</t>
  </si>
  <si>
    <t>MQR  108 hinca 1: Hinca baja. Regularizar el terreno</t>
  </si>
  <si>
    <t>PHL-38736</t>
  </si>
  <si>
    <t>SC31_(38)</t>
  </si>
  <si>
    <t>Pernos cortos y sin reservas para anclaje de inversor 20</t>
  </si>
  <si>
    <t>PHL-39078</t>
  </si>
  <si>
    <t>PHL-38856</t>
  </si>
  <si>
    <t>SC29_(77)</t>
  </si>
  <si>
    <t>Revisar de manera general limpieza galvanizados estructuras</t>
  </si>
  <si>
    <t>PHL-38838</t>
  </si>
  <si>
    <t>SC29_(56)</t>
  </si>
  <si>
    <t>Garantizar sello debajo de cabina para acceso de animales</t>
  </si>
  <si>
    <t>PHL-38796</t>
  </si>
  <si>
    <t>SC31_(108)</t>
  </si>
  <si>
    <t>Retiro de geotextil junto a tracker</t>
  </si>
  <si>
    <t>Retiro de Geotextil</t>
  </si>
  <si>
    <t>PHL-38793</t>
  </si>
  <si>
    <t>SC31_(105)</t>
  </si>
  <si>
    <t>PHL-38792</t>
  </si>
  <si>
    <t>SC31_(104)</t>
  </si>
  <si>
    <t>PHL-38790</t>
  </si>
  <si>
    <t>SC31_(102)</t>
  </si>
  <si>
    <t>PHL-38716</t>
  </si>
  <si>
    <t>SC30_(122)</t>
  </si>
  <si>
    <t>Gestión de material de construcción por CT (delimitar, señalizar y cubrir) y gestión de excedentes</t>
  </si>
  <si>
    <t>PHL-38703</t>
  </si>
  <si>
    <t>SC30_(109)</t>
  </si>
  <si>
    <t>Instalar pernos en los patines de la TC</t>
  </si>
  <si>
    <t>PHL-38698</t>
  </si>
  <si>
    <t>SC30_(104)</t>
  </si>
  <si>
    <t>Inversor MSE 09: Construir base para inversor e instalar techo</t>
  </si>
  <si>
    <t>Base de concreto y techos de inversores en hincas externas listo</t>
  </si>
  <si>
    <t>PHL-38651</t>
  </si>
  <si>
    <t>SC30_(52)</t>
  </si>
  <si>
    <t>Cubrir cables BT con ductos hasta tope con CT</t>
  </si>
  <si>
    <t>PHL-38881</t>
  </si>
  <si>
    <t>SC29_(102)</t>
  </si>
  <si>
    <t>Instalar identificación de la NCU correspondiente</t>
  </si>
  <si>
    <t>PHL-38885</t>
  </si>
  <si>
    <t>SC29_(107)</t>
  </si>
  <si>
    <t>Aterrizar el cerramiento perimetral del SC29</t>
  </si>
  <si>
    <t>PHL-38760</t>
  </si>
  <si>
    <t>SC31_(62)</t>
  </si>
  <si>
    <t>Nivelación y retiro de sobrantes de excavación, en general</t>
  </si>
  <si>
    <t>PHL-38715</t>
  </si>
  <si>
    <t>SC30_(121)</t>
  </si>
  <si>
    <t>Realizar gestión de material de excavación ubicado por el CT</t>
  </si>
  <si>
    <t>PHL-38708</t>
  </si>
  <si>
    <t>SC30_(114)</t>
  </si>
  <si>
    <t>Gestión de material de construcción (arena), delimitación, señalización y cubrimiento mientras esté temporalmente acopiado</t>
  </si>
  <si>
    <t>PHL-38707</t>
  </si>
  <si>
    <t>SC30_(113)</t>
  </si>
  <si>
    <t>Realizar limpieza general en todo el subcampo, recolección y gestión de residuos plásticos, cartón, madera, zunchos metálicos, que se encuentran dispersos.</t>
  </si>
  <si>
    <t>PHL-38666</t>
  </si>
  <si>
    <t>SC30_(68)</t>
  </si>
  <si>
    <t>General: Reconformar y nivelar terreno en el subcampo</t>
  </si>
  <si>
    <t>PHL-38663</t>
  </si>
  <si>
    <t>SC30_(65)</t>
  </si>
  <si>
    <t>MSE  015: Realizar lleno alrededor de la base, retirar pladtoco parte inferior, sellar huevo en el centro de la hinca</t>
  </si>
  <si>
    <t>PHL-38883</t>
  </si>
  <si>
    <t>SC29_(105)</t>
  </si>
  <si>
    <t>Realizar limpieza general, recolección y gestión de residuos plásticos, cartón y residuos de aprovechamiento forestal por tracker 71</t>
  </si>
  <si>
    <t>PHL-38879</t>
  </si>
  <si>
    <t>SC29_(100)</t>
  </si>
  <si>
    <t>Mejorar llegada de ductos solar en la Si</t>
  </si>
  <si>
    <t>se confirma cierer</t>
  </si>
  <si>
    <t>PHL-38803</t>
  </si>
  <si>
    <t>SC31_(115)</t>
  </si>
  <si>
    <t>Revisar torque hinca 4SN T102</t>
  </si>
  <si>
    <t>PHL-38786</t>
  </si>
  <si>
    <t>SC31_(98)</t>
  </si>
  <si>
    <t>PHL-38761</t>
  </si>
  <si>
    <t>SC31_(63)</t>
  </si>
  <si>
    <t>Retiro de rocas área inversores 8-10</t>
  </si>
  <si>
    <t>Retiro de tocas de inversores</t>
  </si>
  <si>
    <t>PHL-38741</t>
  </si>
  <si>
    <t>SC31_(43)</t>
  </si>
  <si>
    <t>Inversor # 11 cambiar pasador riel channel</t>
  </si>
  <si>
    <t>PHL-38725</t>
  </si>
  <si>
    <t>SC31_(23)</t>
  </si>
  <si>
    <t>Pendiente Planes de Acción y Cierre de la NC069 (Por Mal Corte de Aislamiento Cable BT Cabina CT 31)</t>
  </si>
  <si>
    <t>No conformidades cerradas</t>
  </si>
  <si>
    <t>PHL-38718</t>
  </si>
  <si>
    <t>SC30_(124)</t>
  </si>
  <si>
    <t>Retiro y gestión de polisombra en estación meteorológica</t>
  </si>
  <si>
    <t>Polisombra retirada</t>
  </si>
  <si>
    <t>PHL-38699</t>
  </si>
  <si>
    <t>SC30_(105)</t>
  </si>
  <si>
    <t>Instalar cuello de ganso al tanque de aceites, delimitar y señalizar el tanque de aceites</t>
  </si>
  <si>
    <t>PHL-38655</t>
  </si>
  <si>
    <t>SC30_(56)</t>
  </si>
  <si>
    <t>Falta tag en gabinete de comunicaciones</t>
  </si>
  <si>
    <t>PHL-38646</t>
  </si>
  <si>
    <t>SC30_(47)</t>
  </si>
  <si>
    <t>Corregir empate ducteria cable solar inversor 10</t>
  </si>
  <si>
    <t>PHL-39224</t>
  </si>
  <si>
    <t>SC32_(41)</t>
  </si>
  <si>
    <t>Construir terraplén de la TC</t>
  </si>
  <si>
    <t>PHL-39247</t>
  </si>
  <si>
    <t>SC32_(65)</t>
  </si>
  <si>
    <t>Revisión y retiro de RCD del SC, tener presente que aún se estan ejecutando actividades con concreto, deben implementarse las medidas de manejo ambiental correspondientes.</t>
  </si>
  <si>
    <t>PHL-38864</t>
  </si>
  <si>
    <t>SC29_(85)</t>
  </si>
  <si>
    <t>Inversor MSE 10: Retirar plástico parte inferior de la hinca, retirar rebaba del concreto</t>
  </si>
  <si>
    <t>PHL-38802</t>
  </si>
  <si>
    <t>SC31_(114)</t>
  </si>
  <si>
    <t>Etiquetado o marcación de identificación de elementos (tracker) (Si aplica)</t>
  </si>
  <si>
    <t>PHL-38756</t>
  </si>
  <si>
    <t>SC31_(58)</t>
  </si>
  <si>
    <t>Vaciar bases en concreto para los inversores MSE 17, 18, 19, 20, 21,22</t>
  </si>
  <si>
    <t>protocolo de vaciado de bases de inversores</t>
  </si>
  <si>
    <t>PHL-38746</t>
  </si>
  <si>
    <t>SC31_(48)</t>
  </si>
  <si>
    <t>La tierra de los inversores no se encuentra instalada de forma centrada</t>
  </si>
  <si>
    <t>Tierra de inversores instalada según comentarios de enel</t>
  </si>
  <si>
    <t>PHL-38678</t>
  </si>
  <si>
    <t>SC30_(82)</t>
  </si>
  <si>
    <t>Roceria para evitar enredaderas en las hincas</t>
  </si>
  <si>
    <t>PHL-38659</t>
  </si>
  <si>
    <t>SC30_(60)</t>
  </si>
  <si>
    <t>Nivelación terreno lado “costado del SC32”</t>
  </si>
  <si>
    <t>PHL-39463</t>
  </si>
  <si>
    <t>SC34_(34)</t>
  </si>
  <si>
    <t>Mejorar Acabado Cable Alimentación TCU General</t>
  </si>
  <si>
    <t>PHL-40088</t>
  </si>
  <si>
    <t>SC34_61</t>
  </si>
  <si>
    <t>PHL-40089</t>
  </si>
  <si>
    <t>SC34_62</t>
  </si>
  <si>
    <t>Falta instalar unifilar en BT</t>
  </si>
  <si>
    <t>PHL-38844</t>
  </si>
  <si>
    <t>SC29_(63)</t>
  </si>
  <si>
    <t>Pendiente figurado antena TCU master - general</t>
  </si>
  <si>
    <t>PHL-38821</t>
  </si>
  <si>
    <t>SC29_(39)</t>
  </si>
  <si>
    <t>Conformación taludes y plataforma al rededor TC SC29</t>
  </si>
  <si>
    <t>PHL-38804</t>
  </si>
  <si>
    <t>SC31_(116)</t>
  </si>
  <si>
    <t>Instalar tapa extremo de Torquetubos (General)</t>
  </si>
  <si>
    <t>PHL-38801</t>
  </si>
  <si>
    <t>SC31_(113)</t>
  </si>
  <si>
    <t>Certificados de fusión de fibra óptica</t>
  </si>
  <si>
    <t>Certificados FO</t>
  </si>
  <si>
    <t>PHL-38797</t>
  </si>
  <si>
    <t>SC31_(109)</t>
  </si>
  <si>
    <t>realizar limpieza y retiro de excedentes de material petreo, los cuales no se encuentren en uso en los frente de obra</t>
  </si>
  <si>
    <t>SE CONFIRMA CIERRE DESDE AREA AMBIENTAL</t>
  </si>
  <si>
    <t>PHL-38733</t>
  </si>
  <si>
    <t>SC31_(35)</t>
  </si>
  <si>
    <t>Cobre expuesto SPT en   its 31 tracker 71</t>
  </si>
  <si>
    <t>PHL-38731</t>
  </si>
  <si>
    <t>SC31_(33)</t>
  </si>
  <si>
    <t>Pendiente Figurado cable de antena</t>
  </si>
  <si>
    <t>PHL-38726</t>
  </si>
  <si>
    <t>SC31_(24)</t>
  </si>
  <si>
    <t>Pendiente Planes de Acción y Cierre de la NC065 (Por Daño Cable BT inversor 15 SC31)</t>
  </si>
  <si>
    <t>PHL-38713</t>
  </si>
  <si>
    <t>SC30_(119)</t>
  </si>
  <si>
    <t>Recolección y gestión de residuos de montaje mecanico dispersos</t>
  </si>
  <si>
    <t>PHL-38690</t>
  </si>
  <si>
    <t>SC30_(95)</t>
  </si>
  <si>
    <t>Falta concreto de segunda etapa y la regata o canal que viene por diseño en todas las bases de los mástiles NCU</t>
  </si>
  <si>
    <t>PHL-38653</t>
  </si>
  <si>
    <t>SC30_(54)</t>
  </si>
  <si>
    <t>Instalacion de arquetas perimetral en CT</t>
  </si>
  <si>
    <t>PHL-38650</t>
  </si>
  <si>
    <t>SC30_(51)</t>
  </si>
  <si>
    <t>General: Asegurar 4 puntos de anclaje del ducto solar</t>
  </si>
  <si>
    <t>Tapado de huecos de ingreso a caja. (Poliuretano)</t>
  </si>
  <si>
    <t>cerrado</t>
  </si>
  <si>
    <t>PHL-39252</t>
  </si>
  <si>
    <t>SC32_(70)</t>
  </si>
  <si>
    <t>Retiro de accesorios olvidados en el SC, realizar revisión general.</t>
  </si>
  <si>
    <t xml:space="preserve">SE CONFIRMA CIERRE </t>
  </si>
  <si>
    <t>PHL-39522</t>
  </si>
  <si>
    <t>MT CTO_(155)Caja de Empalme Sectioning Pit Cto 10 Lewis 6-7 -Norte</t>
  </si>
  <si>
    <t>Limpieza general</t>
  </si>
  <si>
    <t>PHL-38643</t>
  </si>
  <si>
    <t>SC30_(41)</t>
  </si>
  <si>
    <t>Inversor # 12: Sin Techo</t>
  </si>
  <si>
    <t>PHL-39318</t>
  </si>
  <si>
    <t>SC33_(96)</t>
  </si>
  <si>
    <t>CT sin delimitación en general y señalizar</t>
  </si>
  <si>
    <t>PHL-39312</t>
  </si>
  <si>
    <t>SC33_(76)</t>
  </si>
  <si>
    <t>Base inversor MSE 17: Mejorar el acabado del concreto</t>
  </si>
  <si>
    <t>PHL-39308</t>
  </si>
  <si>
    <t>SC33_(67)</t>
  </si>
  <si>
    <t>General: Realizar rocería</t>
  </si>
  <si>
    <t>PHL-39297</t>
  </si>
  <si>
    <t>SC33_(92)</t>
  </si>
  <si>
    <t>Retiro de elementos que puedan afectar los papeles debajo de ellos. A nível general. (TR92)</t>
  </si>
  <si>
    <t>PHL-39261</t>
  </si>
  <si>
    <t>SC33_(35)</t>
  </si>
  <si>
    <t>Instalar plano unifilar y de comunicaciónes en el gabinete de comunicaciónes</t>
  </si>
  <si>
    <t>PHL-39482</t>
  </si>
  <si>
    <t>SC34_(62)</t>
  </si>
  <si>
    <t>PHL-39449</t>
  </si>
  <si>
    <t>SC34_(17)</t>
  </si>
  <si>
    <t>General: SC 34 Limpieza general de Tracker</t>
  </si>
  <si>
    <t>PHL-39510</t>
  </si>
  <si>
    <t>MT CTO10_(131)Caja empalme Promigas 5 costado sur:</t>
  </si>
  <si>
    <t>conformación de terreno</t>
  </si>
  <si>
    <t>PHL-39508</t>
  </si>
  <si>
    <t>MT CTO10_(127)-Cajas de paso OC1 costado norte y sur:</t>
  </si>
  <si>
    <t>PHL-39520</t>
  </si>
  <si>
    <t>MT CTO10_(149)Caja de Empalme Sectioning Pit Cto 10 Lewis 6-7</t>
  </si>
  <si>
    <t>⁠conformación de Terreno Cajas de Fusión FO</t>
  </si>
  <si>
    <t>PHL-39521</t>
  </si>
  <si>
    <t>MT CTO_(150)Caja de Empalme Sectioning Pit Cto 10 Lewis 6-7</t>
  </si>
  <si>
    <t>conformación de terreno Cajas de Empalme Sectioning Pit</t>
  </si>
  <si>
    <t>PHL-39523</t>
  </si>
  <si>
    <t>MT CTO10_(156)Caja de Empalme Sectioning Pit Cto 10 Lewis 6-7 -Norte</t>
  </si>
  <si>
    <t>Adecuación del terreno</t>
  </si>
  <si>
    <t>PHL-39323</t>
  </si>
  <si>
    <t>SC33_(100)</t>
  </si>
  <si>
    <t>Gestión de materiales sobrantes de construcción</t>
  </si>
  <si>
    <t>se confirma cierre por parte de area ambiental</t>
  </si>
  <si>
    <t>PHL-39198</t>
  </si>
  <si>
    <t>Cambio TCU Esclava 7=T104</t>
  </si>
  <si>
    <t>PHL-39196</t>
  </si>
  <si>
    <t>Obstaculos=T20 al T23, T31,T48,T74,T102</t>
  </si>
  <si>
    <t>PHL-39186</t>
  </si>
  <si>
    <t>SC28_COMM</t>
  </si>
  <si>
    <t>Cable esclava 8=T33</t>
  </si>
  <si>
    <t>Conexión de cable</t>
  </si>
  <si>
    <t>PHL-39241</t>
  </si>
  <si>
    <t>SC32_(59)</t>
  </si>
  <si>
    <t>Faltan líneas de torqueo en anclajes motorizada tracker 36</t>
  </si>
  <si>
    <t>PHL-39230</t>
  </si>
  <si>
    <t>SC32_(47)</t>
  </si>
  <si>
    <t>Mejorar perfilado el terreno inverter tracker 41y 42</t>
  </si>
  <si>
    <t>PHL-39229</t>
  </si>
  <si>
    <t>SC32_(46)</t>
  </si>
  <si>
    <t>Conformación del terreno acostado de la ct</t>
  </si>
  <si>
    <t>PHL-39209</t>
  </si>
  <si>
    <t>SC32_(21)</t>
  </si>
  <si>
    <t>Instalar coraza en cable de potencia en la SACU y en el  gabinete de comunicaciónes</t>
  </si>
  <si>
    <t>PHL-39255</t>
  </si>
  <si>
    <t>SC33_(28)</t>
  </si>
  <si>
    <t>Terminar de colocar pernos para la base de la cabina</t>
  </si>
  <si>
    <t>PHL-39298</t>
  </si>
  <si>
    <t>SC33_(93)</t>
  </si>
  <si>
    <t>Limpeza de marcos de modulos</t>
  </si>
  <si>
    <t>PHL-39299</t>
  </si>
  <si>
    <t>SC33_(94)</t>
  </si>
  <si>
    <t>Testigo Torqueo soportes cabezales hinca 1 TR 57</t>
  </si>
  <si>
    <t>PHL-39276</t>
  </si>
  <si>
    <t>SC33_(47)</t>
  </si>
  <si>
    <t>General: garantizar 4 puntos de sujeción del ducto hdpe (se observan en algunas hincas solo 2 amarres)</t>
  </si>
  <si>
    <t>PHL-38697</t>
  </si>
  <si>
    <t>SC30_(103)</t>
  </si>
  <si>
    <t>General: Validar altura entre terreno y soporte del actuador</t>
  </si>
  <si>
    <t>PHL-38702</t>
  </si>
  <si>
    <t>SC30_(108)</t>
  </si>
  <si>
    <t>Terminar de realizar lleno entre las vigas de cimentación de la TC, costados norte y sur</t>
  </si>
  <si>
    <t>PHL-38662</t>
  </si>
  <si>
    <t>SC30_(63)</t>
  </si>
  <si>
    <t>NCU: Realizar lleno compactado alrededor de la cimentación</t>
  </si>
  <si>
    <t>PHL-38658</t>
  </si>
  <si>
    <t>SC30_(59)</t>
  </si>
  <si>
    <t>Retiro de montículo de tierra tracker 44</t>
  </si>
  <si>
    <t>Retiro de monticulo</t>
  </si>
  <si>
    <t>PHL-38657</t>
  </si>
  <si>
    <t>SC30_(58)</t>
  </si>
  <si>
    <t>Falta verificar altura de modulo al terreno cuando gire el tracker (distancia no adecuada)</t>
  </si>
  <si>
    <t>Retiro de rocas</t>
  </si>
  <si>
    <t>Ubicación final de caja</t>
  </si>
  <si>
    <t>PHL-39262</t>
  </si>
  <si>
    <t>SC33_(36)</t>
  </si>
  <si>
    <t>Instalar ducto para protección del conductor de MT en la parte inferior de las celdas</t>
  </si>
  <si>
    <t>PHL-39266</t>
  </si>
  <si>
    <t>SC33_(41)</t>
  </si>
  <si>
    <t>General: Pendiente cierre de string</t>
  </si>
  <si>
    <t>PHL-39273</t>
  </si>
  <si>
    <t>SC33_(15)</t>
  </si>
  <si>
    <t>General: en los 22 inversores : Adecuar zona alrededor para que no se inunde</t>
  </si>
  <si>
    <t>PHL-39472</t>
  </si>
  <si>
    <t>SC34_(49)</t>
  </si>
  <si>
    <t>CT 34: Terminar de conformar terraplén, toma ensayo a última capa, instalar bordillos y grava</t>
  </si>
  <si>
    <t>PHL-39462</t>
  </si>
  <si>
    <t>SC34_(33)</t>
  </si>
  <si>
    <t>Instalación de 4 amarres en los  Ductos Solares</t>
  </si>
  <si>
    <t>PHL-39474</t>
  </si>
  <si>
    <t>SC34_(52)</t>
  </si>
  <si>
    <t>Aplicación de multiseal en prensa estopas del tablero SACU CT34</t>
  </si>
  <si>
    <t>PHL-39453</t>
  </si>
  <si>
    <t>SC34_(21)</t>
  </si>
  <si>
    <t>Figurado Cable Antena TCU general</t>
  </si>
  <si>
    <t>PHL-39513</t>
  </si>
  <si>
    <t>MT CTO10_(139)Caja de Paso MT Cto 10 (SC32-SE) Costado Norte</t>
  </si>
  <si>
    <t>PHL-39251</t>
  </si>
  <si>
    <t>SC32_(69)</t>
  </si>
  <si>
    <t>Se identifica excavación abierta sin señalizar, junto con residuos de delimitación y agua empozada.</t>
  </si>
  <si>
    <t>PHL-38644</t>
  </si>
  <si>
    <t>SC30_(42)</t>
  </si>
  <si>
    <t>Figurado de cable de modulos</t>
  </si>
  <si>
    <t>cerrado confirma oskar sup electrico</t>
  </si>
  <si>
    <t>PHL-38894</t>
  </si>
  <si>
    <t>SC29_(116)</t>
  </si>
  <si>
    <t>Limpieza de malla perimetral</t>
  </si>
  <si>
    <t>PHL-38826</t>
  </si>
  <si>
    <t>SC29_(44)</t>
  </si>
  <si>
    <t>Desencofrar base de la Estacion Metereologica, realizar lleno compactado a su alrededor y colocar grout en la base de los pernos</t>
  </si>
  <si>
    <t>PHL-38816</t>
  </si>
  <si>
    <t>SC29_(33)</t>
  </si>
  <si>
    <t>Terminar de colocar pernos en pared base de la TC</t>
  </si>
  <si>
    <t>PHL-38813</t>
  </si>
  <si>
    <t>SC29_(29)</t>
  </si>
  <si>
    <t>Construcción del terraplén y acabado en la Cabina.</t>
  </si>
  <si>
    <t>PHL-38749</t>
  </si>
  <si>
    <t>SC31_(51)</t>
  </si>
  <si>
    <t>Sellado de juntas de cunetas de acuerdo a especificacion, máx cada 12m.</t>
  </si>
  <si>
    <t>PHL-38706</t>
  </si>
  <si>
    <t>SC30_(112)</t>
  </si>
  <si>
    <t>Limpieza de terreno. MQR104</t>
  </si>
  <si>
    <t>PHL-38675</t>
  </si>
  <si>
    <t>SC30_(77)</t>
  </si>
  <si>
    <t>General: Colocar marquilla de identificación de los trackers</t>
  </si>
  <si>
    <t>PHL-38654</t>
  </si>
  <si>
    <t>SC30_(55)</t>
  </si>
  <si>
    <t>Falta instalacion de alarmas luminicas en CT</t>
  </si>
  <si>
    <t>PHL-38984</t>
  </si>
  <si>
    <t>Caja de Empalme Sectioning Pit Cto 09 Suc 20</t>
  </si>
  <si>
    <t>PHL-38985</t>
  </si>
  <si>
    <t>Caja de Empalme Sectioning Pit Cto 09 Suc 21</t>
  </si>
  <si>
    <t>Retoque de pintura en tapas metalicas</t>
  </si>
  <si>
    <t>PHL-38886</t>
  </si>
  <si>
    <t>SC29_(108)</t>
  </si>
  <si>
    <t>Cambiar la cinta de las lineas L2 en los strings Invertir, ya perdió el color original.</t>
  </si>
  <si>
    <t>PHL-38834</t>
  </si>
  <si>
    <t>SC29_(52)</t>
  </si>
  <si>
    <t>Pendiente aplicacion de galvanizado en puntos de corte de riel tablero de comunicaciones</t>
  </si>
  <si>
    <t>PHL-38831</t>
  </si>
  <si>
    <t>SC29_(49)</t>
  </si>
  <si>
    <t>Escalera caja MT debe ser varilla 5/8" e impermeabilizar caja</t>
  </si>
  <si>
    <t>PHL-38795</t>
  </si>
  <si>
    <t>SC31_(107)</t>
  </si>
  <si>
    <t>Punto de lavado de canaleta de mixer, junto a jaguey N1. Acondicionar el área para evitar derrames de lechada residuos de concreto</t>
  </si>
  <si>
    <t>Punto de lavado de mixer disuelto</t>
  </si>
  <si>
    <t>PHL-38704</t>
  </si>
  <si>
    <t>SC30_(110)</t>
  </si>
  <si>
    <t>Retirar escombros alrededor de cimentacion de NCU</t>
  </si>
  <si>
    <t>PHL-38642</t>
  </si>
  <si>
    <t>SC30_(40)</t>
  </si>
  <si>
    <t>Inversor # 16: Sin Techo</t>
  </si>
  <si>
    <t>PHL-38640</t>
  </si>
  <si>
    <t>SC30_(25)</t>
  </si>
  <si>
    <t>Instalación cajas de inspección de SPT</t>
  </si>
  <si>
    <t>PHL-39242</t>
  </si>
  <si>
    <t>SC32_(60)</t>
  </si>
  <si>
    <t>Retiro moticulo de tierra tracker 34, 33 y 32</t>
  </si>
  <si>
    <t>PHL-38734</t>
  </si>
  <si>
    <t>SC31_(36)</t>
  </si>
  <si>
    <t>Todos los inversores pendientes de tag y marcación RETIE</t>
  </si>
  <si>
    <t>PHL-38768</t>
  </si>
  <si>
    <t>SC31_(70)</t>
  </si>
  <si>
    <t>MQR 085 hinca 6: Hinca baja. Regularizar terreno (1,94 m)</t>
  </si>
  <si>
    <t>Corrección de altura</t>
  </si>
  <si>
    <t>PHL-39171</t>
  </si>
  <si>
    <t>SC30_128</t>
  </si>
  <si>
    <t>PHL-38776</t>
  </si>
  <si>
    <t>SC31_(87)</t>
  </si>
  <si>
    <t>SC 31 pendiente en general galvanizado en el extremo de los lever</t>
  </si>
  <si>
    <t>PHL-38779</t>
  </si>
  <si>
    <t>SC31_(91)</t>
  </si>
  <si>
    <t>Seguir instalando las tarjetas rojas del seriado de cables.</t>
  </si>
  <si>
    <t>Instalación completa de las tarjetas rojas</t>
  </si>
  <si>
    <t>PHL-38639</t>
  </si>
  <si>
    <t>SC30_(16)</t>
  </si>
  <si>
    <t>General Falta tendido y figurado de cable de conexión entre TCB (Actividad conexionado se realiza según  indicaciones de trinaen sitio)</t>
  </si>
  <si>
    <t>Figurado de cable TCB</t>
  </si>
  <si>
    <t>PHL-38641</t>
  </si>
  <si>
    <t>SC30_(35)</t>
  </si>
  <si>
    <t>Falta tag de NCU</t>
  </si>
  <si>
    <t>PHL-39243</t>
  </si>
  <si>
    <t>SC32_(61)</t>
  </si>
  <si>
    <t>Instalar Cuello de ganzo en tanque de aceite</t>
  </si>
  <si>
    <t>PHL-39232</t>
  </si>
  <si>
    <t>SC32_(49)</t>
  </si>
  <si>
    <t>Abollamiento en el terreno costado Oriental tracker 44</t>
  </si>
  <si>
    <t>PHL-39292</t>
  </si>
  <si>
    <t>SC33_(86)</t>
  </si>
  <si>
    <t>Tapa costado norte de tracker 103</t>
  </si>
  <si>
    <t>PHL-39291</t>
  </si>
  <si>
    <t>SC33_(83)</t>
  </si>
  <si>
    <t>Limpieza tracker 27</t>
  </si>
  <si>
    <t>PHL-38668</t>
  </si>
  <si>
    <t>SC30_(70)</t>
  </si>
  <si>
    <t>Retiro de cartón en Marcos de paneles</t>
  </si>
  <si>
    <t>PHL-39254</t>
  </si>
  <si>
    <t>SC33_(27)</t>
  </si>
  <si>
    <t>Pendiente instalación caja inspección SPT perimetral de TC33</t>
  </si>
  <si>
    <t>PHL-38672</t>
  </si>
  <si>
    <t>SC30_(74)</t>
  </si>
  <si>
    <t>General:Limpieza decestructua y de hincas</t>
  </si>
  <si>
    <t>Limpieza general de hincas y estructura</t>
  </si>
  <si>
    <t>PHL-38673</t>
  </si>
  <si>
    <t>SC30_(75)</t>
  </si>
  <si>
    <t>MQR 45 hinca 9: Retirar roca</t>
  </si>
  <si>
    <t>se cofnirma cierre adriana maria naranjo</t>
  </si>
  <si>
    <t>PHL-39188</t>
  </si>
  <si>
    <t>Obstaculo =T38 y 39</t>
  </si>
  <si>
    <t>Retiro de Obstaculos</t>
  </si>
  <si>
    <t>PHL-39219</t>
  </si>
  <si>
    <t>SC32_(36)</t>
  </si>
  <si>
    <t>Identificar inversores y símbolos retie ( general) SC32</t>
  </si>
  <si>
    <t>PHL-39213</t>
  </si>
  <si>
    <t>SC32_(26)</t>
  </si>
  <si>
    <t>Instalar coraza en cable de potencia NCU</t>
  </si>
  <si>
    <t>PHL-39201</t>
  </si>
  <si>
    <t>SC32_(14)</t>
  </si>
  <si>
    <t>Identificacion del SC</t>
  </si>
  <si>
    <t>PHL-39200</t>
  </si>
  <si>
    <t>SC32_(4)</t>
  </si>
  <si>
    <t>Conectar los terminales de MT y macar testigos de torque</t>
  </si>
  <si>
    <t>PHL-39282</t>
  </si>
  <si>
    <t>SC33_(68)</t>
  </si>
  <si>
    <t>Dejar libre la zona de actuadores, despejandola de vegetacion</t>
  </si>
  <si>
    <t>PHL-39269</t>
  </si>
  <si>
    <t>SC33_(57)</t>
  </si>
  <si>
    <t>General: Torqueo soportes de string inverter tracker</t>
  </si>
  <si>
    <t>PHL-39289</t>
  </si>
  <si>
    <t>SC33_(81)</t>
  </si>
  <si>
    <t>General: SC 33 limpieza de cartón  en módulos</t>
  </si>
  <si>
    <t>PHL-39473</t>
  </si>
  <si>
    <t>SC34_(51)</t>
  </si>
  <si>
    <t>INV.34.11 TR110.S20 presencia panel de abejas</t>
  </si>
  <si>
    <t>PHL-39451</t>
  </si>
  <si>
    <t>SC34_(19)</t>
  </si>
  <si>
    <t>General adecuación hombros de cunetas</t>
  </si>
  <si>
    <t>PHL-39185</t>
  </si>
  <si>
    <t>Cables esclavas =T14</t>
  </si>
  <si>
    <t xml:space="preserve">PHL-39185
</t>
  </si>
  <si>
    <t>PHL-38788</t>
  </si>
  <si>
    <t>SC31_(100)</t>
  </si>
  <si>
    <t>PHL-39321</t>
  </si>
  <si>
    <t>SC33_(98)</t>
  </si>
  <si>
    <t>Limpieza y recolección de RCD que se encuentran en las zapatas de los tracker con inversores</t>
  </si>
  <si>
    <t>PHL-39190</t>
  </si>
  <si>
    <t>Obstaculos=T24,T28, T44, T47,T78,T105</t>
  </si>
  <si>
    <t>se confirma cierre por adriana, se solucionan problemas de obstaculos</t>
  </si>
  <si>
    <t>PHL-39324</t>
  </si>
  <si>
    <t>SC33_(101)</t>
  </si>
  <si>
    <t>Gestión de residuos de aprovechamiento forestal que se encuentran en el área perimetral del subcampo 33</t>
  </si>
  <si>
    <t>PHL-39313</t>
  </si>
  <si>
    <t>SC33_(80)</t>
  </si>
  <si>
    <t>General: Retiro del plástico en afloramientos de tubería, en las Bases de los inversores</t>
  </si>
  <si>
    <t>PHL-39306</t>
  </si>
  <si>
    <t>SC33_(65)</t>
  </si>
  <si>
    <t>Construir vial de acceso TC 33, de acuerdo a plano</t>
  </si>
  <si>
    <t>PHL-39286</t>
  </si>
  <si>
    <t>SC33_(77)</t>
  </si>
  <si>
    <t>General: SC 33 realizar apertura de pines  inferior y superior</t>
  </si>
  <si>
    <t>PHL-39199</t>
  </si>
  <si>
    <t>Cable Esclava 7 =T104</t>
  </si>
  <si>
    <t>PHL-38645</t>
  </si>
  <si>
    <t>SC30_(44)</t>
  </si>
  <si>
    <t>Inversor 12 y 16 : Construir base en concreto</t>
  </si>
  <si>
    <t>se confirma cierre adriana naranjo ito enel</t>
  </si>
  <si>
    <t>PHL-38656</t>
  </si>
  <si>
    <t>SC30_(57)</t>
  </si>
  <si>
    <t>Falta tag en SACU</t>
  </si>
  <si>
    <t>PHL-38682</t>
  </si>
  <si>
    <t>SC30_(87)</t>
  </si>
  <si>
    <t>Inversor 21  corte del terreno y limpieza de coraza y solar por manchas de concreto</t>
  </si>
  <si>
    <t>PHL-38682 se confirma cierre</t>
  </si>
  <si>
    <t>PHL-39217</t>
  </si>
  <si>
    <t>SC32_(30)</t>
  </si>
  <si>
    <t>Pendiente testigo torque inv 18</t>
  </si>
  <si>
    <t>PHL-39203</t>
  </si>
  <si>
    <t>SC32_(12)</t>
  </si>
  <si>
    <t>Pendiente señalizacion de Riesgo electrico en el SC</t>
  </si>
  <si>
    <t>PHL-39285</t>
  </si>
  <si>
    <t>SC33_(75)</t>
  </si>
  <si>
    <t>General: Testigo Torqueo anclajes actuadoras</t>
  </si>
  <si>
    <t>PHL-39281</t>
  </si>
  <si>
    <t>SC33_(61)</t>
  </si>
  <si>
    <t>Limpiar rebabas de concreto en el riel chanel  S.I 15  S.I 18</t>
  </si>
  <si>
    <t>PHL-39274</t>
  </si>
  <si>
    <t>SC33_(24)</t>
  </si>
  <si>
    <t>En S.I 1, S.I 12,  S.I 18, S.I 19, S.I 20, Adecuación terreno alrededor de la SI llevando a NTN debido a que la base se encuentra por debajo 10 cms</t>
  </si>
  <si>
    <t>PHL-39256</t>
  </si>
  <si>
    <t>SC33_(30)</t>
  </si>
  <si>
    <t>Instalación de nomenclatura operativa en celdas de MT</t>
  </si>
  <si>
    <t>PHL-39265</t>
  </si>
  <si>
    <t>SC33_(39)</t>
  </si>
  <si>
    <t>Pendiente realizar la cimentación de los ductos de comunicación y SSAA en la cabina</t>
  </si>
  <si>
    <t>PHL-39290</t>
  </si>
  <si>
    <t>SC33_(82)</t>
  </si>
  <si>
    <t>Retiro de madero como separador cables en hinca 1 norte sur tracker 105</t>
  </si>
  <si>
    <t>PHL-39294</t>
  </si>
  <si>
    <t>SC33_(88)</t>
  </si>
  <si>
    <t>General: Instalar marquilla de referencia en los trackers ( nombre del tracker)</t>
  </si>
  <si>
    <t>PHL-39295</t>
  </si>
  <si>
    <t>SC33_(89)</t>
  </si>
  <si>
    <t>Tracker 68 y 69: Instalar tapa a torquetubo</t>
  </si>
  <si>
    <t>PHL-39253</t>
  </si>
  <si>
    <t>SC33_(8)</t>
  </si>
  <si>
    <t>Pendiente instalar marquillas en breaker</t>
  </si>
  <si>
    <t>PHL-39301</t>
  </si>
  <si>
    <t>SC33_(44)</t>
  </si>
  <si>
    <t>Rellenar zanja TR110  entre hincas 4 -5</t>
  </si>
  <si>
    <t>PHL-39303</t>
  </si>
  <si>
    <t>SC33_(62)</t>
  </si>
  <si>
    <t>Conformación de terreno alrededor de la cabina</t>
  </si>
  <si>
    <t>PHL-39305</t>
  </si>
  <si>
    <t>SC33_(64)</t>
  </si>
  <si>
    <t>Construir terraplén en TC,  de acuerdo a plano</t>
  </si>
  <si>
    <t>PHL-39307</t>
  </si>
  <si>
    <t>SC33_(66)</t>
  </si>
  <si>
    <t>Estación Meteo Colocar grout de Nivelación a pernos de la base</t>
  </si>
  <si>
    <t>PHL-39309</t>
  </si>
  <si>
    <t>SC33_(69)</t>
  </si>
  <si>
    <t>General: Nivelar, reconformar y compactar el terreno para sellar baches o huecos dejados por telehandlers y maquinaria</t>
  </si>
  <si>
    <t>PHL-38846</t>
  </si>
  <si>
    <t>SC29_(65)</t>
  </si>
  <si>
    <t>General: Colocar marcacion definitiva de los Trackers</t>
  </si>
  <si>
    <t>PHL-38805</t>
  </si>
  <si>
    <t>SC29_(18)</t>
  </si>
  <si>
    <t>Aterrizar la Cabina por MT.</t>
  </si>
  <si>
    <t>PHL-38799</t>
  </si>
  <si>
    <t>SC31_(111)</t>
  </si>
  <si>
    <t>retirar tablas, material de excavación al terminar la actividad de fundida de las bases de los inversores, mantener las medidas de manejo para evitar derrames de concreto</t>
  </si>
  <si>
    <t>PHL-38791</t>
  </si>
  <si>
    <t>SC31_(103)</t>
  </si>
  <si>
    <t>PHL-38769</t>
  </si>
  <si>
    <t>SC31_(75)</t>
  </si>
  <si>
    <t>Puntos susceptible inundación en cada uno Sur Norte 81</t>
  </si>
  <si>
    <t>Corrección de inundación</t>
  </si>
  <si>
    <t>PHL-38767</t>
  </si>
  <si>
    <t>SC31_(69)</t>
  </si>
  <si>
    <t>Construcción de acceso vial a la CT 31</t>
  </si>
  <si>
    <t>PHL-38750</t>
  </si>
  <si>
    <t>SC31_(52)</t>
  </si>
  <si>
    <t>Limpieza de hincas y estructura en general</t>
  </si>
  <si>
    <t>PHL-38748</t>
  </si>
  <si>
    <t>SC31_(50)</t>
  </si>
  <si>
    <t>Realizar roceria</t>
  </si>
  <si>
    <t>PHL-38680</t>
  </si>
  <si>
    <t>SC30_(85)</t>
  </si>
  <si>
    <t>Colocar tapa  torque tubo tracker 63</t>
  </si>
  <si>
    <t>Se envia evidencia para el cierre del punto</t>
  </si>
  <si>
    <t>PHL-38674</t>
  </si>
  <si>
    <t>SC30_(76)</t>
  </si>
  <si>
    <t>Inversor 18 debe cortarse el terreno alrededor de la base del concreto para que cumpla los 80 cm al nivel del terreno, y garantizar el escurrimiento de alguna manera</t>
  </si>
  <si>
    <t>PHL-38661</t>
  </si>
  <si>
    <t>SC30_(62)</t>
  </si>
  <si>
    <t>NCU: Colocar grouting</t>
  </si>
  <si>
    <t>PHL-38660</t>
  </si>
  <si>
    <t>SC30_(61)</t>
  </si>
  <si>
    <t>General: se presenta oxidación en tapas de extremo de tracker</t>
  </si>
  <si>
    <t>Corrección tapas con oxido</t>
  </si>
  <si>
    <t>PHL-38652</t>
  </si>
  <si>
    <t>SC30_(53)</t>
  </si>
  <si>
    <t>Pendiente tapas cajas de paso por BT y MT en OC1</t>
  </si>
  <si>
    <t>Instalación de tapas BT y MT en AOC 01</t>
  </si>
  <si>
    <t>PHL-38648</t>
  </si>
  <si>
    <t>SC30_(49)</t>
  </si>
  <si>
    <t>Inversor 22 limpieza de manchas de concreto en coraza y cables</t>
  </si>
  <si>
    <t>PHL-39277</t>
  </si>
  <si>
    <t>SC33_(49)</t>
  </si>
  <si>
    <t>General: en los 22 inversores:  sello con concreto en ductos HDPE</t>
  </si>
  <si>
    <t>PHL-39264</t>
  </si>
  <si>
    <t>SC33_(38)</t>
  </si>
  <si>
    <t>Identificación de gabinete de comunicaciónes en cabina</t>
  </si>
  <si>
    <t>PHL-39207</t>
  </si>
  <si>
    <t>SC32_(18)</t>
  </si>
  <si>
    <t>Instalar nomenclatura operativa en breaker de BT</t>
  </si>
  <si>
    <t>PHL-39263</t>
  </si>
  <si>
    <t>SC33_(37)</t>
  </si>
  <si>
    <t>Instalar la identificación del compartimiento de BT</t>
  </si>
  <si>
    <t>PHL-39210</t>
  </si>
  <si>
    <t>SC32_(22)</t>
  </si>
  <si>
    <t>Instalar coraza en cable de potencia gabinete de comunicaciónes</t>
  </si>
  <si>
    <t>PHL-39258</t>
  </si>
  <si>
    <t>SC33_(32)</t>
  </si>
  <si>
    <t>Instalación del Tag de cabina</t>
  </si>
  <si>
    <t>PHL-39212</t>
  </si>
  <si>
    <t>SC32_(25)</t>
  </si>
  <si>
    <t>Instalar Tag de NCU</t>
  </si>
  <si>
    <t>PHL-39257</t>
  </si>
  <si>
    <t>SC33_(31)</t>
  </si>
  <si>
    <t>Instalación del unifilar de BT, MT y SSAA</t>
  </si>
  <si>
    <t>PHL-38880</t>
  </si>
  <si>
    <t>SC29_(101)</t>
  </si>
  <si>
    <t>Instalación termoencogible en spt, general</t>
  </si>
  <si>
    <t>PHL-38877</t>
  </si>
  <si>
    <t>SC29_(98)</t>
  </si>
  <si>
    <t>Colocación de concreto de segunda etapa</t>
  </si>
  <si>
    <t>PHL-38876</t>
  </si>
  <si>
    <t>SC29_(97)</t>
  </si>
  <si>
    <t>No se observa señales de torqueo de manera general en todo en todo en su campo en soporte de omegas</t>
  </si>
  <si>
    <t>PHL-38872</t>
  </si>
  <si>
    <t>SC29_(93)</t>
  </si>
  <si>
    <t>Placa cubierta de sedimentos tracker 60 inca 1 dl</t>
  </si>
  <si>
    <t>PHL-39216</t>
  </si>
  <si>
    <t>General: Remarcar torqueo, donde se haya borrado</t>
  </si>
  <si>
    <t>PHL-38700</t>
  </si>
  <si>
    <t>SC30_(106)</t>
  </si>
  <si>
    <t>Conformar el terraplén alrededor de la TC</t>
  </si>
  <si>
    <t>PHL-39187</t>
  </si>
  <si>
    <t>Battery =T38</t>
  </si>
  <si>
    <t>PHL-39193</t>
  </si>
  <si>
    <t>Obstaculos=T98,T101,T102,T106</t>
  </si>
  <si>
    <t>PHL-39311</t>
  </si>
  <si>
    <t>SC33_(73)</t>
  </si>
  <si>
    <t>General: Retirar plásticos de las hincas que contienen los inversores y sellar con grout los espacios donde aflora la tubería</t>
  </si>
  <si>
    <t>PHL-39293</t>
  </si>
  <si>
    <t>SC33_(87)</t>
  </si>
  <si>
    <t>General: SC 33 limpieza y galvanizado en estructura</t>
  </si>
  <si>
    <t>PHL-39280</t>
  </si>
  <si>
    <t>SC33_(60)</t>
  </si>
  <si>
    <t>Mejorar Curva bridado en ingreso a SI  que roza con el riel chanel en SI 03, SI 02, SI 20</t>
  </si>
  <si>
    <t>PHL-39314</t>
  </si>
  <si>
    <t>SC33_(85)</t>
  </si>
  <si>
    <t>NCU diagonal al tracker MQR 107: Aplicar grout a zona de pernos de la base. 
Desencofrar base en concreto; llenar y compactar alrededor de la base .</t>
  </si>
  <si>
    <t>PHL-39315</t>
  </si>
  <si>
    <t>SC33_(90)</t>
  </si>
  <si>
    <t>General: Limpieza de cunetas</t>
  </si>
  <si>
    <t>PHL-39317</t>
  </si>
  <si>
    <t>SC33_(26)</t>
  </si>
  <si>
    <t>Pendiente instalar Señalización retie en cabina</t>
  </si>
  <si>
    <t>PHL-39234</t>
  </si>
  <si>
    <t>SC32_(51)</t>
  </si>
  <si>
    <t>Retiroa cumulacion tierra entre tracker 23 y 22</t>
  </si>
  <si>
    <t>PHL-38753</t>
  </si>
  <si>
    <t>SC31_(55)</t>
  </si>
  <si>
    <t>General: Limpieza y lavado de módulos</t>
  </si>
  <si>
    <t>PHL-38709</t>
  </si>
  <si>
    <t>SC30_(115)</t>
  </si>
  <si>
    <t>Gestión de material de excavación, señalización y delimitación, recolección de material sobrante cuando finalicen actividades</t>
  </si>
  <si>
    <t>PHL-38667</t>
  </si>
  <si>
    <t>SC30_(69)</t>
  </si>
  <si>
    <t>MSE 16: Nivelación terreno alrededor de soporte inversor</t>
  </si>
  <si>
    <t>PHL-38665</t>
  </si>
  <si>
    <t>SC30_(67)</t>
  </si>
  <si>
    <t>MQR  43 hinca 7: Hinca baja 1,75 m.</t>
  </si>
  <si>
    <t>PHL-38890</t>
  </si>
  <si>
    <t>SC29_(112)</t>
  </si>
  <si>
    <t>zanjas o excavaciones menores sin ningún clase de señalización</t>
  </si>
  <si>
    <t>PHL-38868</t>
  </si>
  <si>
    <t>SC29_(89)</t>
  </si>
  <si>
    <t>General Inversores:: Retirar plástico en las bases de las hincas y sellar con concreto huecos en alrededorde la hinca, sellar fisuras en los acabados de concreto</t>
  </si>
  <si>
    <t>PHL-38863</t>
  </si>
  <si>
    <t>SC29_(84)</t>
  </si>
  <si>
    <t>General: Nivelar y reconformar el terreno del Subcampo</t>
  </si>
  <si>
    <t>PHL-38860</t>
  </si>
  <si>
    <t>SC29_(81)</t>
  </si>
  <si>
    <t>Pendiente aplicacion de multiseal y mejorar el sellado alrededor del.cable AC string inverter. Pl general</t>
  </si>
  <si>
    <t>PHL-38854</t>
  </si>
  <si>
    <t>SC29_(75)</t>
  </si>
  <si>
    <t>General: Limpieza en elementos de estructura</t>
  </si>
  <si>
    <t>PHL-38848</t>
  </si>
  <si>
    <t>SC29_(67)</t>
  </si>
  <si>
    <t>Retirar mampara del tracker no colgar nada de los mismos</t>
  </si>
  <si>
    <t>PHL-38843</t>
  </si>
  <si>
    <t>SC29_(62)</t>
  </si>
  <si>
    <t>Adecuación general del terreno evitando empozamientos</t>
  </si>
  <si>
    <t>PHL-38837</t>
  </si>
  <si>
    <t>SC29_(55)</t>
  </si>
  <si>
    <t>Falta instalar marquilla de las Líneas MT en Celda G2 de transformación.</t>
  </si>
  <si>
    <t>PHL-38836</t>
  </si>
  <si>
    <t>SC29_(54)</t>
  </si>
  <si>
    <t>Señalización vertical de identificación de SC</t>
  </si>
  <si>
    <t>se confirma solucion O&amp;M</t>
  </si>
  <si>
    <t>PHL-38798</t>
  </si>
  <si>
    <t>SC31_(110)</t>
  </si>
  <si>
    <t>Zodme, esta área debe cumplir con lo establecido en el PMA y la LA, asi como los diseños validados por el área ambiental de Enel</t>
  </si>
  <si>
    <t>PHL-38777</t>
  </si>
  <si>
    <t>SC31_(88)</t>
  </si>
  <si>
    <t>Corrección altura de Hincas tracker 75 Y 76</t>
  </si>
  <si>
    <t>Se realiza retiro de tierra para cumplir con altura</t>
  </si>
  <si>
    <t>PHL-38730</t>
  </si>
  <si>
    <t>SC31_(31)</t>
  </si>
  <si>
    <t>General: Pendiente conexionado y figurado de cable   de TCU (</t>
  </si>
  <si>
    <t>PHL-38729</t>
  </si>
  <si>
    <t>SC31_(30)</t>
  </si>
  <si>
    <t>Pendiente sellado  ductos solar y BT con Espuma de poliuretan en Inversor</t>
  </si>
  <si>
    <t>PHL-38671</t>
  </si>
  <si>
    <t>SC30_(73)</t>
  </si>
  <si>
    <t>Limpieza de paneles, Se debe verificar el retiro de cartón en paneles</t>
  </si>
  <si>
    <t>PHL-38712</t>
  </si>
  <si>
    <t>SC30_(118)</t>
  </si>
  <si>
    <t>Gestión de RCD en inversor No.22</t>
  </si>
  <si>
    <t>PHL-39296</t>
  </si>
  <si>
    <t>SC33_(91)</t>
  </si>
  <si>
    <t>General:Limpieza  modulos presencia cartón en modulos</t>
  </si>
  <si>
    <t>PHL-39279</t>
  </si>
  <si>
    <t>SC33_(56)</t>
  </si>
  <si>
    <t>Garantizar que se dejen 15 cm  de caida libre del cable antes de hacer algun giro o amarre conforme a lo indicado en el manual huawei</t>
  </si>
  <si>
    <t>PHL-38719</t>
  </si>
  <si>
    <t>SC30_(125)</t>
  </si>
  <si>
    <t>CT sin señalización o delimitación</t>
  </si>
  <si>
    <t>PHL-38891</t>
  </si>
  <si>
    <t>SC29_(113)</t>
  </si>
  <si>
    <t>SPT del CT, los cables expuestos, los torones de los cables desilachados que pueden generar lesiones en las personas</t>
  </si>
  <si>
    <t>PHL-38889</t>
  </si>
  <si>
    <t>SC29_(111)</t>
  </si>
  <si>
    <t>falta de señalización a la caja de concreto ubicada a un costado del CT, en su efecto instalar tapa de la misma</t>
  </si>
  <si>
    <t>PHL-38884</t>
  </si>
  <si>
    <t>SC29_(106)</t>
  </si>
  <si>
    <t>Instalar marquillas de fibra óptica.</t>
  </si>
  <si>
    <t xml:space="preserve">se confirma cierre
</t>
  </si>
  <si>
    <t>PHL-38875</t>
  </si>
  <si>
    <t>SC29_(96)</t>
  </si>
  <si>
    <t>Presencia de cárcavas tracker 23 incas 6-8</t>
  </si>
  <si>
    <t>PHL-38874</t>
  </si>
  <si>
    <t>SC29_(95)</t>
  </si>
  <si>
    <t>Retiro de panel roto tracker 24</t>
  </si>
  <si>
    <t>Retiro de panel roto</t>
  </si>
  <si>
    <t>cerrado se confirma cierre en iup</t>
  </si>
  <si>
    <t>PHL-38817</t>
  </si>
  <si>
    <t>SC29_(35)</t>
  </si>
  <si>
    <t>Señalización del tanque de trampa de aceite</t>
  </si>
  <si>
    <t>PHL-38747</t>
  </si>
  <si>
    <t>SC31_(49)</t>
  </si>
  <si>
    <t>Retiro de material ( Torque tubos ) debajo de tracker 66</t>
  </si>
  <si>
    <t>Se retiro material del tracker 66</t>
  </si>
  <si>
    <t>PHL-38743</t>
  </si>
  <si>
    <t>SC31_(45)</t>
  </si>
  <si>
    <t>Amarres de cable y tubería solar en inversor</t>
  </si>
  <si>
    <t>se confirma cierre de actividades</t>
  </si>
  <si>
    <t>PHL-38738</t>
  </si>
  <si>
    <t>SC31_(40)</t>
  </si>
  <si>
    <t>Soporte de inversores con oxido, general</t>
  </si>
  <si>
    <t>PHL-38710</t>
  </si>
  <si>
    <t>SC30_(116)</t>
  </si>
  <si>
    <t>Recolección y gestión de RCD</t>
  </si>
  <si>
    <t>PHL-39192</t>
  </si>
  <si>
    <t>String =T62,T63</t>
  </si>
  <si>
    <t>String conectados</t>
  </si>
  <si>
    <t>cerrado se confirma fin de actividades</t>
  </si>
  <si>
    <t>PHL-39189</t>
  </si>
  <si>
    <t>SC29_COMM</t>
  </si>
  <si>
    <t>Obstaculo =T50,T31</t>
  </si>
  <si>
    <t>Retiro de obstáculos</t>
  </si>
  <si>
    <t>se confirma cierre de actividaes</t>
  </si>
  <si>
    <t>PHL-39202</t>
  </si>
  <si>
    <t>SC32_(11)</t>
  </si>
  <si>
    <t>Pendiente señalizacion de inversores</t>
  </si>
  <si>
    <t>PHL-39214</t>
  </si>
  <si>
    <t>SC32_(27)</t>
  </si>
  <si>
    <t>Instalar coraza en cable de comunicación de la NCU</t>
  </si>
  <si>
    <t>PHL-39087</t>
  </si>
  <si>
    <t>PHL-39195</t>
  </si>
  <si>
    <t>Cambio TCU Esclava 8 =T64</t>
  </si>
  <si>
    <t>PHL-39790</t>
  </si>
  <si>
    <t>CTO10_MT_123</t>
  </si>
  <si>
    <t>Cajas de paso OC1 costado norte y sur: | Instalación TAG</t>
  </si>
  <si>
    <t>PHL-40086</t>
  </si>
  <si>
    <t>SC34_59</t>
  </si>
  <si>
    <t>PHL-40066</t>
  </si>
  <si>
    <t>SC34_32</t>
  </si>
  <si>
    <t>PHL-39791</t>
  </si>
  <si>
    <t>CTO10_MT_126</t>
  </si>
  <si>
    <t>Cajas de paso OC1 costado norte y sur: | orden y aseo</t>
  </si>
  <si>
    <t>PHL-39792</t>
  </si>
  <si>
    <t>CTO10_MT_127</t>
  </si>
  <si>
    <t>Cajas de paso OC1 costado norte y sur: | conformación de terreno</t>
  </si>
  <si>
    <t>PHL-39793</t>
  </si>
  <si>
    <t>CTO10_MT_129</t>
  </si>
  <si>
    <t>Caja empalme cxto 10 SC26 | orden y aseo</t>
  </si>
  <si>
    <t>PHL-39794</t>
  </si>
  <si>
    <t>CTO10_MT_131</t>
  </si>
  <si>
    <t>Caja empalme Promigas 5 costado sur:  | conformación de terreno</t>
  </si>
  <si>
    <t>PHL-39795</t>
  </si>
  <si>
    <t>CTO10_MT_134</t>
  </si>
  <si>
    <t>Caja de paso Promigas 5 costado norte | orden y aseo</t>
  </si>
  <si>
    <t>PHL-39796</t>
  </si>
  <si>
    <t>CTO10_MT_138</t>
  </si>
  <si>
    <t>Caja de empalme cxto 10 SC24 | conformación de terreno Cajas de Empalme - Paso</t>
  </si>
  <si>
    <t>PHL-39797</t>
  </si>
  <si>
    <t>CTO10_MT_139</t>
  </si>
  <si>
    <t>Caja de Paso MT Cto 10 (SC32-SE) Costado Norte | Instalación de monolito</t>
  </si>
  <si>
    <t>PHL-39798</t>
  </si>
  <si>
    <t>CTO10_MT_140</t>
  </si>
  <si>
    <t>Caja de Paso MT Cto 10 (SC32-SE) Costado Norte | limpieza general, orden y aseo alrededor de la caja</t>
  </si>
  <si>
    <t>PHL-39799</t>
  </si>
  <si>
    <t>CTO10_MT_141</t>
  </si>
  <si>
    <t>Caja de Paso MT Cto 10 (SC32-SE) Costado Norte | conformación de terreno Cajas de Empalme - Paso.</t>
  </si>
  <si>
    <t>PHL-39800</t>
  </si>
  <si>
    <t>CTO10_MT_143</t>
  </si>
  <si>
    <t>Caja de Empalme Sectioning Pit Cto 10 Lewis 6-7  | Instalación de monolito</t>
  </si>
  <si>
    <t>PHL-39801</t>
  </si>
  <si>
    <t>CTO10_MT_145</t>
  </si>
  <si>
    <t>Caja de Empalme Sectioning Pit Cto 10 Lewis 6-7  | Instalación TAG</t>
  </si>
  <si>
    <t>PHL-39802</t>
  </si>
  <si>
    <t>CTO10_MT_146</t>
  </si>
  <si>
    <t>Caja de Empalme Sectioning Pit Cto 10 Lewis 6-7  | limpieza general, orden y aseo alrededor de la caja</t>
  </si>
  <si>
    <t>PHL-39803</t>
  </si>
  <si>
    <t>CTO10_MT_149</t>
  </si>
  <si>
    <t>Caja de Empalme Sectioning Pit Cto 10 Lewis 6-7  | ⁠conformación de Terreno Cajas de Fusión FO</t>
  </si>
  <si>
    <t>PHL-39804</t>
  </si>
  <si>
    <t>CTO10_MT_150</t>
  </si>
  <si>
    <t>Caja de Empalme Sectioning Pit Cto 10 Lewis 6-7  | conformación de terreno Cajas de Empalme Sectioning Pit</t>
  </si>
  <si>
    <t>PHL-39805</t>
  </si>
  <si>
    <t>CTO10_MT_155</t>
  </si>
  <si>
    <t>Caja de Empalme Sectioning Pit Cto 10 Lewis 6-7 -Norte | Limpieza general</t>
  </si>
  <si>
    <t>PHL-39806</t>
  </si>
  <si>
    <t>CTO10_MT_156</t>
  </si>
  <si>
    <t>Caja de Empalme Sectioning Pit Cto 10 Lewis 6-7 -Norte | Adecuación del terreno</t>
  </si>
  <si>
    <t>PHL-40080</t>
  </si>
  <si>
    <t>SC34_51</t>
  </si>
  <si>
    <t>PHL-40078</t>
  </si>
  <si>
    <t>SC34_46</t>
  </si>
  <si>
    <t>PHL-40058</t>
  </si>
  <si>
    <t>SC34_21</t>
  </si>
  <si>
    <t>PHL-38989</t>
  </si>
  <si>
    <t>Caja de Fusión FO Ctos (5-9) OC 10</t>
  </si>
  <si>
    <t>PHL-38328</t>
  </si>
  <si>
    <t>SC28_(48)</t>
  </si>
  <si>
    <t>Se identifica material que obstruye movimiento de tracker</t>
  </si>
  <si>
    <t>No hay impedimentos para el traqueo del ITS 028.</t>
  </si>
  <si>
    <t>PHL-38346</t>
  </si>
  <si>
    <t>SC28_(88)</t>
  </si>
  <si>
    <t>SPT del cerramiento del CT expuesto</t>
  </si>
  <si>
    <t>SPT del cerramiento del CT ya no se encuentra expuesto.</t>
  </si>
  <si>
    <t>PHL-39924</t>
  </si>
  <si>
    <t>SC32_4</t>
  </si>
  <si>
    <t>PHL-39925</t>
  </si>
  <si>
    <t>SC32_13</t>
  </si>
  <si>
    <t>Pendiente KIT para trabajos electricos en las CT</t>
  </si>
  <si>
    <t>PHL-39926</t>
  </si>
  <si>
    <t>SC32_14</t>
  </si>
  <si>
    <t>PHL-39927</t>
  </si>
  <si>
    <t>SC32_11</t>
  </si>
  <si>
    <t>PHL-39928</t>
  </si>
  <si>
    <t>SC32_12</t>
  </si>
  <si>
    <t>PHL-39929</t>
  </si>
  <si>
    <t>SC32_15</t>
  </si>
  <si>
    <t>PHL-39930</t>
  </si>
  <si>
    <t>SC32_16</t>
  </si>
  <si>
    <t>PHL-39931</t>
  </si>
  <si>
    <t>SC32_17</t>
  </si>
  <si>
    <t>PHL-39932</t>
  </si>
  <si>
    <t>SC32_18</t>
  </si>
  <si>
    <t>PHL-39933</t>
  </si>
  <si>
    <t>SC32_19</t>
  </si>
  <si>
    <t>PHL-39934</t>
  </si>
  <si>
    <t>SC32_21</t>
  </si>
  <si>
    <t>PHL-39935</t>
  </si>
  <si>
    <t>SC32_22</t>
  </si>
  <si>
    <t>PHL-39936</t>
  </si>
  <si>
    <t>SC32_23</t>
  </si>
  <si>
    <t>PHL-39937</t>
  </si>
  <si>
    <t>SC32_25</t>
  </si>
  <si>
    <t>PHL-39938</t>
  </si>
  <si>
    <t>SC32_26</t>
  </si>
  <si>
    <t>Instalar coraza en cable de potencia</t>
  </si>
  <si>
    <t>PHL-39939</t>
  </si>
  <si>
    <t>SC32_27</t>
  </si>
  <si>
    <t>PHL-39940</t>
  </si>
  <si>
    <t>SC32_28</t>
  </si>
  <si>
    <t>PHL-39941</t>
  </si>
  <si>
    <t>SC32_30</t>
  </si>
  <si>
    <t>PHL-39942</t>
  </si>
  <si>
    <t>SC32_31</t>
  </si>
  <si>
    <t>PHL-39943</t>
  </si>
  <si>
    <t>SC32_32</t>
  </si>
  <si>
    <t>PHL-39944</t>
  </si>
  <si>
    <t>SC32_36</t>
  </si>
  <si>
    <t>PHL-39945</t>
  </si>
  <si>
    <t>SC32_37</t>
  </si>
  <si>
    <t>PHL-39946</t>
  </si>
  <si>
    <t>SC32_38</t>
  </si>
  <si>
    <t>PHL-40068</t>
  </si>
  <si>
    <t>SC34_34</t>
  </si>
  <si>
    <t>PHL-40071</t>
  </si>
  <si>
    <t>SC34_38</t>
  </si>
  <si>
    <t>PHL-40064</t>
  </si>
  <si>
    <t>SC34_30</t>
  </si>
  <si>
    <t>PHL-39947</t>
  </si>
  <si>
    <t>SC32_39</t>
  </si>
  <si>
    <t>PHL-39948</t>
  </si>
  <si>
    <t>SC32_40</t>
  </si>
  <si>
    <t>PHL-39949</t>
  </si>
  <si>
    <t>SC32_41</t>
  </si>
  <si>
    <t>PHL-39950</t>
  </si>
  <si>
    <t>SC32_42</t>
  </si>
  <si>
    <t>PHL-39951</t>
  </si>
  <si>
    <t>SC32_43</t>
  </si>
  <si>
    <t>PHL-39952</t>
  </si>
  <si>
    <t>SC32_44</t>
  </si>
  <si>
    <t>PHL-39953</t>
  </si>
  <si>
    <t>SC32_45</t>
  </si>
  <si>
    <t>PHL-39954</t>
  </si>
  <si>
    <t>SC32_46</t>
  </si>
  <si>
    <t>PHL-39955</t>
  </si>
  <si>
    <t>SC32_47</t>
  </si>
  <si>
    <t>PHL-39956</t>
  </si>
  <si>
    <t>SC32_48</t>
  </si>
  <si>
    <t>PHL-39957</t>
  </si>
  <si>
    <t>SC32_49</t>
  </si>
  <si>
    <t>PHL-39958</t>
  </si>
  <si>
    <t>SC32_50</t>
  </si>
  <si>
    <t>PHL-39959</t>
  </si>
  <si>
    <t>SC32_51</t>
  </si>
  <si>
    <t>PHL-39960</t>
  </si>
  <si>
    <t>SC32_52</t>
  </si>
  <si>
    <t>PHL-39961</t>
  </si>
  <si>
    <t>SC32_53</t>
  </si>
  <si>
    <t>PHL-39962</t>
  </si>
  <si>
    <t>SC32_55</t>
  </si>
  <si>
    <t>PHL-39963</t>
  </si>
  <si>
    <t>SC32_56</t>
  </si>
  <si>
    <t>PHL-39964</t>
  </si>
  <si>
    <t>SC32_57</t>
  </si>
  <si>
    <t>PHL-39965</t>
  </si>
  <si>
    <t>SC32_58</t>
  </si>
  <si>
    <t>PHL-40072</t>
  </si>
  <si>
    <t>SC34_39</t>
  </si>
  <si>
    <t>PHL-39966</t>
  </si>
  <si>
    <t>SC32_59</t>
  </si>
  <si>
    <t>PHL-39967</t>
  </si>
  <si>
    <t>SC32_60</t>
  </si>
  <si>
    <t>PHL-39968</t>
  </si>
  <si>
    <t>SC32_61</t>
  </si>
  <si>
    <t>PHL-39969</t>
  </si>
  <si>
    <t>SC32_62</t>
  </si>
  <si>
    <t>PHL-39970</t>
  </si>
  <si>
    <t>SC32_63</t>
  </si>
  <si>
    <t>PHL-39971</t>
  </si>
  <si>
    <t>SC32_64</t>
  </si>
  <si>
    <t>PHL-39972</t>
  </si>
  <si>
    <t>SC32_65</t>
  </si>
  <si>
    <t>PHL-39973</t>
  </si>
  <si>
    <t>SC32_66</t>
  </si>
  <si>
    <t>PHL-39974</t>
  </si>
  <si>
    <t>SC32_67</t>
  </si>
  <si>
    <t>PHL-39975</t>
  </si>
  <si>
    <t>SC32_68</t>
  </si>
  <si>
    <t>PHL-39976</t>
  </si>
  <si>
    <t>SC32_69</t>
  </si>
  <si>
    <t>PHL-39977</t>
  </si>
  <si>
    <t>SC32_70</t>
  </si>
  <si>
    <t>PHL-39978</t>
  </si>
  <si>
    <t>SC33_8</t>
  </si>
  <si>
    <t>PHL-39979</t>
  </si>
  <si>
    <t>SC33_23</t>
  </si>
  <si>
    <t>Entrega de red line SC 33</t>
  </si>
  <si>
    <t>PHL-40087</t>
  </si>
  <si>
    <t>SC34_60</t>
  </si>
  <si>
    <t>PHL-40082</t>
  </si>
  <si>
    <t>SC34_53</t>
  </si>
  <si>
    <t>PHL-40065</t>
  </si>
  <si>
    <t>SC34_31</t>
  </si>
  <si>
    <t>PHL-40081</t>
  </si>
  <si>
    <t>SC34_52</t>
  </si>
  <si>
    <t>PHL-39980</t>
  </si>
  <si>
    <t>SC33_13</t>
  </si>
  <si>
    <t>PHL-39981</t>
  </si>
  <si>
    <t>SC33_15</t>
  </si>
  <si>
    <t>PHL-39982</t>
  </si>
  <si>
    <t>SC33_24</t>
  </si>
  <si>
    <t>PHL-39983</t>
  </si>
  <si>
    <t>SC33_25</t>
  </si>
  <si>
    <t>PHL-39984</t>
  </si>
  <si>
    <t>SC33_26</t>
  </si>
  <si>
    <t>PHL-39985</t>
  </si>
  <si>
    <t>SC33_27</t>
  </si>
  <si>
    <t>PHL-39986</t>
  </si>
  <si>
    <t>SC33_28</t>
  </si>
  <si>
    <t>PHL-39987</t>
  </si>
  <si>
    <t>SC33_30</t>
  </si>
  <si>
    <t>PHL-39988</t>
  </si>
  <si>
    <t>SC33_31</t>
  </si>
  <si>
    <t>PHL-39989</t>
  </si>
  <si>
    <t>SC33_32</t>
  </si>
  <si>
    <t>PHL-39990</t>
  </si>
  <si>
    <t>SC33_33</t>
  </si>
  <si>
    <t>PHL-39991</t>
  </si>
  <si>
    <t>SC33_34</t>
  </si>
  <si>
    <t>PHL-39992</t>
  </si>
  <si>
    <t>SC33_35</t>
  </si>
  <si>
    <t>PHL-39993</t>
  </si>
  <si>
    <t>SC33_36</t>
  </si>
  <si>
    <t>PHL-39994</t>
  </si>
  <si>
    <t>SC33_37</t>
  </si>
  <si>
    <t>PHL-39995</t>
  </si>
  <si>
    <t>SC33_38</t>
  </si>
  <si>
    <t>PHL-39996</t>
  </si>
  <si>
    <t>SC33_39</t>
  </si>
  <si>
    <t>PHL-39998</t>
  </si>
  <si>
    <t>SC33_44</t>
  </si>
  <si>
    <t>PHL-40092</t>
  </si>
  <si>
    <t>SC34_65</t>
  </si>
  <si>
    <t>PHL-40062</t>
  </si>
  <si>
    <t>SC34_27</t>
  </si>
  <si>
    <t>PHL-40060</t>
  </si>
  <si>
    <t>SC34_23</t>
  </si>
  <si>
    <t>PHL-40075</t>
  </si>
  <si>
    <t>SC34_42</t>
  </si>
  <si>
    <t>PHL-40063</t>
  </si>
  <si>
    <t>SC34_29</t>
  </si>
  <si>
    <t>PHL-39999</t>
  </si>
  <si>
    <t>SC33_45</t>
  </si>
  <si>
    <t>PHL-40000</t>
  </si>
  <si>
    <t>SC33_46</t>
  </si>
  <si>
    <t>PHL-40001</t>
  </si>
  <si>
    <t>SC33_47</t>
  </si>
  <si>
    <t>PHL-40002</t>
  </si>
  <si>
    <t>SC33_49</t>
  </si>
  <si>
    <t>PHL-40003</t>
  </si>
  <si>
    <t>SC33_50</t>
  </si>
  <si>
    <t>PHL-40004</t>
  </si>
  <si>
    <t>SC33_53</t>
  </si>
  <si>
    <t>PHL-40005</t>
  </si>
  <si>
    <t>SC33_54</t>
  </si>
  <si>
    <t>PHL-40006</t>
  </si>
  <si>
    <t>SC33_55</t>
  </si>
  <si>
    <t>PHL-40007</t>
  </si>
  <si>
    <t>SC33_56</t>
  </si>
  <si>
    <t>PHL-40008</t>
  </si>
  <si>
    <t>SC33_57</t>
  </si>
  <si>
    <t>PHL-40009</t>
  </si>
  <si>
    <t>SC33_58</t>
  </si>
  <si>
    <t>PHL-40010</t>
  </si>
  <si>
    <t>SC33_59</t>
  </si>
  <si>
    <t>PHL-40011</t>
  </si>
  <si>
    <t>SC33_60</t>
  </si>
  <si>
    <t>PHL-40012</t>
  </si>
  <si>
    <t>SC33_61</t>
  </si>
  <si>
    <t>PHL-40013</t>
  </si>
  <si>
    <t>SC33_62</t>
  </si>
  <si>
    <t>PHL-40014</t>
  </si>
  <si>
    <t>SC33_63</t>
  </si>
  <si>
    <t>PHL-40015</t>
  </si>
  <si>
    <t>SC33_64</t>
  </si>
  <si>
    <t>PHL-40016</t>
  </si>
  <si>
    <t>SC33_65</t>
  </si>
  <si>
    <t>PHL-38988</t>
  </si>
  <si>
    <t>Caja de Fusión FO Ctos (5-9) OC 9</t>
  </si>
  <si>
    <t>PHL-40017</t>
  </si>
  <si>
    <t>SC33_66</t>
  </si>
  <si>
    <t>PHL-40018</t>
  </si>
  <si>
    <t>SC33_67</t>
  </si>
  <si>
    <t>PHL-40019</t>
  </si>
  <si>
    <t>SC33_68</t>
  </si>
  <si>
    <t>PHL-40020</t>
  </si>
  <si>
    <t>SC33_69</t>
  </si>
  <si>
    <t>PHL-40021</t>
  </si>
  <si>
    <t>SC33_70</t>
  </si>
  <si>
    <t>PHL-40022</t>
  </si>
  <si>
    <t>SC33_72</t>
  </si>
  <si>
    <t>PHL-40023</t>
  </si>
  <si>
    <t>SC33_73</t>
  </si>
  <si>
    <t>PHL-40024</t>
  </si>
  <si>
    <t>SC33_74</t>
  </si>
  <si>
    <t>PHL-40025</t>
  </si>
  <si>
    <t>SC33_75</t>
  </si>
  <si>
    <t>PHL-40026</t>
  </si>
  <si>
    <t>SC33_76</t>
  </si>
  <si>
    <t>PHL-40027</t>
  </si>
  <si>
    <t>SC33_77</t>
  </si>
  <si>
    <t>PHL-40028</t>
  </si>
  <si>
    <t>SC33_78</t>
  </si>
  <si>
    <t>PHL-40029</t>
  </si>
  <si>
    <t>SC33_79</t>
  </si>
  <si>
    <t>PHL-40030</t>
  </si>
  <si>
    <t>SC33_80</t>
  </si>
  <si>
    <t>PHL-40031</t>
  </si>
  <si>
    <t>SC33_81</t>
  </si>
  <si>
    <t>PHL-40032</t>
  </si>
  <si>
    <t>SC33_82</t>
  </si>
  <si>
    <t>PHL-40033</t>
  </si>
  <si>
    <t>SC33_83</t>
  </si>
  <si>
    <t>PHL-40035</t>
  </si>
  <si>
    <t>SC33_86</t>
  </si>
  <si>
    <t>PHL-40076</t>
  </si>
  <si>
    <t>SC34_43</t>
  </si>
  <si>
    <t>PHL-40036</t>
  </si>
  <si>
    <t>SC33_87</t>
  </si>
  <si>
    <t>PHL-40037</t>
  </si>
  <si>
    <t>SC33_88</t>
  </si>
  <si>
    <t>PHL-40038</t>
  </si>
  <si>
    <t>SC33_89</t>
  </si>
  <si>
    <t>PHL-40039</t>
  </si>
  <si>
    <t>SC33_90</t>
  </si>
  <si>
    <t>PHL-40040</t>
  </si>
  <si>
    <t>SC33_91</t>
  </si>
  <si>
    <t>PHL-40041</t>
  </si>
  <si>
    <t>SC33_92</t>
  </si>
  <si>
    <t>PHL-40042</t>
  </si>
  <si>
    <t>SC33_93</t>
  </si>
  <si>
    <t>PHL-40043</t>
  </si>
  <si>
    <t>SC33_94</t>
  </si>
  <si>
    <t>PHL-40044</t>
  </si>
  <si>
    <t>SC33_95</t>
  </si>
  <si>
    <t>PHL-40045</t>
  </si>
  <si>
    <t>SC33_96</t>
  </si>
  <si>
    <t>PHL-40046</t>
  </si>
  <si>
    <t>SC33_97</t>
  </si>
  <si>
    <t>PHL-40047</t>
  </si>
  <si>
    <t>SC33_98</t>
  </si>
  <si>
    <t>PHL-40048</t>
  </si>
  <si>
    <t>SC33_99</t>
  </si>
  <si>
    <t>PHL-40049</t>
  </si>
  <si>
    <t>SC33_100</t>
  </si>
  <si>
    <t>PHL-40050</t>
  </si>
  <si>
    <t>SC33_101</t>
  </si>
  <si>
    <t>PHL-40051</t>
  </si>
  <si>
    <t>SC33_102</t>
  </si>
  <si>
    <t>PHL-40055</t>
  </si>
  <si>
    <t>SC34_18</t>
  </si>
  <si>
    <t>PHL-40083</t>
  </si>
  <si>
    <t>SC34_55</t>
  </si>
  <si>
    <t>PHL-40085</t>
  </si>
  <si>
    <t>SC34_58</t>
  </si>
  <si>
    <t>PHL-39997</t>
  </si>
  <si>
    <t>SC33_41</t>
  </si>
  <si>
    <t>PHL-40034</t>
  </si>
  <si>
    <t>SC33_85</t>
  </si>
  <si>
    <t>PHL-40054</t>
  </si>
  <si>
    <t>SC34_17</t>
  </si>
  <si>
    <t>PHL-40061</t>
  </si>
  <si>
    <t>SC34_26</t>
  </si>
  <si>
    <t>PHL-40057</t>
  </si>
  <si>
    <t>SC34_20</t>
  </si>
  <si>
    <t>PHL-40059</t>
  </si>
  <si>
    <t>SC34_22</t>
  </si>
  <si>
    <t>PHL-40056</t>
  </si>
  <si>
    <t>SC34_19</t>
  </si>
  <si>
    <t>PHL-40053</t>
  </si>
  <si>
    <t>SC34_10</t>
  </si>
  <si>
    <t>instalar señalización de reisgo MAURICIO PARDO VALBUENA en el SC</t>
  </si>
  <si>
    <t>PHL-40100</t>
  </si>
  <si>
    <t>SC30_oym_01</t>
  </si>
  <si>
    <t>SI.30.09 trak 062 string 08, se observa modulo roto, requiere cambio.</t>
  </si>
  <si>
    <t>PHL-40101</t>
  </si>
  <si>
    <t>SC06_oym_02</t>
  </si>
  <si>
    <t>Se observa hinca con el spt desconectada; requiere la conexión.
Trak 057, SC30.</t>
  </si>
  <si>
    <t>PHL-40073</t>
  </si>
  <si>
    <t>SC34_40</t>
  </si>
  <si>
    <t>Pendiente sellado perforaciones del mástil NCU03 y 39</t>
  </si>
  <si>
    <t>PHL-38345</t>
  </si>
  <si>
    <t>SC28_(87)</t>
  </si>
  <si>
    <t>Caja de empalme sin tapa</t>
  </si>
  <si>
    <t>Se instala tapa pendiente de la caja de paso ubicada al frente del CT del ITS 028.</t>
  </si>
  <si>
    <t>PHL-40069</t>
  </si>
  <si>
    <t>SC34_35</t>
  </si>
  <si>
    <t>PHL-40070</t>
  </si>
  <si>
    <t>SC34_36</t>
  </si>
  <si>
    <t>PHL-40052</t>
  </si>
  <si>
    <t>SC34_8</t>
  </si>
  <si>
    <t>PHL-40074</t>
  </si>
  <si>
    <t>SC34_41</t>
  </si>
  <si>
    <t>Aplicación Anticorrosivo Riel Channel Base Sensor Pitranometro</t>
  </si>
  <si>
    <t>PHL-40067</t>
  </si>
  <si>
    <t>SC34_33</t>
  </si>
  <si>
    <t>PHL-38323</t>
  </si>
  <si>
    <t>SC28_(36)</t>
  </si>
  <si>
    <t>Instalación del cuello de ganso del tanque de fluidos de la CT-28.</t>
  </si>
  <si>
    <t>Instalación de cuello de ganso del tanque de aguas aceitosas ITS 028</t>
  </si>
  <si>
    <t>PHL-40077</t>
  </si>
  <si>
    <t>SC34_44</t>
  </si>
  <si>
    <t>PHL-40079</t>
  </si>
  <si>
    <t>SC34_49</t>
  </si>
  <si>
    <t>PHL-40084</t>
  </si>
  <si>
    <t>SC34_57</t>
  </si>
  <si>
    <t>PHL-40090</t>
  </si>
  <si>
    <t>SC34_63</t>
  </si>
  <si>
    <t>PHL-40091</t>
  </si>
  <si>
    <t>SC34_64</t>
  </si>
  <si>
    <t>PHL-40093</t>
  </si>
  <si>
    <t>SC34_66</t>
  </si>
  <si>
    <t>PHL-40095</t>
  </si>
  <si>
    <t>SC34_70</t>
  </si>
  <si>
    <t>STATUS IUP</t>
  </si>
  <si>
    <t>STATUS ELECNOR</t>
  </si>
  <si>
    <t>CLOSING DATE - ELECNOR</t>
  </si>
  <si>
    <t>CLOSING DATE ENEL</t>
  </si>
  <si>
    <t>SC</t>
  </si>
  <si>
    <t>SC34</t>
  </si>
  <si>
    <t>SC24</t>
  </si>
  <si>
    <t>SC25</t>
  </si>
  <si>
    <t>SC26</t>
  </si>
  <si>
    <t>SC27</t>
  </si>
  <si>
    <t>SC28</t>
  </si>
  <si>
    <t>SC29</t>
  </si>
  <si>
    <t>SC30</t>
  </si>
  <si>
    <t>SC31</t>
  </si>
  <si>
    <t>SC32</t>
  </si>
  <si>
    <t>SC33</t>
  </si>
  <si>
    <t>SC23</t>
  </si>
  <si>
    <t>SC20</t>
  </si>
  <si>
    <t>SC21</t>
  </si>
  <si>
    <t>SC22</t>
  </si>
  <si>
    <t>CAJAS</t>
  </si>
  <si>
    <t>SOCIAL</t>
  </si>
  <si>
    <t>TRINA</t>
  </si>
  <si>
    <t>ABIERTO</t>
  </si>
  <si>
    <t>CERRADO</t>
  </si>
  <si>
    <t>ESTADO</t>
  </si>
  <si>
    <t>CTO 5</t>
  </si>
  <si>
    <t>CTO 8</t>
  </si>
  <si>
    <t>CTO 9</t>
  </si>
  <si>
    <t>CTO 10</t>
  </si>
  <si>
    <t>Total</t>
  </si>
  <si>
    <t>TOTAL ÍTEMS</t>
  </si>
  <si>
    <t>PTE Validar Enel</t>
  </si>
  <si>
    <t>Subcampo</t>
  </si>
  <si>
    <t>Items Totales</t>
  </si>
  <si>
    <t>OTROS</t>
  </si>
  <si>
    <t>% pendiente</t>
  </si>
  <si>
    <t>Items Cerrados IUP</t>
  </si>
  <si>
    <t>Items Pendientes</t>
  </si>
  <si>
    <t>Items por revisión de ENEL</t>
  </si>
  <si>
    <t>Avance General ELECNOR</t>
  </si>
  <si>
    <t>Avance IUP</t>
  </si>
  <si>
    <t>Pendiente revisión ENEL</t>
  </si>
  <si>
    <t>PL TOTAL</t>
  </si>
  <si>
    <t>Abierto</t>
  </si>
  <si>
    <t>Cerrado</t>
  </si>
  <si>
    <t>CAJA/ARQUETAS</t>
  </si>
  <si>
    <t>Atendidos por ELECNOR</t>
  </si>
  <si>
    <t>OTROS/SOCIAL</t>
  </si>
  <si>
    <t>GENERAL</t>
  </si>
  <si>
    <t>Total</t>
  </si>
  <si>
    <t>Otros</t>
  </si>
  <si>
    <t>Cantidad</t>
  </si>
  <si>
    <t>TOTAL</t>
  </si>
  <si>
    <t>Cerrados</t>
  </si>
  <si>
    <t>Trina Electric</t>
  </si>
  <si>
    <t>Trina Commissioning</t>
  </si>
  <si>
    <t>Trina O&amp;M</t>
  </si>
  <si>
    <t>ITS 20</t>
  </si>
  <si>
    <t>ITS 21</t>
  </si>
  <si>
    <t>ITS 22</t>
  </si>
  <si>
    <t>ITS 23</t>
  </si>
  <si>
    <t>ITS 24</t>
  </si>
  <si>
    <t>ITS 25</t>
  </si>
  <si>
    <t>ITS 26</t>
  </si>
  <si>
    <t>ITS 27</t>
  </si>
  <si>
    <t>ITS 28</t>
  </si>
  <si>
    <t>ITS 29</t>
  </si>
  <si>
    <t>ITS 30</t>
  </si>
  <si>
    <t>ITS 31</t>
  </si>
  <si>
    <t>ITS 32</t>
  </si>
  <si>
    <t>ITS 33</t>
  </si>
  <si>
    <t>ITS 34</t>
  </si>
  <si>
    <t>SUBCAMPO</t>
  </si>
  <si>
    <t>PL EXTERNOS</t>
  </si>
  <si>
    <t>Pendientes</t>
  </si>
  <si>
    <t>Pendiente validación de ENEL</t>
  </si>
  <si>
    <t>Conformación de cajas de paso y empalmes</t>
  </si>
  <si>
    <t>Conformación y nivelación al lado del concreto base de los inversores y galvanizado de riel de anclaje</t>
  </si>
  <si>
    <t>Conformación y nivelación de los terraplenes de las cabinas CT</t>
  </si>
  <si>
    <t>Validación de amarres de cable solar y ductos</t>
  </si>
  <si>
    <t>Cambio de módulos-TCU-esclavas-verificar torqueo- limpieza actuadores</t>
  </si>
  <si>
    <t>Cajas de empalme-ambiental-hse-</t>
  </si>
  <si>
    <t>Delegado a Lauren</t>
  </si>
  <si>
    <t>Pendiente validacion de enel</t>
  </si>
  <si>
    <t>Cerrado confirmado</t>
  </si>
  <si>
    <t>No aplica solictar cierre a ENEL</t>
  </si>
  <si>
    <t>No aplica no esta en la ingenieria aprobada</t>
  </si>
  <si>
    <t>Limpieza de estructura mecanica</t>
  </si>
  <si>
    <t>Limpieza de modulos</t>
  </si>
  <si>
    <t>Suministro JINKO ENEL</t>
  </si>
  <si>
    <t>No aplica (sin sentido el punto)</t>
  </si>
  <si>
    <t>Suministro TRINA ENEL</t>
  </si>
  <si>
    <t>Regularizacion de terreno</t>
  </si>
  <si>
    <t>Cerramiento perimetral</t>
  </si>
  <si>
    <t>Aplicación de Espuma Poliuretano y Multiseal Afloramiento Banco de Ductos Potencia y FO CT30.</t>
  </si>
  <si>
    <t>Cerrados IUP</t>
  </si>
  <si>
    <t>Pendiente cierre ENEL</t>
  </si>
  <si>
    <t>Abiertos</t>
  </si>
  <si>
    <t>Suministros</t>
  </si>
  <si>
    <t>Social</t>
  </si>
  <si>
    <t>Monolitos</t>
  </si>
  <si>
    <t>Varios</t>
  </si>
  <si>
    <t>Fecha propuesta</t>
  </si>
  <si>
    <t>Fecha Real</t>
  </si>
  <si>
    <t>Farid consolido en cierre</t>
  </si>
  <si>
    <r>
      <t>Cerrados IUP</t>
    </r>
    <r>
      <rPr>
        <sz val="11"/>
        <color rgb="FF000000"/>
        <rFont val="Calibri"/>
        <family val="2"/>
      </rPr>
      <t> </t>
    </r>
  </si>
  <si>
    <r>
      <t>Pendiente cierre ENEL</t>
    </r>
    <r>
      <rPr>
        <sz val="11"/>
        <color rgb="FF000000"/>
        <rFont val="Calibri"/>
        <family val="2"/>
      </rPr>
      <t> </t>
    </r>
  </si>
  <si>
    <t>  </t>
  </si>
  <si>
    <t>JINKO</t>
  </si>
  <si>
    <t>ANTENAS</t>
  </si>
  <si>
    <t>ESCLAVAS</t>
  </si>
  <si>
    <t>6 PHL</t>
  </si>
  <si>
    <t>2 PHL</t>
  </si>
  <si>
    <t>1 PHL</t>
  </si>
  <si>
    <t>3 PHL</t>
  </si>
  <si>
    <t>21 PHL</t>
  </si>
  <si>
    <t>18 PHL</t>
  </si>
  <si>
    <t>MASTER TCU</t>
  </si>
  <si>
    <t>33 PHL</t>
  </si>
  <si>
    <t>DEMAS CAMPOS</t>
  </si>
  <si>
    <t>16 PHL</t>
  </si>
  <si>
    <t>CTO</t>
  </si>
  <si>
    <t>Sustainability</t>
  </si>
  <si>
    <t>CIRCUITO</t>
  </si>
  <si>
    <t>DETALLE ESTADO</t>
  </si>
  <si>
    <t>EXTERNO</t>
  </si>
  <si>
    <t>Items por CTO</t>
  </si>
  <si>
    <t>Punch list por sistemas</t>
  </si>
  <si>
    <t>Resumen de estado</t>
  </si>
  <si>
    <t>% del total</t>
  </si>
  <si>
    <t>Seguimiento cierre PL por subcampo</t>
  </si>
  <si>
    <t>PL externos por subcampo</t>
  </si>
  <si>
    <t>Trina Commissioning</t>
  </si>
  <si>
    <t>PL por subcampo y sistema</t>
  </si>
  <si>
    <t>PART / ESTADO</t>
  </si>
  <si>
    <t>Total Drainage System</t>
  </si>
  <si>
    <t>Total Earthing system</t>
  </si>
  <si>
    <t>Total Cables</t>
  </si>
  <si>
    <t>Total LV/MV Transformation Cabin Others</t>
  </si>
  <si>
    <t>Total LV/MV  Cabin for string inverter Assembly</t>
  </si>
  <si>
    <t>Total Fiber optic</t>
  </si>
  <si>
    <t>Total Earthworks</t>
  </si>
  <si>
    <t>Total PV Tracker system</t>
  </si>
  <si>
    <t>Total Roads</t>
  </si>
  <si>
    <t>Total Security System</t>
  </si>
  <si>
    <t>Total String Inverter</t>
  </si>
  <si>
    <t>Total Trenches and Cable Way</t>
  </si>
  <si>
    <t>Total LV/MV Cabin Others</t>
  </si>
  <si>
    <t>Total LV/MV Transformation Cabin</t>
  </si>
  <si>
    <t>Total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</si>
</sst>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0" x14ac:knownFonts="1">
    <font>
      <sz val="11"/>
      <color indexed="8"/>
      <name val="Calibri"/>
      <family val="2"/>
      <scheme val="minor"/>
    </font>
    <font>
      <sz val="11"/>
      <color theme="1"/>
      <name val="Calibri"/>
      <family val="2"/>
      <scheme val="minor"/>
    </font>
    <font>
      <sz val="11"/>
      <color theme="1"/>
      <name val="Calibri"/>
      <family val="2"/>
      <scheme val="minor"/>
    </font>
    <font>
      <b/>
      <sz val="11"/>
      <color indexed="9"/>
      <name val="Calibri"/>
      <family val="2"/>
    </font>
    <font>
      <sz val="8"/>
      <name val="Calibri"/>
      <family val="2"/>
      <scheme val="minor"/>
    </font>
    <font>
      <b/>
      <sz val="11"/>
      <color rgb="FFFFFFFF"/>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sz val="12"/>
      <color rgb="FF9C0006"/>
      <name val="Arial"/>
      <family val="2"/>
    </font>
    <font>
      <b/>
      <sz val="11"/>
      <color theme="0"/>
      <name val="Calibri"/>
      <family val="2"/>
      <scheme val="minor"/>
    </font>
    <font>
      <b/>
      <sz val="10"/>
      <color theme="0"/>
      <name val="Calibri"/>
      <family val="2"/>
      <scheme val="minor"/>
    </font>
    <font>
      <sz val="10"/>
      <color indexed="8"/>
      <name val="Calibri"/>
      <family val="2"/>
      <scheme val="minor"/>
    </font>
    <font>
      <sz val="10"/>
      <color theme="1"/>
      <name val="Calibri"/>
      <family val="2"/>
      <scheme val="minor"/>
    </font>
    <font>
      <b/>
      <sz val="11"/>
      <color indexed="8"/>
      <name val="Calibri"/>
      <family val="2"/>
      <scheme val="minor"/>
    </font>
    <font>
      <b/>
      <sz val="10"/>
      <color indexed="9"/>
      <name val="Calibri"/>
      <family val="2"/>
    </font>
    <font>
      <b/>
      <sz val="10"/>
      <color rgb="FFFFFFFF"/>
      <name val="Calibri"/>
      <family val="2"/>
    </font>
    <font>
      <sz val="10"/>
      <color theme="1"/>
      <name val="Calibri"/>
      <family val="2"/>
    </font>
    <font>
      <b/>
      <sz val="11"/>
      <color rgb="FF000000"/>
      <name val="Calibri"/>
      <family val="2"/>
    </font>
    <font>
      <sz val="11"/>
      <color rgb="FF000000"/>
      <name val="Calibri"/>
      <family val="2"/>
    </font>
  </fonts>
  <fills count="27">
    <fill>
      <patternFill patternType="none"/>
    </fill>
    <fill>
      <patternFill patternType="gray125"/>
    </fill>
    <fill>
      <patternFill patternType="solid">
        <fgColor indexed="17"/>
      </patternFill>
    </fill>
    <fill>
      <patternFill patternType="solid">
        <fgColor rgb="FF008000"/>
        <bgColor rgb="FF000000"/>
      </patternFill>
    </fill>
    <fill>
      <patternFill patternType="solid">
        <fgColor rgb="FF008000"/>
        <bgColor indexed="64"/>
      </patternFill>
    </fill>
    <fill>
      <patternFill patternType="solid">
        <fgColor rgb="FFFFC7CE"/>
      </patternFill>
    </fill>
    <fill>
      <patternFill patternType="solid">
        <fgColor rgb="FFFFC000"/>
        <bgColor indexed="64"/>
      </patternFill>
    </fill>
    <fill>
      <patternFill patternType="solid">
        <fgColor theme="0" tint="-0.249977111117893"/>
        <bgColor indexed="64"/>
      </patternFill>
    </fill>
    <fill>
      <patternFill patternType="solid">
        <fgColor theme="7"/>
        <bgColor indexed="64"/>
      </patternFill>
    </fill>
    <fill>
      <patternFill patternType="solid">
        <fgColor theme="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theme="4" tint="0.79998168889431442"/>
      </patternFill>
    </fill>
    <fill>
      <patternFill patternType="solid">
        <fgColor theme="0" tint="-4.9989318521683403E-2"/>
        <bgColor indexed="64"/>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bgColor indexed="64"/>
      </patternFill>
    </fill>
    <fill>
      <patternFill patternType="solid">
        <fgColor rgb="FFEAEFF7"/>
        <bgColor indexed="64"/>
      </patternFill>
    </fill>
    <fill>
      <patternFill patternType="solid">
        <fgColor theme="7" tint="0.79998168889431442"/>
        <bgColor indexed="64"/>
      </patternFill>
    </fill>
    <fill>
      <patternFill patternType="solid">
        <fgColor rgb="FF92D050"/>
        <bgColor indexed="64"/>
      </patternFill>
    </fill>
  </fills>
  <borders count="23">
    <border>
      <left/>
      <right/>
      <top/>
      <bottom/>
      <diagonal/>
    </border>
    <border>
      <left style="thin">
        <color auto="1"/>
      </left>
      <right style="thin">
        <color auto="1"/>
      </right>
      <top/>
      <bottom style="thin">
        <color auto="1"/>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s>
  <cellStyleXfs count="5">
    <xf numFmtId="0" fontId="0" fillId="0" borderId="0"/>
    <xf numFmtId="0" fontId="6" fillId="0" borderId="0"/>
    <xf numFmtId="9" fontId="8" fillId="0" borderId="0" applyFont="0" applyFill="0" applyBorder="0" applyAlignment="0" applyProtection="0"/>
    <xf numFmtId="0" fontId="9" fillId="5" borderId="0" applyNumberFormat="0" applyBorder="0" applyAlignment="0" applyProtection="0"/>
    <xf numFmtId="0" fontId="1" fillId="0" borderId="0"/>
  </cellStyleXfs>
  <cellXfs count="164">
    <xf numFmtId="0" fontId="0" fillId="0" borderId="0" xfId="0"/>
    <xf numFmtId="0" fontId="6" fillId="0" borderId="0" xfId="1"/>
    <xf numFmtId="0" fontId="7" fillId="0" borderId="1" xfId="1" applyFont="1" applyBorder="1" applyAlignment="1">
      <alignment horizontal="center" vertical="top"/>
    </xf>
    <xf numFmtId="14" fontId="6" fillId="0" borderId="0" xfId="1" applyNumberFormat="1"/>
    <xf numFmtId="0" fontId="7" fillId="0" borderId="1" xfId="1" applyFont="1" applyBorder="1" applyAlignment="1">
      <alignment horizontal="center" vertical="center"/>
    </xf>
    <xf numFmtId="0" fontId="6" fillId="0" borderId="0" xfId="1" applyAlignment="1">
      <alignment horizontal="center" vertical="center"/>
    </xf>
    <xf numFmtId="14" fontId="6" fillId="0" borderId="0" xfId="1" applyNumberFormat="1" applyAlignment="1">
      <alignment horizontal="center" vertical="center"/>
    </xf>
    <xf numFmtId="0" fontId="7" fillId="0" borderId="1" xfId="1" applyFont="1" applyBorder="1" applyAlignment="1">
      <alignment horizontal="center" vertical="center" wrapText="1"/>
    </xf>
    <xf numFmtId="0" fontId="6" fillId="0" borderId="0" xfId="1" applyAlignment="1">
      <alignment horizontal="center" vertical="center" wrapText="1"/>
    </xf>
    <xf numFmtId="14" fontId="7" fillId="0" borderId="1" xfId="1" applyNumberFormat="1" applyFont="1" applyBorder="1" applyAlignment="1">
      <alignment horizontal="center" vertical="top"/>
    </xf>
    <xf numFmtId="9" fontId="0" fillId="0" borderId="0" xfId="2" applyFont="1"/>
    <xf numFmtId="0" fontId="9" fillId="5" borderId="0" xfId="3"/>
    <xf numFmtId="0" fontId="6" fillId="6" borderId="0" xfId="1" applyFill="1"/>
    <xf numFmtId="0" fontId="6" fillId="6" borderId="0" xfId="1" applyFill="1" applyAlignment="1">
      <alignment horizontal="center" vertical="center" wrapText="1"/>
    </xf>
    <xf numFmtId="0" fontId="6" fillId="7" borderId="0" xfId="1" applyFill="1" applyAlignment="1">
      <alignment horizontal="center" vertical="center" wrapText="1"/>
    </xf>
    <xf numFmtId="0" fontId="6" fillId="8" borderId="0" xfId="1" applyFill="1" applyAlignment="1">
      <alignment horizontal="center" vertical="center" wrapText="1"/>
    </xf>
    <xf numFmtId="0" fontId="6" fillId="8" borderId="0" xfId="1" applyFill="1"/>
    <xf numFmtId="0" fontId="6" fillId="7" borderId="0" xfId="1" applyFill="1"/>
    <xf numFmtId="0" fontId="6" fillId="9" borderId="0" xfId="1" applyFill="1"/>
    <xf numFmtId="0" fontId="6" fillId="9" borderId="0" xfId="1" applyFill="1" applyAlignment="1">
      <alignment horizontal="center" vertical="center" wrapText="1"/>
    </xf>
    <xf numFmtId="0" fontId="0" fillId="6" borderId="0" xfId="0" applyFill="1"/>
    <xf numFmtId="0" fontId="0" fillId="0" borderId="0" xfId="0" applyAlignment="1">
      <alignment horizontal="center" vertical="center"/>
    </xf>
    <xf numFmtId="0" fontId="0" fillId="0" borderId="0" xfId="0" applyAlignment="1">
      <alignment horizontal="center" vertical="center" wrapText="1"/>
    </xf>
    <xf numFmtId="10" fontId="0" fillId="0" borderId="0" xfId="0" applyNumberFormat="1"/>
    <xf numFmtId="0" fontId="2" fillId="11"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wrapText="1"/>
    </xf>
    <xf numFmtId="10" fontId="0" fillId="0" borderId="0" xfId="0" applyNumberFormat="1" applyAlignment="1">
      <alignment wrapText="1"/>
    </xf>
    <xf numFmtId="10" fontId="0" fillId="0" borderId="0" xfId="2" applyNumberFormat="1" applyFont="1" applyAlignment="1">
      <alignment wrapText="1"/>
    </xf>
    <xf numFmtId="0" fontId="3" fillId="2" borderId="4" xfId="0" applyFont="1" applyFill="1" applyBorder="1"/>
    <xf numFmtId="0" fontId="3" fillId="2" borderId="1" xfId="0" applyFont="1" applyFill="1" applyBorder="1"/>
    <xf numFmtId="0" fontId="5" fillId="3" borderId="1" xfId="0" applyFont="1" applyFill="1" applyBorder="1"/>
    <xf numFmtId="0" fontId="3" fillId="4" borderId="1" xfId="0" applyFont="1" applyFill="1" applyBorder="1"/>
    <xf numFmtId="0" fontId="3" fillId="2" borderId="5" xfId="0" applyFont="1" applyFill="1" applyBorder="1"/>
    <xf numFmtId="0" fontId="2" fillId="11"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10" fillId="10" borderId="5"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2" fillId="0" borderId="0" xfId="0" applyFont="1"/>
    <xf numFmtId="0" fontId="11" fillId="10"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3" fillId="14" borderId="3"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13" fillId="17" borderId="3" xfId="0" applyFont="1" applyFill="1" applyBorder="1" applyAlignment="1">
      <alignment horizontal="center" vertical="center" wrapText="1"/>
    </xf>
    <xf numFmtId="0" fontId="6" fillId="0" borderId="2" xfId="1" applyBorder="1"/>
    <xf numFmtId="0" fontId="6" fillId="0" borderId="13" xfId="1" applyBorder="1"/>
    <xf numFmtId="0" fontId="7" fillId="6" borderId="13" xfId="1" applyFont="1" applyFill="1" applyBorder="1" applyAlignment="1">
      <alignment horizontal="right"/>
    </xf>
    <xf numFmtId="0" fontId="14" fillId="6" borderId="0" xfId="0" applyFont="1" applyFill="1" applyAlignment="1">
      <alignment horizontal="center" vertical="center" wrapText="1"/>
    </xf>
    <xf numFmtId="0" fontId="0" fillId="0" borderId="3" xfId="0" applyBorder="1" applyAlignment="1">
      <alignment wrapText="1"/>
    </xf>
    <xf numFmtId="0" fontId="7" fillId="10" borderId="3" xfId="4" applyFont="1" applyFill="1" applyBorder="1" applyAlignment="1">
      <alignment horizontal="center" vertical="center" wrapText="1"/>
    </xf>
    <xf numFmtId="0" fontId="1" fillId="11" borderId="14" xfId="4" applyFill="1" applyBorder="1" applyAlignment="1">
      <alignment horizontal="center" vertical="center" wrapText="1"/>
    </xf>
    <xf numFmtId="0" fontId="1" fillId="11" borderId="2" xfId="4" applyFill="1" applyBorder="1" applyAlignment="1">
      <alignment horizontal="center" vertical="center" wrapText="1"/>
    </xf>
    <xf numFmtId="0" fontId="1" fillId="18" borderId="2" xfId="4" applyFill="1" applyBorder="1" applyAlignment="1">
      <alignment horizontal="center" vertical="center" wrapText="1"/>
    </xf>
    <xf numFmtId="0" fontId="1" fillId="11" borderId="15" xfId="4" applyFill="1" applyBorder="1" applyAlignment="1">
      <alignment horizontal="center" vertical="center" wrapText="1"/>
    </xf>
    <xf numFmtId="0" fontId="1" fillId="0" borderId="14" xfId="4" applyBorder="1" applyAlignment="1">
      <alignment horizontal="center" vertical="center" wrapText="1"/>
    </xf>
    <xf numFmtId="0" fontId="1" fillId="0" borderId="2" xfId="4" applyBorder="1" applyAlignment="1">
      <alignment horizontal="center" vertical="center" wrapText="1"/>
    </xf>
    <xf numFmtId="0" fontId="1" fillId="0" borderId="15" xfId="4" applyBorder="1" applyAlignment="1">
      <alignment horizontal="center" vertical="center" wrapText="1"/>
    </xf>
    <xf numFmtId="0" fontId="1" fillId="19" borderId="2" xfId="4" applyFill="1" applyBorder="1" applyAlignment="1">
      <alignment horizontal="center" vertical="center" wrapText="1"/>
    </xf>
    <xf numFmtId="14" fontId="1" fillId="11" borderId="15" xfId="4" applyNumberFormat="1" applyFill="1" applyBorder="1" applyAlignment="1">
      <alignment horizontal="center" vertical="center" wrapText="1"/>
    </xf>
    <xf numFmtId="14" fontId="1" fillId="0" borderId="15" xfId="4" applyNumberFormat="1" applyBorder="1" applyAlignment="1">
      <alignment horizontal="center" vertical="center" wrapText="1"/>
    </xf>
    <xf numFmtId="0" fontId="1" fillId="7" borderId="2" xfId="4" applyFill="1" applyBorder="1" applyAlignment="1">
      <alignment horizontal="center" vertical="center" wrapText="1"/>
    </xf>
    <xf numFmtId="14" fontId="1" fillId="11" borderId="2" xfId="4" applyNumberFormat="1" applyFill="1" applyBorder="1" applyAlignment="1">
      <alignment horizontal="center" vertical="center" wrapText="1"/>
    </xf>
    <xf numFmtId="0" fontId="0" fillId="18" borderId="6" xfId="0" applyFill="1" applyBorder="1"/>
    <xf numFmtId="0" fontId="0" fillId="18" borderId="3" xfId="0" applyFill="1" applyBorder="1"/>
    <xf numFmtId="0" fontId="6" fillId="18" borderId="3" xfId="1" applyFill="1" applyBorder="1"/>
    <xf numFmtId="0" fontId="0" fillId="18" borderId="7" xfId="0" applyFill="1" applyBorder="1"/>
    <xf numFmtId="0" fontId="0" fillId="15" borderId="6" xfId="0" applyFill="1" applyBorder="1"/>
    <xf numFmtId="0" fontId="0" fillId="15" borderId="3" xfId="0" applyFill="1" applyBorder="1"/>
    <xf numFmtId="0" fontId="6" fillId="15" borderId="3" xfId="1" applyFill="1" applyBorder="1"/>
    <xf numFmtId="0" fontId="0" fillId="15" borderId="7" xfId="0" applyFill="1" applyBorder="1"/>
    <xf numFmtId="0" fontId="0" fillId="20" borderId="3" xfId="0" applyFill="1" applyBorder="1"/>
    <xf numFmtId="0" fontId="0" fillId="20" borderId="6" xfId="0" applyFill="1" applyBorder="1"/>
    <xf numFmtId="0" fontId="6" fillId="20" borderId="3" xfId="1" applyFill="1" applyBorder="1"/>
    <xf numFmtId="0" fontId="0" fillId="20" borderId="7" xfId="0" applyFill="1" applyBorder="1"/>
    <xf numFmtId="0" fontId="0" fillId="21" borderId="6" xfId="0" applyFill="1" applyBorder="1"/>
    <xf numFmtId="0" fontId="0" fillId="21" borderId="3" xfId="0" applyFill="1" applyBorder="1"/>
    <xf numFmtId="0" fontId="6" fillId="21" borderId="3" xfId="1" applyFill="1" applyBorder="1"/>
    <xf numFmtId="0" fontId="0" fillId="21" borderId="7" xfId="0" applyFill="1" applyBorder="1"/>
    <xf numFmtId="0" fontId="0" fillId="22" borderId="3" xfId="0" applyFill="1" applyBorder="1"/>
    <xf numFmtId="0" fontId="0" fillId="22" borderId="7" xfId="0" applyFill="1" applyBorder="1"/>
    <xf numFmtId="0" fontId="6" fillId="22" borderId="3" xfId="1" applyFill="1" applyBorder="1"/>
    <xf numFmtId="0" fontId="0" fillId="22" borderId="6" xfId="0" applyFill="1" applyBorder="1"/>
    <xf numFmtId="0" fontId="0" fillId="23" borderId="6" xfId="0" applyFill="1" applyBorder="1"/>
    <xf numFmtId="0" fontId="0" fillId="23" borderId="3" xfId="0" applyFill="1" applyBorder="1"/>
    <xf numFmtId="0" fontId="6" fillId="23" borderId="3" xfId="1" applyFill="1" applyBorder="1"/>
    <xf numFmtId="0" fontId="0" fillId="23" borderId="7" xfId="0" applyFill="1" applyBorder="1"/>
    <xf numFmtId="0" fontId="0" fillId="6" borderId="3" xfId="0" applyFill="1" applyBorder="1"/>
    <xf numFmtId="0" fontId="14" fillId="6" borderId="3" xfId="0" applyFont="1" applyFill="1" applyBorder="1" applyAlignment="1">
      <alignment horizontal="right"/>
    </xf>
    <xf numFmtId="0" fontId="14" fillId="0" borderId="3" xfId="0" applyFont="1" applyBorder="1" applyAlignment="1">
      <alignment horizontal="right"/>
    </xf>
    <xf numFmtId="0" fontId="14" fillId="18" borderId="3" xfId="0" applyFont="1" applyFill="1" applyBorder="1" applyAlignment="1">
      <alignment horizontal="right"/>
    </xf>
    <xf numFmtId="0" fontId="17" fillId="18" borderId="3" xfId="1" applyFont="1" applyFill="1" applyBorder="1"/>
    <xf numFmtId="0" fontId="17" fillId="18" borderId="3" xfId="0" applyFont="1" applyFill="1" applyBorder="1" applyAlignment="1">
      <alignment wrapText="1"/>
    </xf>
    <xf numFmtId="0" fontId="15" fillId="2" borderId="3" xfId="0" applyFont="1" applyFill="1" applyBorder="1" applyAlignment="1">
      <alignment wrapText="1"/>
    </xf>
    <xf numFmtId="0" fontId="15" fillId="2" borderId="3" xfId="0" applyFont="1" applyFill="1" applyBorder="1"/>
    <xf numFmtId="0" fontId="16" fillId="3" borderId="3" xfId="0" applyFont="1" applyFill="1" applyBorder="1"/>
    <xf numFmtId="0" fontId="15" fillId="4" borderId="3" xfId="0" applyFont="1" applyFill="1" applyBorder="1"/>
    <xf numFmtId="0" fontId="17" fillId="18" borderId="3" xfId="0" applyFont="1" applyFill="1" applyBorder="1"/>
    <xf numFmtId="0" fontId="17" fillId="6" borderId="3" xfId="0" applyFont="1" applyFill="1" applyBorder="1"/>
    <xf numFmtId="0" fontId="15" fillId="4" borderId="3" xfId="0" applyFont="1" applyFill="1" applyBorder="1" applyAlignment="1">
      <alignment horizontal="center" vertical="center"/>
    </xf>
    <xf numFmtId="0" fontId="15" fillId="2" borderId="3" xfId="0" applyFont="1" applyFill="1" applyBorder="1" applyAlignment="1">
      <alignment horizontal="center" vertical="center"/>
    </xf>
    <xf numFmtId="0" fontId="17" fillId="18" borderId="3" xfId="0" applyFont="1" applyFill="1" applyBorder="1" applyAlignment="1">
      <alignment horizontal="center" vertical="center"/>
    </xf>
    <xf numFmtId="14" fontId="17" fillId="18" borderId="3" xfId="0" applyNumberFormat="1" applyFont="1" applyFill="1" applyBorder="1" applyAlignment="1">
      <alignment horizontal="center" vertical="center"/>
    </xf>
    <xf numFmtId="0" fontId="18" fillId="24" borderId="16" xfId="0" applyFont="1" applyFill="1" applyBorder="1" applyAlignment="1">
      <alignment horizontal="right" wrapText="1" readingOrder="1"/>
    </xf>
    <xf numFmtId="0" fontId="18" fillId="6" borderId="19" xfId="0" applyFont="1" applyFill="1" applyBorder="1" applyAlignment="1">
      <alignment horizontal="center" wrapText="1" readingOrder="1"/>
    </xf>
    <xf numFmtId="0" fontId="18" fillId="6" borderId="20" xfId="0" applyFont="1" applyFill="1" applyBorder="1" applyAlignment="1">
      <alignment horizontal="center" wrapText="1" readingOrder="1"/>
    </xf>
    <xf numFmtId="0" fontId="0" fillId="6" borderId="21" xfId="0" applyFill="1" applyBorder="1" applyAlignment="1">
      <alignment horizontal="center" wrapText="1"/>
    </xf>
    <xf numFmtId="0" fontId="19" fillId="24" borderId="16" xfId="0" applyFont="1" applyFill="1" applyBorder="1" applyAlignment="1">
      <alignment horizontal="right" wrapText="1" readingOrder="1"/>
    </xf>
    <xf numFmtId="0" fontId="18" fillId="6" borderId="16" xfId="0" applyFont="1" applyFill="1" applyBorder="1" applyAlignment="1">
      <alignment horizontal="center" wrapText="1" readingOrder="1"/>
    </xf>
    <xf numFmtId="0" fontId="0" fillId="25" borderId="3" xfId="0" applyFill="1" applyBorder="1"/>
    <xf numFmtId="0" fontId="18" fillId="26" borderId="16" xfId="0" applyFont="1" applyFill="1" applyBorder="1" applyAlignment="1">
      <alignment horizontal="right" wrapText="1" readingOrder="1"/>
    </xf>
    <xf numFmtId="0" fontId="3" fillId="2" borderId="1" xfId="0" applyFont="1" applyFill="1" applyBorder="1" applyAlignment="1">
      <alignment wrapText="1"/>
    </xf>
    <xf numFmtId="0" fontId="0" fillId="23" borderId="3" xfId="0" applyFill="1" applyBorder="1" applyAlignment="1">
      <alignment wrapText="1"/>
    </xf>
    <xf numFmtId="0" fontId="0" fillId="0" borderId="6" xfId="0" applyBorder="1"/>
    <xf numFmtId="0" fontId="0" fillId="0" borderId="3" xfId="0" applyBorder="1"/>
    <xf numFmtId="0" fontId="6" fillId="0" borderId="3" xfId="1" applyBorder="1"/>
    <xf numFmtId="14" fontId="0" fillId="18" borderId="3" xfId="0" applyNumberFormat="1" applyFill="1" applyBorder="1"/>
    <xf numFmtId="14" fontId="0" fillId="23" borderId="3" xfId="0" applyNumberFormat="1" applyFill="1" applyBorder="1"/>
    <xf numFmtId="0" fontId="1" fillId="0" borderId="0" xfId="1" applyFont="1"/>
    <xf numFmtId="0" fontId="1" fillId="0" borderId="0" xfId="1" applyFont="1" applyAlignment="1">
      <alignment horizontal="center" vertical="center"/>
    </xf>
    <xf numFmtId="0" fontId="0" fillId="15" borderId="8" xfId="0" applyFill="1" applyBorder="1"/>
    <xf numFmtId="0" fontId="0" fillId="15" borderId="9" xfId="0" applyFill="1" applyBorder="1"/>
    <xf numFmtId="0" fontId="6" fillId="15" borderId="9" xfId="1" applyFill="1" applyBorder="1"/>
    <xf numFmtId="0" fontId="0" fillId="15" borderId="10" xfId="0" applyFill="1" applyBorder="1"/>
    <xf numFmtId="0" fontId="19" fillId="24" borderId="19" xfId="0" applyFont="1" applyFill="1" applyBorder="1" applyAlignment="1">
      <alignment horizontal="right" vertical="center" wrapText="1" readingOrder="1"/>
    </xf>
    <xf numFmtId="0" fontId="19" fillId="24" borderId="20" xfId="0" applyFont="1" applyFill="1" applyBorder="1" applyAlignment="1">
      <alignment horizontal="right" vertical="center" wrapText="1" readingOrder="1"/>
    </xf>
    <xf numFmtId="0" fontId="19" fillId="24" borderId="21" xfId="0" applyFont="1" applyFill="1" applyBorder="1" applyAlignment="1">
      <alignment horizontal="right" vertical="center" wrapText="1" readingOrder="1"/>
    </xf>
    <xf numFmtId="0" fontId="18" fillId="24" borderId="19" xfId="0" applyFont="1" applyFill="1" applyBorder="1" applyAlignment="1">
      <alignment horizontal="right" vertical="center" wrapText="1" readingOrder="1"/>
    </xf>
    <xf numFmtId="0" fontId="18" fillId="24" borderId="20" xfId="0" applyFont="1" applyFill="1" applyBorder="1" applyAlignment="1">
      <alignment horizontal="right" vertical="center" wrapText="1" readingOrder="1"/>
    </xf>
    <xf numFmtId="0" fontId="18" fillId="24" borderId="21" xfId="0" applyFont="1" applyFill="1" applyBorder="1" applyAlignment="1">
      <alignment horizontal="right" vertical="center" wrapText="1" readingOrder="1"/>
    </xf>
    <xf numFmtId="0" fontId="18" fillId="6" borderId="17" xfId="0" applyFont="1" applyFill="1" applyBorder="1" applyAlignment="1">
      <alignment horizontal="center" wrapText="1" readingOrder="1"/>
    </xf>
    <xf numFmtId="0" fontId="18" fillId="6" borderId="22" xfId="0" applyFont="1" applyFill="1" applyBorder="1" applyAlignment="1">
      <alignment horizontal="center" wrapText="1" readingOrder="1"/>
    </xf>
    <xf numFmtId="0" fontId="18" fillId="6" borderId="18" xfId="0" applyFont="1" applyFill="1" applyBorder="1" applyAlignment="1">
      <alignment horizontal="center" wrapText="1" readingOrder="1"/>
    </xf>
    <xf numFmtId="0" fontId="10" fillId="10" borderId="9"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0" fillId="0" borderId="3" xfId="0" applyBorder="1" applyAlignment="1">
      <alignment horizontal="center" wrapText="1"/>
    </xf>
    <xf numFmtId="0" fontId="10" fillId="10" borderId="5"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12"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11"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0" fillId="0" borderId="6" xfId="0" applyFill="1" applyBorder="1"/>
    <xf numFmtId="0" fontId="0" fillId="0" borderId="3" xfId="0" applyFill="1" applyBorder="1" applyAlignment="1">
      <alignment wrapText="1"/>
    </xf>
    <xf numFmtId="0" fontId="6" fillId="0" borderId="3" xfId="1" applyFill="1" applyBorder="1"/>
    <xf numFmtId="0" fontId="0" fillId="0" borderId="3" xfId="0" applyFill="1" applyBorder="1"/>
    <xf numFmtId="14" fontId="0" fillId="0" borderId="3" xfId="0" applyNumberFormat="1" applyFill="1" applyBorder="1"/>
    <xf numFmtId="0" fontId="0" fillId="0" borderId="7" xfId="0" applyFill="1" applyBorder="1"/>
    <xf numFmtId="0" fontId="0" fillId="0" borderId="0" xfId="0" applyFill="1"/>
    <xf numFmtId="0" fontId="7" fillId="0" borderId="0" xfId="0" applyFont="1"/>
    <xf numFmtId="10" fontId="0" fillId="0" borderId="0" xfId="0" applyNumberFormat="1"/>
    <xf numFmtId="164" fontId="0" fillId="0" borderId="7" xfId="0" applyNumberFormat="1" applyFill="1" applyBorder="1" applyAlignment="1">
      <alignment horizontal="left"/>
    </xf>
    <xf numFmtId="164" fontId="0" fillId="0" borderId="3" xfId="0" applyNumberFormat="1" applyFill="1" applyBorder="1" applyAlignment="1">
      <alignment horizontal="left"/>
    </xf>
    <xf numFmtId="164" fontId="0" fillId="23" borderId="7" xfId="0" applyNumberFormat="1" applyFill="1" applyBorder="1" applyAlignment="1">
      <alignment horizontal="left"/>
    </xf>
    <xf numFmtId="164" fontId="0" fillId="18" borderId="7" xfId="0" applyNumberFormat="1" applyFill="1" applyBorder="1" applyAlignment="1">
      <alignment horizontal="left"/>
    </xf>
  </cellXfs>
  <cellStyles count="5">
    <cellStyle name="Incorrecto" xfId="3" builtinId="27"/>
    <cellStyle name="Normal" xfId="0" builtinId="0"/>
    <cellStyle name="Normal 2" xfId="1" xr:uid="{6217DD32-0FE2-48CF-A541-B8602452A845}"/>
    <cellStyle name="Normal 2 2" xfId="4" xr:uid="{73F8981D-3A4C-40A3-A1A3-811606728DB4}"/>
    <cellStyle name="Porcentaje" xfId="2" builtinId="5"/>
  </cellStyles>
  <dxfs count="68">
    <dxf>
      <fill>
        <patternFill patternType="none">
          <bgColor auto="1"/>
        </patternFill>
      </fill>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dxf>
    <dxf>
      <numFmt numFmtId="0" formatCode="General"/>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theme="4" tint="0.79998168889431442"/>
          <bgColor auto="1"/>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none">
          <bgColor auto="1"/>
        </patternFill>
      </fill>
    </dxf>
    <dxf>
      <fill>
        <patternFill patternType="none">
          <bgColor auto="1"/>
        </patternFill>
      </fill>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dxf>
    <dxf>
      <numFmt numFmtId="0" formatCode="General"/>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theme="4" tint="0.79998168889431442"/>
          <bgColor auto="1"/>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none">
          <bgColor auto="1"/>
        </patternFill>
      </fill>
    </dxf>
    <dxf>
      <numFmt numFmtId="0" formatCode="General"/>
    </dxf>
    <dxf>
      <numFmt numFmtId="0" formatCode="General"/>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indexed="9"/>
        <name val="Calibri"/>
        <family val="2"/>
        <scheme val="none"/>
      </font>
      <fill>
        <patternFill patternType="solid">
          <fgColor indexed="64"/>
          <bgColor indexed="17"/>
        </patternFill>
      </fill>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FD87C55B-37BA-4F90-AD12-2A4DF4E5CC3B}"/>
  </tableStyles>
  <colors>
    <mruColors>
      <color rgb="FF4472C4"/>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 Id="rId15" Type="http://schemas.openxmlformats.org/officeDocument/2006/relationships/worksheet" Target="worksheets/sheet11.xml"/><Relationship Id="rId1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Items</a:t>
            </a:r>
            <a:r>
              <a:rPr lang="es-CO" baseline="0"/>
              <a:t> Por 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AVANCE!$B$5</c:f>
              <c:strCache>
                <c:ptCount val="1"/>
                <c:pt idx="0">
                  <c:v>CERRADO</c:v>
                </c:pt>
              </c:strCache>
            </c:strRef>
          </c:tx>
          <c:spPr>
            <a:solidFill>
              <a:schemeClr val="accent1"/>
            </a:solidFill>
            <a:ln>
              <a:noFill/>
            </a:ln>
            <a:effectLst/>
          </c:spPr>
          <c:invertIfNegative val="0"/>
          <c:cat>
            <c:strRef>
              <c:f>AVANCE!$C$4:$G$4</c:f>
              <c:strCache>
                <c:ptCount val="5"/>
                <c:pt idx="0">
                  <c:v>CTO 5</c:v>
                </c:pt>
                <c:pt idx="1">
                  <c:v>CTO 8</c:v>
                </c:pt>
                <c:pt idx="2">
                  <c:v>CTO 9</c:v>
                </c:pt>
                <c:pt idx="3">
                  <c:v>CTO 10</c:v>
                </c:pt>
                <c:pt idx="4">
                  <c:v>Otros</c:v>
                </c:pt>
              </c:strCache>
            </c:strRef>
          </c:cat>
          <c:val>
            <c:numRef>
              <c:f>AVANCE!$C$5:$G$5</c:f>
              <c:numCache>
                <c:formatCode>General</c:formatCode>
                <c:ptCount val="5"/>
                <c:pt idx="0">
                  <c:v>166</c:v>
                </c:pt>
                <c:pt idx="1">
                  <c:v>213</c:v>
                </c:pt>
                <c:pt idx="2">
                  <c:v>315</c:v>
                </c:pt>
                <c:pt idx="3">
                  <c:v>351</c:v>
                </c:pt>
                <c:pt idx="4">
                  <c:v>51</c:v>
                </c:pt>
              </c:numCache>
            </c:numRef>
          </c:val>
          <c:extLst>
            <c:ext xmlns:c16="http://schemas.microsoft.com/office/drawing/2014/chart" uri="{C3380CC4-5D6E-409C-BE32-E72D297353CC}">
              <c16:uniqueId val="{00000000-5457-4EBE-9720-A91EB342CA5C}"/>
            </c:ext>
          </c:extLst>
        </c:ser>
        <c:ser>
          <c:idx val="1"/>
          <c:order val="1"/>
          <c:tx>
            <c:strRef>
              <c:f>AVANCE!$B$6</c:f>
              <c:strCache>
                <c:ptCount val="1"/>
                <c:pt idx="0">
                  <c:v>ABIERTO</c:v>
                </c:pt>
              </c:strCache>
            </c:strRef>
          </c:tx>
          <c:spPr>
            <a:solidFill>
              <a:schemeClr val="accent2"/>
            </a:solidFill>
            <a:ln>
              <a:noFill/>
            </a:ln>
            <a:effectLst/>
          </c:spPr>
          <c:invertIfNegative val="0"/>
          <c:cat>
            <c:strRef>
              <c:f>AVANCE!$C$4:$G$4</c:f>
              <c:strCache>
                <c:ptCount val="5"/>
                <c:pt idx="0">
                  <c:v>CTO 5</c:v>
                </c:pt>
                <c:pt idx="1">
                  <c:v>CTO 8</c:v>
                </c:pt>
                <c:pt idx="2">
                  <c:v>CTO 9</c:v>
                </c:pt>
                <c:pt idx="3">
                  <c:v>CTO 10</c:v>
                </c:pt>
                <c:pt idx="4">
                  <c:v>Otros</c:v>
                </c:pt>
              </c:strCache>
            </c:strRef>
          </c:cat>
          <c:val>
            <c:numRef>
              <c:f>AVANCE!$C$6:$G$6</c:f>
              <c:numCache>
                <c:formatCode>General</c:formatCode>
                <c:ptCount val="5"/>
                <c:pt idx="0">
                  <c:v>88</c:v>
                </c:pt>
                <c:pt idx="1">
                  <c:v>33</c:v>
                </c:pt>
                <c:pt idx="2">
                  <c:v>16</c:v>
                </c:pt>
                <c:pt idx="3">
                  <c:v>36</c:v>
                </c:pt>
                <c:pt idx="4">
                  <c:v>20</c:v>
                </c:pt>
              </c:numCache>
            </c:numRef>
          </c:val>
          <c:extLst>
            <c:ext xmlns:c16="http://schemas.microsoft.com/office/drawing/2014/chart" uri="{C3380CC4-5D6E-409C-BE32-E72D297353CC}">
              <c16:uniqueId val="{00000001-5457-4EBE-9720-A91EB342CA5C}"/>
            </c:ext>
          </c:extLst>
        </c:ser>
        <c:ser>
          <c:idx val="2"/>
          <c:order val="2"/>
          <c:tx>
            <c:strRef>
              <c:f>AVANCE!$B$7</c:f>
              <c:strCache>
                <c:ptCount val="1"/>
                <c:pt idx="0">
                  <c:v>PTE Validar Enel</c:v>
                </c:pt>
              </c:strCache>
            </c:strRef>
          </c:tx>
          <c:spPr>
            <a:solidFill>
              <a:schemeClr val="accent3"/>
            </a:solidFill>
            <a:ln>
              <a:noFill/>
            </a:ln>
            <a:effectLst/>
          </c:spPr>
          <c:invertIfNegative val="0"/>
          <c:cat>
            <c:strRef>
              <c:f>AVANCE!$C$4:$G$4</c:f>
              <c:strCache>
                <c:ptCount val="5"/>
                <c:pt idx="0">
                  <c:v>CTO 5</c:v>
                </c:pt>
                <c:pt idx="1">
                  <c:v>CTO 8</c:v>
                </c:pt>
                <c:pt idx="2">
                  <c:v>CTO 9</c:v>
                </c:pt>
                <c:pt idx="3">
                  <c:v>CTO 10</c:v>
                </c:pt>
                <c:pt idx="4">
                  <c:v>Otros</c:v>
                </c:pt>
              </c:strCache>
            </c:strRef>
          </c:cat>
          <c:val>
            <c:numRef>
              <c:f>AVANCE!$C$7:$G$7</c:f>
              <c:numCache>
                <c:formatCode>General</c:formatCode>
                <c:ptCount val="5"/>
                <c:pt idx="0">
                  <c:v>24</c:v>
                </c:pt>
                <c:pt idx="1">
                  <c:v>15</c:v>
                </c:pt>
                <c:pt idx="2">
                  <c:v>22</c:v>
                </c:pt>
                <c:pt idx="3">
                  <c:v>6</c:v>
                </c:pt>
                <c:pt idx="4">
                  <c:v>7</c:v>
                </c:pt>
              </c:numCache>
            </c:numRef>
          </c:val>
          <c:extLst>
            <c:ext xmlns:c16="http://schemas.microsoft.com/office/drawing/2014/chart" uri="{C3380CC4-5D6E-409C-BE32-E72D297353CC}">
              <c16:uniqueId val="{00000002-5457-4EBE-9720-A91EB342CA5C}"/>
            </c:ext>
          </c:extLst>
        </c:ser>
        <c:ser>
          <c:idx val="3"/>
          <c:order val="3"/>
          <c:tx>
            <c:strRef>
              <c:f>AVANCE!$B$8</c:f>
              <c:strCache>
                <c:ptCount val="1"/>
              </c:strCache>
            </c:strRef>
          </c:tx>
          <c:spPr>
            <a:solidFill>
              <a:schemeClr val="accent4"/>
            </a:solidFill>
            <a:ln>
              <a:noFill/>
            </a:ln>
            <a:effectLst/>
          </c:spPr>
          <c:invertIfNegative val="0"/>
          <c:cat>
            <c:strRef>
              <c:f>AVANCE!$C$4:$G$4</c:f>
              <c:strCache>
                <c:ptCount val="5"/>
                <c:pt idx="0">
                  <c:v>CTO 5</c:v>
                </c:pt>
                <c:pt idx="1">
                  <c:v>CTO 8</c:v>
                </c:pt>
                <c:pt idx="2">
                  <c:v>CTO 9</c:v>
                </c:pt>
                <c:pt idx="3">
                  <c:v>CTO 10</c:v>
                </c:pt>
                <c:pt idx="4">
                  <c:v>Otros</c:v>
                </c:pt>
              </c:strCache>
            </c:strRef>
          </c:cat>
          <c:val>
            <c:numRef>
              <c:f>AVANCE!$C$8:$G$8</c:f>
              <c:numCache>
                <c:formatCode>General</c:formatCode>
                <c:ptCount val="5"/>
              </c:numCache>
            </c:numRef>
          </c:val>
          <c:extLst>
            <c:ext xmlns:c16="http://schemas.microsoft.com/office/drawing/2014/chart" uri="{C3380CC4-5D6E-409C-BE32-E72D297353CC}">
              <c16:uniqueId val="{00000003-5457-4EBE-9720-A91EB342CA5C}"/>
            </c:ext>
          </c:extLst>
        </c:ser>
        <c:ser>
          <c:idx val="4"/>
          <c:order val="4"/>
          <c:tx>
            <c:strRef>
              <c:f>AVANCE!$B$9</c:f>
              <c:strCache>
                <c:ptCount val="1"/>
                <c:pt idx="0">
                  <c:v>TOTAL ÍTEMS</c:v>
                </c:pt>
              </c:strCache>
            </c:strRef>
          </c:tx>
          <c:spPr>
            <a:solidFill>
              <a:schemeClr val="accent5"/>
            </a:solidFill>
            <a:ln>
              <a:noFill/>
            </a:ln>
            <a:effectLst/>
          </c:spPr>
          <c:invertIfNegative val="0"/>
          <c:cat>
            <c:strRef>
              <c:f>AVANCE!$C$4:$G$4</c:f>
              <c:strCache>
                <c:ptCount val="5"/>
                <c:pt idx="0">
                  <c:v>CTO 5</c:v>
                </c:pt>
                <c:pt idx="1">
                  <c:v>CTO 8</c:v>
                </c:pt>
                <c:pt idx="2">
                  <c:v>CTO 9</c:v>
                </c:pt>
                <c:pt idx="3">
                  <c:v>CTO 10</c:v>
                </c:pt>
                <c:pt idx="4">
                  <c:v>Otros</c:v>
                </c:pt>
              </c:strCache>
            </c:strRef>
          </c:cat>
          <c:val>
            <c:numRef>
              <c:f>AVANCE!$C$9:$G$9</c:f>
              <c:numCache>
                <c:formatCode>General</c:formatCode>
                <c:ptCount val="5"/>
                <c:pt idx="0">
                  <c:v>278</c:v>
                </c:pt>
                <c:pt idx="1">
                  <c:v>261</c:v>
                </c:pt>
                <c:pt idx="2">
                  <c:v>353</c:v>
                </c:pt>
                <c:pt idx="3">
                  <c:v>393</c:v>
                </c:pt>
                <c:pt idx="4">
                  <c:v>78</c:v>
                </c:pt>
              </c:numCache>
            </c:numRef>
          </c:val>
          <c:extLst>
            <c:ext xmlns:c16="http://schemas.microsoft.com/office/drawing/2014/chart" uri="{C3380CC4-5D6E-409C-BE32-E72D297353CC}">
              <c16:uniqueId val="{00000005-5457-4EBE-9720-A91EB342CA5C}"/>
            </c:ext>
          </c:extLst>
        </c:ser>
        <c:dLbls>
          <c:showLegendKey val="0"/>
          <c:showVal val="0"/>
          <c:showCatName val="0"/>
          <c:showSerName val="0"/>
          <c:showPercent val="0"/>
          <c:showBubbleSize val="0"/>
        </c:dLbls>
        <c:gapWidth val="219"/>
        <c:overlap val="-27"/>
        <c:axId val="1659978880"/>
        <c:axId val="1801807792"/>
      </c:barChart>
      <c:catAx>
        <c:axId val="165997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01807792"/>
        <c:crosses val="autoZero"/>
        <c:auto val="1"/>
        <c:lblAlgn val="ctr"/>
        <c:lblOffset val="100"/>
        <c:noMultiLvlLbl val="0"/>
      </c:catAx>
      <c:valAx>
        <c:axId val="180180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5997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Seguimiento</a:t>
            </a:r>
            <a:r>
              <a:rPr lang="es-CO" baseline="0"/>
              <a:t> Cierre PL</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percentStacked"/>
        <c:varyColors val="0"/>
        <c:ser>
          <c:idx val="0"/>
          <c:order val="0"/>
          <c:tx>
            <c:strRef>
              <c:f>AVANCE!$E$46</c:f>
              <c:strCache>
                <c:ptCount val="1"/>
                <c:pt idx="0">
                  <c:v>Items Cerrados IUP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AVANCE!$B$47:$D$64</c:f>
              <c:multiLvlStrCache>
                <c:ptCount val="18"/>
                <c:lvl>
                  <c:pt idx="0">
                    <c:v>48</c:v>
                  </c:pt>
                  <c:pt idx="1">
                    <c:v>93</c:v>
                  </c:pt>
                  <c:pt idx="2">
                    <c:v>101</c:v>
                  </c:pt>
                  <c:pt idx="3">
                    <c:v>95</c:v>
                  </c:pt>
                  <c:pt idx="4">
                    <c:v>116</c:v>
                  </c:pt>
                  <c:pt idx="5">
                    <c:v>161</c:v>
                  </c:pt>
                  <c:pt idx="6">
                    <c:v>80</c:v>
                  </c:pt>
                  <c:pt idx="7">
                    <c:v>75</c:v>
                  </c:pt>
                  <c:pt idx="8">
                    <c:v>40</c:v>
                  </c:pt>
                  <c:pt idx="9">
                    <c:v>50</c:v>
                  </c:pt>
                  <c:pt idx="10">
                    <c:v>63</c:v>
                  </c:pt>
                  <c:pt idx="11">
                    <c:v>70</c:v>
                  </c:pt>
                  <c:pt idx="12">
                    <c:v>62</c:v>
                  </c:pt>
                  <c:pt idx="13">
                    <c:v>30</c:v>
                  </c:pt>
                  <c:pt idx="14">
                    <c:v>28</c:v>
                  </c:pt>
                  <c:pt idx="15">
                    <c:v>3</c:v>
                  </c:pt>
                  <c:pt idx="16">
                    <c:v>55</c:v>
                  </c:pt>
                  <c:pt idx="17">
                    <c:v>1170</c:v>
                  </c:pt>
                </c:lvl>
                <c:lvl>
                  <c:pt idx="0">
                    <c:v>49</c:v>
                  </c:pt>
                  <c:pt idx="1">
                    <c:v>99</c:v>
                  </c:pt>
                  <c:pt idx="2">
                    <c:v>106</c:v>
                  </c:pt>
                  <c:pt idx="3">
                    <c:v>99</c:v>
                  </c:pt>
                  <c:pt idx="4">
                    <c:v>130</c:v>
                  </c:pt>
                  <c:pt idx="5">
                    <c:v>165</c:v>
                  </c:pt>
                  <c:pt idx="6">
                    <c:v>98</c:v>
                  </c:pt>
                  <c:pt idx="7">
                    <c:v>86</c:v>
                  </c:pt>
                  <c:pt idx="8">
                    <c:v>44</c:v>
                  </c:pt>
                  <c:pt idx="9">
                    <c:v>59</c:v>
                  </c:pt>
                  <c:pt idx="10">
                    <c:v>72</c:v>
                  </c:pt>
                  <c:pt idx="11">
                    <c:v>78</c:v>
                  </c:pt>
                  <c:pt idx="12">
                    <c:v>69</c:v>
                  </c:pt>
                  <c:pt idx="13">
                    <c:v>94</c:v>
                  </c:pt>
                  <c:pt idx="14">
                    <c:v>37</c:v>
                  </c:pt>
                  <c:pt idx="15">
                    <c:v>6</c:v>
                  </c:pt>
                  <c:pt idx="16">
                    <c:v>72</c:v>
                  </c:pt>
                  <c:pt idx="17">
                    <c:v>1363</c:v>
                  </c:pt>
                </c:lvl>
                <c:lvl>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OTROS</c:v>
                  </c:pt>
                  <c:pt idx="17">
                    <c:v>Total</c:v>
                  </c:pt>
                </c:lvl>
              </c:multiLvlStrCache>
            </c:multiLvlStrRef>
          </c:cat>
          <c:val>
            <c:numRef>
              <c:f>AVANCE!$E$47:$E$64</c:f>
              <c:numCache>
                <c:formatCode>General</c:formatCode>
                <c:ptCount val="18"/>
                <c:pt idx="0">
                  <c:v>42</c:v>
                </c:pt>
                <c:pt idx="1">
                  <c:v>92</c:v>
                </c:pt>
                <c:pt idx="2">
                  <c:v>90</c:v>
                </c:pt>
                <c:pt idx="3">
                  <c:v>91</c:v>
                </c:pt>
                <c:pt idx="4">
                  <c:v>115</c:v>
                </c:pt>
                <c:pt idx="5">
                  <c:v>158</c:v>
                </c:pt>
                <c:pt idx="6">
                  <c:v>78</c:v>
                </c:pt>
                <c:pt idx="7">
                  <c:v>71</c:v>
                </c:pt>
                <c:pt idx="8">
                  <c:v>34</c:v>
                </c:pt>
                <c:pt idx="9">
                  <c:v>49</c:v>
                </c:pt>
                <c:pt idx="10">
                  <c:v>59</c:v>
                </c:pt>
                <c:pt idx="11">
                  <c:v>60</c:v>
                </c:pt>
                <c:pt idx="12">
                  <c:v>58</c:v>
                </c:pt>
                <c:pt idx="13">
                  <c:v>26</c:v>
                </c:pt>
                <c:pt idx="14">
                  <c:v>22</c:v>
                </c:pt>
                <c:pt idx="15">
                  <c:v>0</c:v>
                </c:pt>
                <c:pt idx="16">
                  <c:v>51</c:v>
                </c:pt>
                <c:pt idx="17">
                  <c:v>1096</c:v>
                </c:pt>
              </c:numCache>
            </c:numRef>
          </c:val>
          <c:extLst>
            <c:ext xmlns:c16="http://schemas.microsoft.com/office/drawing/2014/chart" uri="{C3380CC4-5D6E-409C-BE32-E72D297353CC}">
              <c16:uniqueId val="{00000000-96F9-4C53-95ED-8F518E670D7E}"/>
            </c:ext>
          </c:extLst>
        </c:ser>
        <c:ser>
          <c:idx val="1"/>
          <c:order val="1"/>
          <c:tx>
            <c:strRef>
              <c:f>AVANCE!$F$46</c:f>
              <c:strCache>
                <c:ptCount val="1"/>
                <c:pt idx="0">
                  <c:v>Items por revisión de ENEL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AVANCE!$B$47:$D$64</c:f>
              <c:multiLvlStrCache>
                <c:ptCount val="18"/>
                <c:lvl>
                  <c:pt idx="0">
                    <c:v>48</c:v>
                  </c:pt>
                  <c:pt idx="1">
                    <c:v>93</c:v>
                  </c:pt>
                  <c:pt idx="2">
                    <c:v>101</c:v>
                  </c:pt>
                  <c:pt idx="3">
                    <c:v>95</c:v>
                  </c:pt>
                  <c:pt idx="4">
                    <c:v>116</c:v>
                  </c:pt>
                  <c:pt idx="5">
                    <c:v>161</c:v>
                  </c:pt>
                  <c:pt idx="6">
                    <c:v>80</c:v>
                  </c:pt>
                  <c:pt idx="7">
                    <c:v>75</c:v>
                  </c:pt>
                  <c:pt idx="8">
                    <c:v>40</c:v>
                  </c:pt>
                  <c:pt idx="9">
                    <c:v>50</c:v>
                  </c:pt>
                  <c:pt idx="10">
                    <c:v>63</c:v>
                  </c:pt>
                  <c:pt idx="11">
                    <c:v>70</c:v>
                  </c:pt>
                  <c:pt idx="12">
                    <c:v>62</c:v>
                  </c:pt>
                  <c:pt idx="13">
                    <c:v>30</c:v>
                  </c:pt>
                  <c:pt idx="14">
                    <c:v>28</c:v>
                  </c:pt>
                  <c:pt idx="15">
                    <c:v>3</c:v>
                  </c:pt>
                  <c:pt idx="16">
                    <c:v>55</c:v>
                  </c:pt>
                  <c:pt idx="17">
                    <c:v>1170</c:v>
                  </c:pt>
                </c:lvl>
                <c:lvl>
                  <c:pt idx="0">
                    <c:v>49</c:v>
                  </c:pt>
                  <c:pt idx="1">
                    <c:v>99</c:v>
                  </c:pt>
                  <c:pt idx="2">
                    <c:v>106</c:v>
                  </c:pt>
                  <c:pt idx="3">
                    <c:v>99</c:v>
                  </c:pt>
                  <c:pt idx="4">
                    <c:v>130</c:v>
                  </c:pt>
                  <c:pt idx="5">
                    <c:v>165</c:v>
                  </c:pt>
                  <c:pt idx="6">
                    <c:v>98</c:v>
                  </c:pt>
                  <c:pt idx="7">
                    <c:v>86</c:v>
                  </c:pt>
                  <c:pt idx="8">
                    <c:v>44</c:v>
                  </c:pt>
                  <c:pt idx="9">
                    <c:v>59</c:v>
                  </c:pt>
                  <c:pt idx="10">
                    <c:v>72</c:v>
                  </c:pt>
                  <c:pt idx="11">
                    <c:v>78</c:v>
                  </c:pt>
                  <c:pt idx="12">
                    <c:v>69</c:v>
                  </c:pt>
                  <c:pt idx="13">
                    <c:v>94</c:v>
                  </c:pt>
                  <c:pt idx="14">
                    <c:v>37</c:v>
                  </c:pt>
                  <c:pt idx="15">
                    <c:v>6</c:v>
                  </c:pt>
                  <c:pt idx="16">
                    <c:v>72</c:v>
                  </c:pt>
                  <c:pt idx="17">
                    <c:v>1363</c:v>
                  </c:pt>
                </c:lvl>
                <c:lvl>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OTROS</c:v>
                  </c:pt>
                  <c:pt idx="17">
                    <c:v>Total</c:v>
                  </c:pt>
                </c:lvl>
              </c:multiLvlStrCache>
            </c:multiLvlStrRef>
          </c:cat>
          <c:val>
            <c:numRef>
              <c:f>AVANCE!$F$47:$F$64</c:f>
              <c:numCache>
                <c:formatCode>General</c:formatCode>
                <c:ptCount val="18"/>
                <c:pt idx="0">
                  <c:v>6</c:v>
                </c:pt>
                <c:pt idx="1">
                  <c:v>1</c:v>
                </c:pt>
                <c:pt idx="2">
                  <c:v>11</c:v>
                </c:pt>
                <c:pt idx="3">
                  <c:v>4</c:v>
                </c:pt>
                <c:pt idx="4">
                  <c:v>1</c:v>
                </c:pt>
                <c:pt idx="5">
                  <c:v>3</c:v>
                </c:pt>
                <c:pt idx="6">
                  <c:v>2</c:v>
                </c:pt>
                <c:pt idx="7">
                  <c:v>4</c:v>
                </c:pt>
                <c:pt idx="8">
                  <c:v>6</c:v>
                </c:pt>
                <c:pt idx="9">
                  <c:v>1</c:v>
                </c:pt>
                <c:pt idx="10">
                  <c:v>4</c:v>
                </c:pt>
                <c:pt idx="11">
                  <c:v>10</c:v>
                </c:pt>
                <c:pt idx="12">
                  <c:v>4</c:v>
                </c:pt>
                <c:pt idx="13">
                  <c:v>4</c:v>
                </c:pt>
                <c:pt idx="14">
                  <c:v>6</c:v>
                </c:pt>
                <c:pt idx="15">
                  <c:v>3</c:v>
                </c:pt>
                <c:pt idx="16">
                  <c:v>4</c:v>
                </c:pt>
                <c:pt idx="17">
                  <c:v>74</c:v>
                </c:pt>
              </c:numCache>
            </c:numRef>
          </c:val>
          <c:extLst>
            <c:ext xmlns:c16="http://schemas.microsoft.com/office/drawing/2014/chart" uri="{C3380CC4-5D6E-409C-BE32-E72D297353CC}">
              <c16:uniqueId val="{00000001-96F9-4C53-95ED-8F518E670D7E}"/>
            </c:ext>
          </c:extLst>
        </c:ser>
        <c:ser>
          <c:idx val="2"/>
          <c:order val="2"/>
          <c:tx>
            <c:strRef>
              <c:f>AVANCE!$G$46</c:f>
              <c:strCache>
                <c:ptCount val="1"/>
                <c:pt idx="0">
                  <c:v>Items Pendientes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AVANCE!$B$47:$D$64</c:f>
              <c:multiLvlStrCache>
                <c:ptCount val="18"/>
                <c:lvl>
                  <c:pt idx="0">
                    <c:v>48</c:v>
                  </c:pt>
                  <c:pt idx="1">
                    <c:v>93</c:v>
                  </c:pt>
                  <c:pt idx="2">
                    <c:v>101</c:v>
                  </c:pt>
                  <c:pt idx="3">
                    <c:v>95</c:v>
                  </c:pt>
                  <c:pt idx="4">
                    <c:v>116</c:v>
                  </c:pt>
                  <c:pt idx="5">
                    <c:v>161</c:v>
                  </c:pt>
                  <c:pt idx="6">
                    <c:v>80</c:v>
                  </c:pt>
                  <c:pt idx="7">
                    <c:v>75</c:v>
                  </c:pt>
                  <c:pt idx="8">
                    <c:v>40</c:v>
                  </c:pt>
                  <c:pt idx="9">
                    <c:v>50</c:v>
                  </c:pt>
                  <c:pt idx="10">
                    <c:v>63</c:v>
                  </c:pt>
                  <c:pt idx="11">
                    <c:v>70</c:v>
                  </c:pt>
                  <c:pt idx="12">
                    <c:v>62</c:v>
                  </c:pt>
                  <c:pt idx="13">
                    <c:v>30</c:v>
                  </c:pt>
                  <c:pt idx="14">
                    <c:v>28</c:v>
                  </c:pt>
                  <c:pt idx="15">
                    <c:v>3</c:v>
                  </c:pt>
                  <c:pt idx="16">
                    <c:v>55</c:v>
                  </c:pt>
                  <c:pt idx="17">
                    <c:v>1170</c:v>
                  </c:pt>
                </c:lvl>
                <c:lvl>
                  <c:pt idx="0">
                    <c:v>49</c:v>
                  </c:pt>
                  <c:pt idx="1">
                    <c:v>99</c:v>
                  </c:pt>
                  <c:pt idx="2">
                    <c:v>106</c:v>
                  </c:pt>
                  <c:pt idx="3">
                    <c:v>99</c:v>
                  </c:pt>
                  <c:pt idx="4">
                    <c:v>130</c:v>
                  </c:pt>
                  <c:pt idx="5">
                    <c:v>165</c:v>
                  </c:pt>
                  <c:pt idx="6">
                    <c:v>98</c:v>
                  </c:pt>
                  <c:pt idx="7">
                    <c:v>86</c:v>
                  </c:pt>
                  <c:pt idx="8">
                    <c:v>44</c:v>
                  </c:pt>
                  <c:pt idx="9">
                    <c:v>59</c:v>
                  </c:pt>
                  <c:pt idx="10">
                    <c:v>72</c:v>
                  </c:pt>
                  <c:pt idx="11">
                    <c:v>78</c:v>
                  </c:pt>
                  <c:pt idx="12">
                    <c:v>69</c:v>
                  </c:pt>
                  <c:pt idx="13">
                    <c:v>94</c:v>
                  </c:pt>
                  <c:pt idx="14">
                    <c:v>37</c:v>
                  </c:pt>
                  <c:pt idx="15">
                    <c:v>6</c:v>
                  </c:pt>
                  <c:pt idx="16">
                    <c:v>72</c:v>
                  </c:pt>
                  <c:pt idx="17">
                    <c:v>1363</c:v>
                  </c:pt>
                </c:lvl>
                <c:lvl>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OTROS</c:v>
                  </c:pt>
                  <c:pt idx="17">
                    <c:v>Total</c:v>
                  </c:pt>
                </c:lvl>
              </c:multiLvlStrCache>
            </c:multiLvlStrRef>
          </c:cat>
          <c:val>
            <c:numRef>
              <c:f>AVANCE!$G$47:$G$64</c:f>
              <c:numCache>
                <c:formatCode>General</c:formatCode>
                <c:ptCount val="18"/>
                <c:pt idx="0">
                  <c:v>1</c:v>
                </c:pt>
                <c:pt idx="1">
                  <c:v>6</c:v>
                </c:pt>
                <c:pt idx="2">
                  <c:v>5</c:v>
                </c:pt>
                <c:pt idx="3">
                  <c:v>4</c:v>
                </c:pt>
                <c:pt idx="4">
                  <c:v>14</c:v>
                </c:pt>
                <c:pt idx="5">
                  <c:v>4</c:v>
                </c:pt>
                <c:pt idx="6">
                  <c:v>18</c:v>
                </c:pt>
                <c:pt idx="7">
                  <c:v>11</c:v>
                </c:pt>
                <c:pt idx="8">
                  <c:v>4</c:v>
                </c:pt>
                <c:pt idx="9">
                  <c:v>9</c:v>
                </c:pt>
                <c:pt idx="10">
                  <c:v>9</c:v>
                </c:pt>
                <c:pt idx="11">
                  <c:v>8</c:v>
                </c:pt>
                <c:pt idx="12">
                  <c:v>7</c:v>
                </c:pt>
                <c:pt idx="13">
                  <c:v>64</c:v>
                </c:pt>
                <c:pt idx="14">
                  <c:v>9</c:v>
                </c:pt>
                <c:pt idx="15">
                  <c:v>3</c:v>
                </c:pt>
                <c:pt idx="16">
                  <c:v>17</c:v>
                </c:pt>
                <c:pt idx="17">
                  <c:v>193</c:v>
                </c:pt>
              </c:numCache>
            </c:numRef>
          </c:val>
          <c:extLst>
            <c:ext xmlns:c16="http://schemas.microsoft.com/office/drawing/2014/chart" uri="{C3380CC4-5D6E-409C-BE32-E72D297353CC}">
              <c16:uniqueId val="{00000002-96F9-4C53-95ED-8F518E670D7E}"/>
            </c:ext>
          </c:extLst>
        </c:ser>
        <c:dLbls>
          <c:dLblPos val="ctr"/>
          <c:showLegendKey val="0"/>
          <c:showVal val="1"/>
          <c:showCatName val="0"/>
          <c:showSerName val="0"/>
          <c:showPercent val="0"/>
          <c:showBubbleSize val="0"/>
        </c:dLbls>
        <c:gapWidth val="150"/>
        <c:overlap val="100"/>
        <c:axId val="1537609040"/>
        <c:axId val="1381928208"/>
      </c:barChart>
      <c:catAx>
        <c:axId val="15376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81928208"/>
        <c:crosses val="autoZero"/>
        <c:auto val="1"/>
        <c:lblAlgn val="ctr"/>
        <c:lblOffset val="100"/>
        <c:noMultiLvlLbl val="0"/>
      </c:catAx>
      <c:valAx>
        <c:axId val="138192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7609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O"/>
              <a:t>Punch</a:t>
            </a:r>
            <a:r>
              <a:rPr lang="es-CO" baseline="0"/>
              <a:t> list por sistemas</a:t>
            </a:r>
            <a:endParaRPr lang="es-CO"/>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percentStacked"/>
        <c:varyColors val="0"/>
        <c:ser>
          <c:idx val="0"/>
          <c:order val="0"/>
          <c:tx>
            <c:strRef>
              <c:f>AVANCE!$C$20</c:f>
              <c:strCache>
                <c:ptCount val="1"/>
                <c:pt idx="0">
                  <c:v>Cantidad</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AVANCE!$B$21:$B$35</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AVANCE!$C$21:$C$35</c:f>
              <c:numCache>
                <c:formatCode>General</c:formatCode>
                <c:ptCount val="15"/>
                <c:pt idx="0">
                  <c:v>1</c:v>
                </c:pt>
                <c:pt idx="1">
                  <c:v>1</c:v>
                </c:pt>
                <c:pt idx="2">
                  <c:v>2</c:v>
                </c:pt>
                <c:pt idx="3">
                  <c:v>5</c:v>
                </c:pt>
                <c:pt idx="4">
                  <c:v>14</c:v>
                </c:pt>
                <c:pt idx="5">
                  <c:v>15</c:v>
                </c:pt>
                <c:pt idx="6">
                  <c:v>18</c:v>
                </c:pt>
                <c:pt idx="7">
                  <c:v>56</c:v>
                </c:pt>
                <c:pt idx="8">
                  <c:v>6</c:v>
                </c:pt>
                <c:pt idx="9">
                  <c:v>20</c:v>
                </c:pt>
                <c:pt idx="10">
                  <c:v>27</c:v>
                </c:pt>
                <c:pt idx="11">
                  <c:v>64</c:v>
                </c:pt>
                <c:pt idx="12">
                  <c:v>75</c:v>
                </c:pt>
                <c:pt idx="13">
                  <c:v>288</c:v>
                </c:pt>
                <c:pt idx="14">
                  <c:v>771</c:v>
                </c:pt>
              </c:numCache>
            </c:numRef>
          </c:val>
          <c:extLst>
            <c:ext xmlns:c16="http://schemas.microsoft.com/office/drawing/2014/chart" uri="{C3380CC4-5D6E-409C-BE32-E72D297353CC}">
              <c16:uniqueId val="{00000000-8D46-4515-868B-79E9097CCE83}"/>
            </c:ext>
          </c:extLst>
        </c:ser>
        <c:ser>
          <c:idx val="1"/>
          <c:order val="1"/>
          <c:tx>
            <c:strRef>
              <c:f>AVANCE!$D$20</c:f>
              <c:strCache>
                <c:ptCount val="1"/>
                <c:pt idx="0">
                  <c:v>Cerrados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AVANCE!$B$21:$B$35</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AVANCE!$D$21:$D$35</c:f>
              <c:numCache>
                <c:formatCode>General</c:formatCode>
                <c:ptCount val="15"/>
                <c:pt idx="0">
                  <c:v>1</c:v>
                </c:pt>
                <c:pt idx="1">
                  <c:v>0</c:v>
                </c:pt>
                <c:pt idx="2">
                  <c:v>2</c:v>
                </c:pt>
                <c:pt idx="3">
                  <c:v>4</c:v>
                </c:pt>
                <c:pt idx="4">
                  <c:v>13</c:v>
                </c:pt>
                <c:pt idx="5">
                  <c:v>15</c:v>
                </c:pt>
                <c:pt idx="6">
                  <c:v>16</c:v>
                </c:pt>
                <c:pt idx="7">
                  <c:v>53</c:v>
                </c:pt>
                <c:pt idx="8">
                  <c:v>5</c:v>
                </c:pt>
                <c:pt idx="9">
                  <c:v>18</c:v>
                </c:pt>
                <c:pt idx="10">
                  <c:v>23</c:v>
                </c:pt>
                <c:pt idx="11">
                  <c:v>61</c:v>
                </c:pt>
                <c:pt idx="12">
                  <c:v>68</c:v>
                </c:pt>
                <c:pt idx="13">
                  <c:v>191</c:v>
                </c:pt>
                <c:pt idx="14">
                  <c:v>626</c:v>
                </c:pt>
              </c:numCache>
            </c:numRef>
          </c:val>
          <c:extLst>
            <c:ext xmlns:c16="http://schemas.microsoft.com/office/drawing/2014/chart" uri="{C3380CC4-5D6E-409C-BE32-E72D297353CC}">
              <c16:uniqueId val="{00000001-8D46-4515-868B-79E9097CCE83}"/>
            </c:ext>
          </c:extLst>
        </c:ser>
        <c:ser>
          <c:idx val="2"/>
          <c:order val="2"/>
          <c:tx>
            <c:strRef>
              <c:f>AVANCE!$E$20</c:f>
              <c:strCache>
                <c:ptCount val="1"/>
                <c:pt idx="0">
                  <c:v>Pendiente validación de ENEL</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AVANCE!$B$21:$B$35</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AVANCE!$E$21:$E$35</c:f>
              <c:numCache>
                <c:formatCode>General</c:formatCode>
                <c:ptCount val="15"/>
                <c:pt idx="0">
                  <c:v>0</c:v>
                </c:pt>
                <c:pt idx="1">
                  <c:v>1</c:v>
                </c:pt>
                <c:pt idx="2">
                  <c:v>0</c:v>
                </c:pt>
                <c:pt idx="3">
                  <c:v>0</c:v>
                </c:pt>
                <c:pt idx="4">
                  <c:v>0</c:v>
                </c:pt>
                <c:pt idx="5">
                  <c:v>0</c:v>
                </c:pt>
                <c:pt idx="6">
                  <c:v>0</c:v>
                </c:pt>
                <c:pt idx="7">
                  <c:v>3</c:v>
                </c:pt>
                <c:pt idx="8">
                  <c:v>1</c:v>
                </c:pt>
                <c:pt idx="9">
                  <c:v>0</c:v>
                </c:pt>
                <c:pt idx="10">
                  <c:v>2</c:v>
                </c:pt>
                <c:pt idx="11">
                  <c:v>3</c:v>
                </c:pt>
                <c:pt idx="12">
                  <c:v>3</c:v>
                </c:pt>
                <c:pt idx="13">
                  <c:v>10</c:v>
                </c:pt>
                <c:pt idx="14">
                  <c:v>51</c:v>
                </c:pt>
              </c:numCache>
            </c:numRef>
          </c:val>
          <c:extLst>
            <c:ext xmlns:c16="http://schemas.microsoft.com/office/drawing/2014/chart" uri="{C3380CC4-5D6E-409C-BE32-E72D297353CC}">
              <c16:uniqueId val="{00000000-A678-4CC1-A3C9-EE440034B469}"/>
            </c:ext>
          </c:extLst>
        </c:ser>
        <c:ser>
          <c:idx val="3"/>
          <c:order val="3"/>
          <c:tx>
            <c:strRef>
              <c:f>AVANCE!$F$20</c:f>
              <c:strCache>
                <c:ptCount val="1"/>
                <c:pt idx="0">
                  <c:v>Pendientes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AVANCE!$B$21:$B$35</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AVANCE!$F$21:$F$35</c:f>
              <c:numCache>
                <c:formatCode>General</c:formatCode>
                <c:ptCount val="15"/>
                <c:pt idx="0">
                  <c:v>0</c:v>
                </c:pt>
                <c:pt idx="1">
                  <c:v>0</c:v>
                </c:pt>
                <c:pt idx="2">
                  <c:v>0</c:v>
                </c:pt>
                <c:pt idx="3">
                  <c:v>1</c:v>
                </c:pt>
                <c:pt idx="4">
                  <c:v>1</c:v>
                </c:pt>
                <c:pt idx="5">
                  <c:v>0</c:v>
                </c:pt>
                <c:pt idx="6">
                  <c:v>2</c:v>
                </c:pt>
                <c:pt idx="7">
                  <c:v>0</c:v>
                </c:pt>
                <c:pt idx="8">
                  <c:v>0</c:v>
                </c:pt>
                <c:pt idx="9">
                  <c:v>2</c:v>
                </c:pt>
                <c:pt idx="10">
                  <c:v>2</c:v>
                </c:pt>
                <c:pt idx="11">
                  <c:v>0</c:v>
                </c:pt>
                <c:pt idx="12">
                  <c:v>4</c:v>
                </c:pt>
                <c:pt idx="13">
                  <c:v>87</c:v>
                </c:pt>
                <c:pt idx="14">
                  <c:v>94</c:v>
                </c:pt>
              </c:numCache>
            </c:numRef>
          </c:val>
          <c:extLst>
            <c:ext xmlns:c16="http://schemas.microsoft.com/office/drawing/2014/chart" uri="{C3380CC4-5D6E-409C-BE32-E72D297353CC}">
              <c16:uniqueId val="{00000001-A678-4CC1-A3C9-EE440034B469}"/>
            </c:ext>
          </c:extLst>
        </c:ser>
        <c:dLbls>
          <c:dLblPos val="ctr"/>
          <c:showLegendKey val="0"/>
          <c:showVal val="1"/>
          <c:showCatName val="0"/>
          <c:showSerName val="0"/>
          <c:showPercent val="0"/>
          <c:showBubbleSize val="0"/>
        </c:dLbls>
        <c:gapWidth val="50"/>
        <c:overlap val="100"/>
        <c:axId val="860849264"/>
        <c:axId val="1000848272"/>
      </c:barChart>
      <c:catAx>
        <c:axId val="86084926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0848272"/>
        <c:crosses val="autoZero"/>
        <c:auto val="1"/>
        <c:lblAlgn val="ctr"/>
        <c:lblOffset val="100"/>
        <c:noMultiLvlLbl val="0"/>
      </c:catAx>
      <c:valAx>
        <c:axId val="100084827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60849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Distribución de PL por subcampo que depende de terceros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stacked"/>
        <c:varyColors val="0"/>
        <c:ser>
          <c:idx val="0"/>
          <c:order val="0"/>
          <c:tx>
            <c:strRef>
              <c:f>AVANCE!$D$95</c:f>
              <c:strCache>
                <c:ptCount val="1"/>
                <c:pt idx="0">
                  <c:v>SOCIAL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AVANCE!$C$96:$C$111</c:f>
              <c:strCache>
                <c:ptCount val="16"/>
                <c:pt idx="0">
                  <c:v>ITS 20</c:v>
                </c:pt>
                <c:pt idx="1">
                  <c:v>ITS 21</c:v>
                </c:pt>
                <c:pt idx="2">
                  <c:v>ITS 22</c:v>
                </c:pt>
                <c:pt idx="3">
                  <c:v>ITS 23</c:v>
                </c:pt>
                <c:pt idx="4">
                  <c:v>ITS 24</c:v>
                </c:pt>
                <c:pt idx="5">
                  <c:v>ITS 25</c:v>
                </c:pt>
                <c:pt idx="6">
                  <c:v>ITS 26</c:v>
                </c:pt>
                <c:pt idx="7">
                  <c:v>ITS 27</c:v>
                </c:pt>
                <c:pt idx="8">
                  <c:v>ITS 28</c:v>
                </c:pt>
                <c:pt idx="9">
                  <c:v>ITS 29</c:v>
                </c:pt>
                <c:pt idx="10">
                  <c:v>ITS 30</c:v>
                </c:pt>
                <c:pt idx="11">
                  <c:v>ITS 31</c:v>
                </c:pt>
                <c:pt idx="12">
                  <c:v>ITS 32</c:v>
                </c:pt>
                <c:pt idx="13">
                  <c:v>ITS 33</c:v>
                </c:pt>
                <c:pt idx="14">
                  <c:v>ITS 34</c:v>
                </c:pt>
                <c:pt idx="15">
                  <c:v>GENERAL</c:v>
                </c:pt>
              </c:strCache>
            </c:strRef>
          </c:cat>
          <c:val>
            <c:numRef>
              <c:f>AVANCE!$D$96:$D$111</c:f>
              <c:numCache>
                <c:formatCode>General</c:formatCode>
                <c:ptCount val="16"/>
                <c:pt idx="15">
                  <c:v>15</c:v>
                </c:pt>
              </c:numCache>
            </c:numRef>
          </c:val>
          <c:extLst>
            <c:ext xmlns:c16="http://schemas.microsoft.com/office/drawing/2014/chart" uri="{C3380CC4-5D6E-409C-BE32-E72D297353CC}">
              <c16:uniqueId val="{00000000-28F3-45AF-B524-5B380554F3B2}"/>
            </c:ext>
          </c:extLst>
        </c:ser>
        <c:ser>
          <c:idx val="1"/>
          <c:order val="1"/>
          <c:tx>
            <c:strRef>
              <c:f>AVANCE!$E$95</c:f>
              <c:strCache>
                <c:ptCount val="1"/>
                <c:pt idx="0">
                  <c:v>Trina Electric</c:v>
                </c:pt>
              </c:strCache>
            </c:strRef>
          </c:tx>
          <c:spPr>
            <a:solidFill>
              <a:schemeClr val="accent2">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AVANCE!$C$96:$C$111</c:f>
              <c:strCache>
                <c:ptCount val="16"/>
                <c:pt idx="0">
                  <c:v>ITS 20</c:v>
                </c:pt>
                <c:pt idx="1">
                  <c:v>ITS 21</c:v>
                </c:pt>
                <c:pt idx="2">
                  <c:v>ITS 22</c:v>
                </c:pt>
                <c:pt idx="3">
                  <c:v>ITS 23</c:v>
                </c:pt>
                <c:pt idx="4">
                  <c:v>ITS 24</c:v>
                </c:pt>
                <c:pt idx="5">
                  <c:v>ITS 25</c:v>
                </c:pt>
                <c:pt idx="6">
                  <c:v>ITS 26</c:v>
                </c:pt>
                <c:pt idx="7">
                  <c:v>ITS 27</c:v>
                </c:pt>
                <c:pt idx="8">
                  <c:v>ITS 28</c:v>
                </c:pt>
                <c:pt idx="9">
                  <c:v>ITS 29</c:v>
                </c:pt>
                <c:pt idx="10">
                  <c:v>ITS 30</c:v>
                </c:pt>
                <c:pt idx="11">
                  <c:v>ITS 31</c:v>
                </c:pt>
                <c:pt idx="12">
                  <c:v>ITS 32</c:v>
                </c:pt>
                <c:pt idx="13">
                  <c:v>ITS 33</c:v>
                </c:pt>
                <c:pt idx="14">
                  <c:v>ITS 34</c:v>
                </c:pt>
                <c:pt idx="15">
                  <c:v>GENERAL</c:v>
                </c:pt>
              </c:strCache>
            </c:strRef>
          </c:cat>
          <c:val>
            <c:numRef>
              <c:f>AVANCE!$E$96:$E$111</c:f>
              <c:numCache>
                <c:formatCode>General</c:formatCode>
                <c:ptCount val="16"/>
                <c:pt idx="9">
                  <c:v>1</c:v>
                </c:pt>
                <c:pt idx="10">
                  <c:v>3</c:v>
                </c:pt>
                <c:pt idx="12">
                  <c:v>2</c:v>
                </c:pt>
              </c:numCache>
            </c:numRef>
          </c:val>
          <c:extLst>
            <c:ext xmlns:c16="http://schemas.microsoft.com/office/drawing/2014/chart" uri="{C3380CC4-5D6E-409C-BE32-E72D297353CC}">
              <c16:uniqueId val="{00000001-28F3-45AF-B524-5B380554F3B2}"/>
            </c:ext>
          </c:extLst>
        </c:ser>
        <c:ser>
          <c:idx val="2"/>
          <c:order val="2"/>
          <c:tx>
            <c:strRef>
              <c:f>AVANCE!$F$95</c:f>
              <c:strCache>
                <c:ptCount val="1"/>
                <c:pt idx="0">
                  <c:v>Trina Commissioning</c:v>
                </c:pt>
              </c:strCache>
            </c:strRef>
          </c:tx>
          <c:spPr>
            <a:solidFill>
              <a:schemeClr val="accent3">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AVANCE!$C$96:$C$111</c:f>
              <c:strCache>
                <c:ptCount val="16"/>
                <c:pt idx="0">
                  <c:v>ITS 20</c:v>
                </c:pt>
                <c:pt idx="1">
                  <c:v>ITS 21</c:v>
                </c:pt>
                <c:pt idx="2">
                  <c:v>ITS 22</c:v>
                </c:pt>
                <c:pt idx="3">
                  <c:v>ITS 23</c:v>
                </c:pt>
                <c:pt idx="4">
                  <c:v>ITS 24</c:v>
                </c:pt>
                <c:pt idx="5">
                  <c:v>ITS 25</c:v>
                </c:pt>
                <c:pt idx="6">
                  <c:v>ITS 26</c:v>
                </c:pt>
                <c:pt idx="7">
                  <c:v>ITS 27</c:v>
                </c:pt>
                <c:pt idx="8">
                  <c:v>ITS 28</c:v>
                </c:pt>
                <c:pt idx="9">
                  <c:v>ITS 29</c:v>
                </c:pt>
                <c:pt idx="10">
                  <c:v>ITS 30</c:v>
                </c:pt>
                <c:pt idx="11">
                  <c:v>ITS 31</c:v>
                </c:pt>
                <c:pt idx="12">
                  <c:v>ITS 32</c:v>
                </c:pt>
                <c:pt idx="13">
                  <c:v>ITS 33</c:v>
                </c:pt>
                <c:pt idx="14">
                  <c:v>ITS 34</c:v>
                </c:pt>
                <c:pt idx="15">
                  <c:v>GENERAL</c:v>
                </c:pt>
              </c:strCache>
            </c:strRef>
          </c:cat>
          <c:val>
            <c:numRef>
              <c:f>AVANCE!$F$96:$F$111</c:f>
              <c:numCache>
                <c:formatCode>General</c:formatCode>
                <c:ptCount val="16"/>
                <c:pt idx="0">
                  <c:v>3</c:v>
                </c:pt>
                <c:pt idx="1">
                  <c:v>7</c:v>
                </c:pt>
                <c:pt idx="2">
                  <c:v>58</c:v>
                </c:pt>
                <c:pt idx="3">
                  <c:v>8</c:v>
                </c:pt>
                <c:pt idx="4">
                  <c:v>3</c:v>
                </c:pt>
                <c:pt idx="5">
                  <c:v>2</c:v>
                </c:pt>
                <c:pt idx="6">
                  <c:v>4</c:v>
                </c:pt>
                <c:pt idx="7">
                  <c:v>5</c:v>
                </c:pt>
                <c:pt idx="9">
                  <c:v>3</c:v>
                </c:pt>
                <c:pt idx="11">
                  <c:v>9</c:v>
                </c:pt>
                <c:pt idx="12">
                  <c:v>3</c:v>
                </c:pt>
                <c:pt idx="13">
                  <c:v>9</c:v>
                </c:pt>
                <c:pt idx="14">
                  <c:v>4</c:v>
                </c:pt>
                <c:pt idx="15">
                  <c:v>2</c:v>
                </c:pt>
              </c:numCache>
            </c:numRef>
          </c:val>
          <c:extLst>
            <c:ext xmlns:c16="http://schemas.microsoft.com/office/drawing/2014/chart" uri="{C3380CC4-5D6E-409C-BE32-E72D297353CC}">
              <c16:uniqueId val="{00000002-28F3-45AF-B524-5B380554F3B2}"/>
            </c:ext>
          </c:extLst>
        </c:ser>
        <c:ser>
          <c:idx val="3"/>
          <c:order val="3"/>
          <c:tx>
            <c:strRef>
              <c:f>AVANCE!$G$95</c:f>
              <c:strCache>
                <c:ptCount val="1"/>
                <c:pt idx="0">
                  <c:v>Trina O&amp;M</c:v>
                </c:pt>
              </c:strCache>
            </c:strRef>
          </c:tx>
          <c:spPr>
            <a:solidFill>
              <a:schemeClr val="accent4">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AVANCE!$C$96:$C$111</c:f>
              <c:strCache>
                <c:ptCount val="16"/>
                <c:pt idx="0">
                  <c:v>ITS 20</c:v>
                </c:pt>
                <c:pt idx="1">
                  <c:v>ITS 21</c:v>
                </c:pt>
                <c:pt idx="2">
                  <c:v>ITS 22</c:v>
                </c:pt>
                <c:pt idx="3">
                  <c:v>ITS 23</c:v>
                </c:pt>
                <c:pt idx="4">
                  <c:v>ITS 24</c:v>
                </c:pt>
                <c:pt idx="5">
                  <c:v>ITS 25</c:v>
                </c:pt>
                <c:pt idx="6">
                  <c:v>ITS 26</c:v>
                </c:pt>
                <c:pt idx="7">
                  <c:v>ITS 27</c:v>
                </c:pt>
                <c:pt idx="8">
                  <c:v>ITS 28</c:v>
                </c:pt>
                <c:pt idx="9">
                  <c:v>ITS 29</c:v>
                </c:pt>
                <c:pt idx="10">
                  <c:v>ITS 30</c:v>
                </c:pt>
                <c:pt idx="11">
                  <c:v>ITS 31</c:v>
                </c:pt>
                <c:pt idx="12">
                  <c:v>ITS 32</c:v>
                </c:pt>
                <c:pt idx="13">
                  <c:v>ITS 33</c:v>
                </c:pt>
                <c:pt idx="14">
                  <c:v>ITS 34</c:v>
                </c:pt>
                <c:pt idx="15">
                  <c:v>GENERAL</c:v>
                </c:pt>
              </c:strCache>
            </c:strRef>
          </c:cat>
          <c:val>
            <c:numRef>
              <c:f>AVANCE!$G$96:$G$111</c:f>
              <c:numCache>
                <c:formatCode>General</c:formatCode>
                <c:ptCount val="16"/>
                <c:pt idx="12">
                  <c:v>6</c:v>
                </c:pt>
                <c:pt idx="14">
                  <c:v>2</c:v>
                </c:pt>
                <c:pt idx="15">
                  <c:v>4</c:v>
                </c:pt>
              </c:numCache>
            </c:numRef>
          </c:val>
          <c:extLst>
            <c:ext xmlns:c16="http://schemas.microsoft.com/office/drawing/2014/chart" uri="{C3380CC4-5D6E-409C-BE32-E72D297353CC}">
              <c16:uniqueId val="{00000003-28F3-45AF-B524-5B380554F3B2}"/>
            </c:ext>
          </c:extLst>
        </c:ser>
        <c:ser>
          <c:idx val="4"/>
          <c:order val="4"/>
          <c:tx>
            <c:strRef>
              <c:f>AVANCE!$H$95</c:f>
              <c:strCache>
                <c:ptCount val="1"/>
                <c:pt idx="0">
                  <c:v>O&amp;M</c:v>
                </c:pt>
              </c:strCache>
            </c:strRef>
          </c:tx>
          <c:spPr>
            <a:solidFill>
              <a:schemeClr val="accent5">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AVANCE!$C$96:$C$111</c:f>
              <c:strCache>
                <c:ptCount val="16"/>
                <c:pt idx="0">
                  <c:v>ITS 20</c:v>
                </c:pt>
                <c:pt idx="1">
                  <c:v>ITS 21</c:v>
                </c:pt>
                <c:pt idx="2">
                  <c:v>ITS 22</c:v>
                </c:pt>
                <c:pt idx="3">
                  <c:v>ITS 23</c:v>
                </c:pt>
                <c:pt idx="4">
                  <c:v>ITS 24</c:v>
                </c:pt>
                <c:pt idx="5">
                  <c:v>ITS 25</c:v>
                </c:pt>
                <c:pt idx="6">
                  <c:v>ITS 26</c:v>
                </c:pt>
                <c:pt idx="7">
                  <c:v>ITS 27</c:v>
                </c:pt>
                <c:pt idx="8">
                  <c:v>ITS 28</c:v>
                </c:pt>
                <c:pt idx="9">
                  <c:v>ITS 29</c:v>
                </c:pt>
                <c:pt idx="10">
                  <c:v>ITS 30</c:v>
                </c:pt>
                <c:pt idx="11">
                  <c:v>ITS 31</c:v>
                </c:pt>
                <c:pt idx="12">
                  <c:v>ITS 32</c:v>
                </c:pt>
                <c:pt idx="13">
                  <c:v>ITS 33</c:v>
                </c:pt>
                <c:pt idx="14">
                  <c:v>ITS 34</c:v>
                </c:pt>
                <c:pt idx="15">
                  <c:v>GENERAL</c:v>
                </c:pt>
              </c:strCache>
            </c:strRef>
          </c:cat>
          <c:val>
            <c:numRef>
              <c:f>AVANCE!$H$96:$H$111</c:f>
              <c:numCache>
                <c:formatCode>General</c:formatCode>
                <c:ptCount val="16"/>
                <c:pt idx="0">
                  <c:v>16</c:v>
                </c:pt>
                <c:pt idx="1">
                  <c:v>4</c:v>
                </c:pt>
                <c:pt idx="2">
                  <c:v>2</c:v>
                </c:pt>
                <c:pt idx="3">
                  <c:v>1</c:v>
                </c:pt>
                <c:pt idx="4">
                  <c:v>6</c:v>
                </c:pt>
                <c:pt idx="5">
                  <c:v>4</c:v>
                </c:pt>
                <c:pt idx="6">
                  <c:v>2</c:v>
                </c:pt>
                <c:pt idx="7">
                  <c:v>5</c:v>
                </c:pt>
                <c:pt idx="8">
                  <c:v>2</c:v>
                </c:pt>
                <c:pt idx="9">
                  <c:v>9</c:v>
                </c:pt>
                <c:pt idx="10">
                  <c:v>3</c:v>
                </c:pt>
                <c:pt idx="11">
                  <c:v>2</c:v>
                </c:pt>
                <c:pt idx="13">
                  <c:v>14</c:v>
                </c:pt>
                <c:pt idx="14">
                  <c:v>5</c:v>
                </c:pt>
              </c:numCache>
            </c:numRef>
          </c:val>
          <c:extLst>
            <c:ext xmlns:c16="http://schemas.microsoft.com/office/drawing/2014/chart" uri="{C3380CC4-5D6E-409C-BE32-E72D297353CC}">
              <c16:uniqueId val="{00000004-28F3-45AF-B524-5B380554F3B2}"/>
            </c:ext>
          </c:extLst>
        </c:ser>
        <c:dLbls>
          <c:dLblPos val="ctr"/>
          <c:showLegendKey val="0"/>
          <c:showVal val="1"/>
          <c:showCatName val="0"/>
          <c:showSerName val="0"/>
          <c:showPercent val="0"/>
          <c:showBubbleSize val="0"/>
        </c:dLbls>
        <c:gapWidth val="150"/>
        <c:overlap val="100"/>
        <c:axId val="1006775616"/>
        <c:axId val="1000834832"/>
      </c:barChart>
      <c:catAx>
        <c:axId val="1006775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000834832"/>
        <c:crosses val="autoZero"/>
        <c:auto val="1"/>
        <c:lblAlgn val="ctr"/>
        <c:lblOffset val="100"/>
        <c:noMultiLvlLbl val="0"/>
      </c:catAx>
      <c:valAx>
        <c:axId val="1000834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0677561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CO" sz="1800" b="1" i="0" u="none" strike="noStrike" kern="1200" baseline="0">
                <a:solidFill>
                  <a:sysClr val="windowText" lastClr="000000">
                    <a:lumMod val="75000"/>
                    <a:lumOff val="25000"/>
                  </a:sysClr>
                </a:solidFill>
              </a:rPr>
              <a:t>Distribución de PL por subcampo que depende de terceros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s-CO"/>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2A-4CFA-A932-15A5D24678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2A-4CFA-A932-15A5D24678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2A-4CFA-A932-15A5D24678E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2A-4CFA-A932-15A5D24678E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2A-4CFA-A932-15A5D24678E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AVANCE!$D$95:$H$95</c:f>
              <c:strCache>
                <c:ptCount val="5"/>
                <c:pt idx="0">
                  <c:v>SOCIAL</c:v>
                </c:pt>
                <c:pt idx="1">
                  <c:v>Trina Electric</c:v>
                </c:pt>
                <c:pt idx="2">
                  <c:v>Trina Commissioning</c:v>
                </c:pt>
                <c:pt idx="3">
                  <c:v>Trina O&amp;M</c:v>
                </c:pt>
                <c:pt idx="4">
                  <c:v>O&amp;M</c:v>
                </c:pt>
              </c:strCache>
            </c:strRef>
          </c:cat>
          <c:val>
            <c:numRef>
              <c:f>AVANCE!$D$112:$H$112</c:f>
              <c:numCache>
                <c:formatCode>General</c:formatCode>
                <c:ptCount val="5"/>
                <c:pt idx="0">
                  <c:v>15</c:v>
                </c:pt>
                <c:pt idx="1">
                  <c:v>6</c:v>
                </c:pt>
                <c:pt idx="2">
                  <c:v>120</c:v>
                </c:pt>
                <c:pt idx="3">
                  <c:v>12</c:v>
                </c:pt>
                <c:pt idx="4">
                  <c:v>75</c:v>
                </c:pt>
              </c:numCache>
            </c:numRef>
          </c:val>
          <c:extLst>
            <c:ext xmlns:c16="http://schemas.microsoft.com/office/drawing/2014/chart" uri="{C3380CC4-5D6E-409C-BE32-E72D297353CC}">
              <c16:uniqueId val="{00000000-3700-41C6-AB6D-5124F725996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3"/>
              <c:layout>
                <c:manualLayout>
                  <c:x val="-7.7565336540323256E-17"/>
                  <c:y val="-1.67714857010703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CF-4D89-B1E8-148E4EC07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Parts!$B$1:$AN$2</c:f>
              <c:multiLvlStrCache>
                <c:ptCount val="39"/>
                <c:lvl>
                  <c:pt idx="0">
                    <c:v>PL TOTAL</c:v>
                  </c:pt>
                  <c:pt idx="1">
                    <c:v>Abierto</c:v>
                  </c:pt>
                  <c:pt idx="2">
                    <c:v>Cerrado</c:v>
                  </c:pt>
                  <c:pt idx="3">
                    <c:v>PL TOTAL</c:v>
                  </c:pt>
                  <c:pt idx="4">
                    <c:v>Abierto</c:v>
                  </c:pt>
                  <c:pt idx="5">
                    <c:v>Cerrado</c:v>
                  </c:pt>
                  <c:pt idx="6">
                    <c:v>PL TOTAL</c:v>
                  </c:pt>
                  <c:pt idx="7">
                    <c:v>Abierto</c:v>
                  </c:pt>
                  <c:pt idx="8">
                    <c:v>Cerrado</c:v>
                  </c:pt>
                  <c:pt idx="9">
                    <c:v>PL TOTAL</c:v>
                  </c:pt>
                  <c:pt idx="10">
                    <c:v>Abierto</c:v>
                  </c:pt>
                  <c:pt idx="11">
                    <c:v>Cerrado</c:v>
                  </c:pt>
                  <c:pt idx="12">
                    <c:v>PL TOTAL</c:v>
                  </c:pt>
                  <c:pt idx="13">
                    <c:v>Abierto</c:v>
                  </c:pt>
                  <c:pt idx="14">
                    <c:v>Cerrado</c:v>
                  </c:pt>
                  <c:pt idx="15">
                    <c:v>PL TOTAL</c:v>
                  </c:pt>
                  <c:pt idx="16">
                    <c:v>Abierto</c:v>
                  </c:pt>
                  <c:pt idx="17">
                    <c:v>Cerrado</c:v>
                  </c:pt>
                  <c:pt idx="18">
                    <c:v>PL TOTAL</c:v>
                  </c:pt>
                  <c:pt idx="19">
                    <c:v>Abierto</c:v>
                  </c:pt>
                  <c:pt idx="20">
                    <c:v>Cerrado</c:v>
                  </c:pt>
                  <c:pt idx="21">
                    <c:v>PL TOTAL</c:v>
                  </c:pt>
                  <c:pt idx="22">
                    <c:v>Abierto</c:v>
                  </c:pt>
                  <c:pt idx="23">
                    <c:v>Cerrado</c:v>
                  </c:pt>
                  <c:pt idx="24">
                    <c:v>PL TOTAL</c:v>
                  </c:pt>
                  <c:pt idx="25">
                    <c:v>Abierto</c:v>
                  </c:pt>
                  <c:pt idx="26">
                    <c:v>Cerrado</c:v>
                  </c:pt>
                  <c:pt idx="27">
                    <c:v>PL TOTAL</c:v>
                  </c:pt>
                  <c:pt idx="28">
                    <c:v>Abierto</c:v>
                  </c:pt>
                  <c:pt idx="29">
                    <c:v>Cerrado</c:v>
                  </c:pt>
                  <c:pt idx="30">
                    <c:v>PL TOTAL</c:v>
                  </c:pt>
                  <c:pt idx="31">
                    <c:v>Abierto</c:v>
                  </c:pt>
                  <c:pt idx="32">
                    <c:v>Cerrado</c:v>
                  </c:pt>
                  <c:pt idx="33">
                    <c:v>PL TOTAL</c:v>
                  </c:pt>
                  <c:pt idx="34">
                    <c:v>Abierto</c:v>
                  </c:pt>
                  <c:pt idx="35">
                    <c:v>Cerrado</c:v>
                  </c:pt>
                  <c:pt idx="36">
                    <c:v>PL TOTAL</c:v>
                  </c:pt>
                  <c:pt idx="37">
                    <c:v>Abierto</c:v>
                  </c:pt>
                  <c:pt idx="38">
                    <c:v>Cerrado</c:v>
                  </c:pt>
                </c:lvl>
                <c:lvl>
                  <c:pt idx="0">
                    <c:v>Drainage System</c:v>
                  </c:pt>
                  <c:pt idx="3">
                    <c:v>Earthing system</c:v>
                  </c:pt>
                  <c:pt idx="6">
                    <c:v>Cables</c:v>
                  </c:pt>
                  <c:pt idx="9">
                    <c:v>LV/MV Transformation Cabin Others</c:v>
                  </c:pt>
                  <c:pt idx="12">
                    <c:v>LV/MV  Cabin for string inverter Assembly</c:v>
                  </c:pt>
                  <c:pt idx="15">
                    <c:v>Fiber optic</c:v>
                  </c:pt>
                  <c:pt idx="18">
                    <c:v>Earthworks</c:v>
                  </c:pt>
                  <c:pt idx="21">
                    <c:v>PV Tracker system</c:v>
                  </c:pt>
                  <c:pt idx="24">
                    <c:v>Roads</c:v>
                  </c:pt>
                  <c:pt idx="27">
                    <c:v>Security System</c:v>
                  </c:pt>
                  <c:pt idx="30">
                    <c:v>OTROS</c:v>
                  </c:pt>
                  <c:pt idx="33">
                    <c:v>String Inverter</c:v>
                  </c:pt>
                  <c:pt idx="36">
                    <c:v>Trenches and Cable Way</c:v>
                  </c:pt>
                </c:lvl>
              </c:multiLvlStrCache>
            </c:multiLvlStrRef>
          </c:cat>
          <c:val>
            <c:numRef>
              <c:f>Parts!$B$20:$AN$20</c:f>
              <c:numCache>
                <c:formatCode>General</c:formatCode>
                <c:ptCount val="39"/>
                <c:pt idx="0">
                  <c:v>5</c:v>
                </c:pt>
                <c:pt idx="1">
                  <c:v>3</c:v>
                </c:pt>
                <c:pt idx="2">
                  <c:v>2</c:v>
                </c:pt>
                <c:pt idx="3">
                  <c:v>15</c:v>
                </c:pt>
                <c:pt idx="4">
                  <c:v>5</c:v>
                </c:pt>
                <c:pt idx="5">
                  <c:v>10</c:v>
                </c:pt>
                <c:pt idx="6">
                  <c:v>75</c:v>
                </c:pt>
                <c:pt idx="7">
                  <c:v>60</c:v>
                </c:pt>
                <c:pt idx="8">
                  <c:v>15</c:v>
                </c:pt>
                <c:pt idx="9">
                  <c:v>111</c:v>
                </c:pt>
                <c:pt idx="10">
                  <c:v>78</c:v>
                </c:pt>
                <c:pt idx="11">
                  <c:v>33</c:v>
                </c:pt>
                <c:pt idx="12">
                  <c:v>6</c:v>
                </c:pt>
                <c:pt idx="13">
                  <c:v>1</c:v>
                </c:pt>
                <c:pt idx="14">
                  <c:v>5</c:v>
                </c:pt>
                <c:pt idx="15">
                  <c:v>13</c:v>
                </c:pt>
                <c:pt idx="16">
                  <c:v>11</c:v>
                </c:pt>
                <c:pt idx="17">
                  <c:v>2</c:v>
                </c:pt>
                <c:pt idx="18">
                  <c:v>1</c:v>
                </c:pt>
                <c:pt idx="19">
                  <c:v>1</c:v>
                </c:pt>
                <c:pt idx="20">
                  <c:v>0</c:v>
                </c:pt>
                <c:pt idx="21">
                  <c:v>288</c:v>
                </c:pt>
                <c:pt idx="22">
                  <c:v>211</c:v>
                </c:pt>
                <c:pt idx="23">
                  <c:v>77</c:v>
                </c:pt>
                <c:pt idx="24">
                  <c:v>1</c:v>
                </c:pt>
                <c:pt idx="25">
                  <c:v>1</c:v>
                </c:pt>
                <c:pt idx="26">
                  <c:v>0</c:v>
                </c:pt>
                <c:pt idx="27">
                  <c:v>2</c:v>
                </c:pt>
                <c:pt idx="28">
                  <c:v>2</c:v>
                </c:pt>
                <c:pt idx="29">
                  <c:v>0</c:v>
                </c:pt>
                <c:pt idx="30">
                  <c:v>768</c:v>
                </c:pt>
                <c:pt idx="31">
                  <c:v>485</c:v>
                </c:pt>
                <c:pt idx="32">
                  <c:v>260</c:v>
                </c:pt>
                <c:pt idx="33">
                  <c:v>55</c:v>
                </c:pt>
                <c:pt idx="34">
                  <c:v>27</c:v>
                </c:pt>
                <c:pt idx="35">
                  <c:v>28</c:v>
                </c:pt>
                <c:pt idx="36">
                  <c:v>18</c:v>
                </c:pt>
                <c:pt idx="37">
                  <c:v>18</c:v>
                </c:pt>
                <c:pt idx="38">
                  <c:v>0</c:v>
                </c:pt>
              </c:numCache>
            </c:numRef>
          </c:val>
          <c:extLst>
            <c:ext xmlns:c16="http://schemas.microsoft.com/office/drawing/2014/chart" uri="{C3380CC4-5D6E-409C-BE32-E72D297353CC}">
              <c16:uniqueId val="{00000000-1BCF-4D89-B1E8-148E4EC07216}"/>
            </c:ext>
          </c:extLst>
        </c:ser>
        <c:dLbls>
          <c:dLblPos val="ctr"/>
          <c:showLegendKey val="0"/>
          <c:showVal val="1"/>
          <c:showCatName val="0"/>
          <c:showSerName val="0"/>
          <c:showPercent val="0"/>
          <c:showBubbleSize val="0"/>
        </c:dLbls>
        <c:gapWidth val="150"/>
        <c:overlap val="100"/>
        <c:axId val="1687835744"/>
        <c:axId val="1563076016"/>
      </c:barChart>
      <c:catAx>
        <c:axId val="1687835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563076016"/>
        <c:crosses val="autoZero"/>
        <c:auto val="1"/>
        <c:lblAlgn val="ctr"/>
        <c:lblOffset val="100"/>
        <c:noMultiLvlLbl val="0"/>
      </c:catAx>
      <c:valAx>
        <c:axId val="156307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6878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PL por SISTEMA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manualLayout>
          <c:layoutTarget val="inner"/>
          <c:xMode val="edge"/>
          <c:yMode val="edge"/>
          <c:x val="0.25300105857422384"/>
          <c:y val="7.7617335658235434E-2"/>
          <c:w val="0.71756000135651343"/>
          <c:h val="0.87383621699628233"/>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Parts!$B$1:$AN$2</c:f>
              <c:multiLvlStrCache>
                <c:ptCount val="39"/>
                <c:lvl>
                  <c:pt idx="0">
                    <c:v>PL TOTAL</c:v>
                  </c:pt>
                  <c:pt idx="1">
                    <c:v>Abierto</c:v>
                  </c:pt>
                  <c:pt idx="2">
                    <c:v>Cerrado</c:v>
                  </c:pt>
                  <c:pt idx="3">
                    <c:v>PL TOTAL</c:v>
                  </c:pt>
                  <c:pt idx="4">
                    <c:v>Abierto</c:v>
                  </c:pt>
                  <c:pt idx="5">
                    <c:v>Cerrado</c:v>
                  </c:pt>
                  <c:pt idx="6">
                    <c:v>PL TOTAL</c:v>
                  </c:pt>
                  <c:pt idx="7">
                    <c:v>Abierto</c:v>
                  </c:pt>
                  <c:pt idx="8">
                    <c:v>Cerrado</c:v>
                  </c:pt>
                  <c:pt idx="9">
                    <c:v>PL TOTAL</c:v>
                  </c:pt>
                  <c:pt idx="10">
                    <c:v>Abierto</c:v>
                  </c:pt>
                  <c:pt idx="11">
                    <c:v>Cerrado</c:v>
                  </c:pt>
                  <c:pt idx="12">
                    <c:v>PL TOTAL</c:v>
                  </c:pt>
                  <c:pt idx="13">
                    <c:v>Abierto</c:v>
                  </c:pt>
                  <c:pt idx="14">
                    <c:v>Cerrado</c:v>
                  </c:pt>
                  <c:pt idx="15">
                    <c:v>PL TOTAL</c:v>
                  </c:pt>
                  <c:pt idx="16">
                    <c:v>Abierto</c:v>
                  </c:pt>
                  <c:pt idx="17">
                    <c:v>Cerrado</c:v>
                  </c:pt>
                  <c:pt idx="18">
                    <c:v>PL TOTAL</c:v>
                  </c:pt>
                  <c:pt idx="19">
                    <c:v>Abierto</c:v>
                  </c:pt>
                  <c:pt idx="20">
                    <c:v>Cerrado</c:v>
                  </c:pt>
                  <c:pt idx="21">
                    <c:v>PL TOTAL</c:v>
                  </c:pt>
                  <c:pt idx="22">
                    <c:v>Abierto</c:v>
                  </c:pt>
                  <c:pt idx="23">
                    <c:v>Cerrado</c:v>
                  </c:pt>
                  <c:pt idx="24">
                    <c:v>PL TOTAL</c:v>
                  </c:pt>
                  <c:pt idx="25">
                    <c:v>Abierto</c:v>
                  </c:pt>
                  <c:pt idx="26">
                    <c:v>Cerrado</c:v>
                  </c:pt>
                  <c:pt idx="27">
                    <c:v>PL TOTAL</c:v>
                  </c:pt>
                  <c:pt idx="28">
                    <c:v>Abierto</c:v>
                  </c:pt>
                  <c:pt idx="29">
                    <c:v>Cerrado</c:v>
                  </c:pt>
                  <c:pt idx="30">
                    <c:v>PL TOTAL</c:v>
                  </c:pt>
                  <c:pt idx="31">
                    <c:v>Abierto</c:v>
                  </c:pt>
                  <c:pt idx="32">
                    <c:v>Cerrado</c:v>
                  </c:pt>
                  <c:pt idx="33">
                    <c:v>PL TOTAL</c:v>
                  </c:pt>
                  <c:pt idx="34">
                    <c:v>Abierto</c:v>
                  </c:pt>
                  <c:pt idx="35">
                    <c:v>Cerrado</c:v>
                  </c:pt>
                  <c:pt idx="36">
                    <c:v>PL TOTAL</c:v>
                  </c:pt>
                  <c:pt idx="37">
                    <c:v>Abierto</c:v>
                  </c:pt>
                  <c:pt idx="38">
                    <c:v>Cerrado</c:v>
                  </c:pt>
                </c:lvl>
                <c:lvl>
                  <c:pt idx="0">
                    <c:v>Drainage System</c:v>
                  </c:pt>
                  <c:pt idx="3">
                    <c:v>Earthing system</c:v>
                  </c:pt>
                  <c:pt idx="6">
                    <c:v>Cables</c:v>
                  </c:pt>
                  <c:pt idx="9">
                    <c:v>LV/MV Transformation Cabin Others</c:v>
                  </c:pt>
                  <c:pt idx="12">
                    <c:v>LV/MV  Cabin for string inverter Assembly</c:v>
                  </c:pt>
                  <c:pt idx="15">
                    <c:v>Fiber optic</c:v>
                  </c:pt>
                  <c:pt idx="18">
                    <c:v>Earthworks</c:v>
                  </c:pt>
                  <c:pt idx="21">
                    <c:v>PV Tracker system</c:v>
                  </c:pt>
                  <c:pt idx="24">
                    <c:v>Roads</c:v>
                  </c:pt>
                  <c:pt idx="27">
                    <c:v>Security System</c:v>
                  </c:pt>
                  <c:pt idx="30">
                    <c:v>OTROS</c:v>
                  </c:pt>
                  <c:pt idx="33">
                    <c:v>String Inverter</c:v>
                  </c:pt>
                  <c:pt idx="36">
                    <c:v>Trenches and Cable Way</c:v>
                  </c:pt>
                </c:lvl>
              </c:multiLvlStrCache>
            </c:multiLvlStrRef>
          </c:cat>
          <c:val>
            <c:numRef>
              <c:f>Parts!$B$20:$AN$20</c:f>
              <c:numCache>
                <c:formatCode>General</c:formatCode>
                <c:ptCount val="39"/>
                <c:pt idx="0">
                  <c:v>5</c:v>
                </c:pt>
                <c:pt idx="1">
                  <c:v>3</c:v>
                </c:pt>
                <c:pt idx="2">
                  <c:v>2</c:v>
                </c:pt>
                <c:pt idx="3">
                  <c:v>15</c:v>
                </c:pt>
                <c:pt idx="4">
                  <c:v>5</c:v>
                </c:pt>
                <c:pt idx="5">
                  <c:v>10</c:v>
                </c:pt>
                <c:pt idx="6">
                  <c:v>75</c:v>
                </c:pt>
                <c:pt idx="7">
                  <c:v>60</c:v>
                </c:pt>
                <c:pt idx="8">
                  <c:v>15</c:v>
                </c:pt>
                <c:pt idx="9">
                  <c:v>111</c:v>
                </c:pt>
                <c:pt idx="10">
                  <c:v>78</c:v>
                </c:pt>
                <c:pt idx="11">
                  <c:v>33</c:v>
                </c:pt>
                <c:pt idx="12">
                  <c:v>6</c:v>
                </c:pt>
                <c:pt idx="13">
                  <c:v>1</c:v>
                </c:pt>
                <c:pt idx="14">
                  <c:v>5</c:v>
                </c:pt>
                <c:pt idx="15">
                  <c:v>13</c:v>
                </c:pt>
                <c:pt idx="16">
                  <c:v>11</c:v>
                </c:pt>
                <c:pt idx="17">
                  <c:v>2</c:v>
                </c:pt>
                <c:pt idx="18">
                  <c:v>1</c:v>
                </c:pt>
                <c:pt idx="19">
                  <c:v>1</c:v>
                </c:pt>
                <c:pt idx="20">
                  <c:v>0</c:v>
                </c:pt>
                <c:pt idx="21">
                  <c:v>288</c:v>
                </c:pt>
                <c:pt idx="22">
                  <c:v>211</c:v>
                </c:pt>
                <c:pt idx="23">
                  <c:v>77</c:v>
                </c:pt>
                <c:pt idx="24">
                  <c:v>1</c:v>
                </c:pt>
                <c:pt idx="25">
                  <c:v>1</c:v>
                </c:pt>
                <c:pt idx="26">
                  <c:v>0</c:v>
                </c:pt>
                <c:pt idx="27">
                  <c:v>2</c:v>
                </c:pt>
                <c:pt idx="28">
                  <c:v>2</c:v>
                </c:pt>
                <c:pt idx="29">
                  <c:v>0</c:v>
                </c:pt>
                <c:pt idx="30">
                  <c:v>768</c:v>
                </c:pt>
                <c:pt idx="31">
                  <c:v>485</c:v>
                </c:pt>
                <c:pt idx="32">
                  <c:v>260</c:v>
                </c:pt>
                <c:pt idx="33">
                  <c:v>55</c:v>
                </c:pt>
                <c:pt idx="34">
                  <c:v>27</c:v>
                </c:pt>
                <c:pt idx="35">
                  <c:v>28</c:v>
                </c:pt>
                <c:pt idx="36">
                  <c:v>18</c:v>
                </c:pt>
                <c:pt idx="37">
                  <c:v>18</c:v>
                </c:pt>
                <c:pt idx="38">
                  <c:v>0</c:v>
                </c:pt>
              </c:numCache>
            </c:numRef>
          </c:val>
          <c:extLst>
            <c:ext xmlns:c16="http://schemas.microsoft.com/office/drawing/2014/chart" uri="{C3380CC4-5D6E-409C-BE32-E72D297353CC}">
              <c16:uniqueId val="{00000000-203B-4AE1-8EAE-03B15DD4FE0D}"/>
            </c:ext>
          </c:extLst>
        </c:ser>
        <c:dLbls>
          <c:dLblPos val="inEnd"/>
          <c:showLegendKey val="0"/>
          <c:showVal val="1"/>
          <c:showCatName val="0"/>
          <c:showSerName val="0"/>
          <c:showPercent val="0"/>
          <c:showBubbleSize val="0"/>
        </c:dLbls>
        <c:gapWidth val="115"/>
        <c:overlap val="-20"/>
        <c:axId val="1650899040"/>
        <c:axId val="1563304496"/>
      </c:barChart>
      <c:catAx>
        <c:axId val="16508990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563304496"/>
        <c:crosses val="autoZero"/>
        <c:auto val="1"/>
        <c:lblAlgn val="ctr"/>
        <c:lblOffset val="100"/>
        <c:noMultiLvlLbl val="0"/>
      </c:catAx>
      <c:valAx>
        <c:axId val="15633044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65089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Items</a:t>
            </a:r>
            <a:r>
              <a:rPr lang="es-CO" baseline="0"/>
              <a:t> Por 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'TD AVANCE'!$B$5</c:f>
              <c:strCache>
                <c:ptCount val="1"/>
                <c:pt idx="0">
                  <c:v>CERRADO</c:v>
                </c:pt>
              </c:strCache>
            </c:strRef>
          </c:tx>
          <c:spPr>
            <a:solidFill>
              <a:schemeClr val="accent1"/>
            </a:solidFill>
            <a:ln>
              <a:noFill/>
            </a:ln>
            <a:effectLst/>
          </c:spPr>
          <c:invertIfNegative val="0"/>
          <c:cat>
            <c:strRef>
              <c:f>'TD AVANCE'!$C$4:$G$4</c:f>
              <c:strCache>
                <c:ptCount val="5"/>
                <c:pt idx="0">
                  <c:v>CTO 5</c:v>
                </c:pt>
                <c:pt idx="1">
                  <c:v>CTO 8</c:v>
                </c:pt>
                <c:pt idx="2">
                  <c:v>CTO 9</c:v>
                </c:pt>
                <c:pt idx="3">
                  <c:v>CTO 10</c:v>
                </c:pt>
                <c:pt idx="4">
                  <c:v>Otros</c:v>
                </c:pt>
              </c:strCache>
            </c:strRef>
          </c:cat>
          <c:val>
            <c:numRef>
              <c:f>'TD AVANCE'!$C$5:$G$5</c:f>
              <c:numCache>
                <c:formatCode>General</c:formatCode>
                <c:ptCount val="5"/>
                <c:pt idx="0">
                  <c:v>166</c:v>
                </c:pt>
                <c:pt idx="1">
                  <c:v>213</c:v>
                </c:pt>
                <c:pt idx="2">
                  <c:v>315</c:v>
                </c:pt>
                <c:pt idx="3">
                  <c:v>351</c:v>
                </c:pt>
                <c:pt idx="4">
                  <c:v>51</c:v>
                </c:pt>
              </c:numCache>
            </c:numRef>
          </c:val>
          <c:extLst>
            <c:ext xmlns:c16="http://schemas.microsoft.com/office/drawing/2014/chart" uri="{C3380CC4-5D6E-409C-BE32-E72D297353CC}">
              <c16:uniqueId val="{00000000-5457-4EBE-9720-A91EB342CA5C}"/>
            </c:ext>
          </c:extLst>
        </c:ser>
        <c:ser>
          <c:idx val="1"/>
          <c:order val="1"/>
          <c:tx>
            <c:strRef>
              <c:f>'TD AVANCE'!$B$6</c:f>
              <c:strCache>
                <c:ptCount val="1"/>
                <c:pt idx="0">
                  <c:v>ABIERTO</c:v>
                </c:pt>
              </c:strCache>
            </c:strRef>
          </c:tx>
          <c:spPr>
            <a:solidFill>
              <a:schemeClr val="accent2"/>
            </a:solidFill>
            <a:ln>
              <a:noFill/>
            </a:ln>
            <a:effectLst/>
          </c:spPr>
          <c:invertIfNegative val="0"/>
          <c:cat>
            <c:strRef>
              <c:f>'TD AVANCE'!$C$4:$G$4</c:f>
              <c:strCache>
                <c:ptCount val="5"/>
                <c:pt idx="0">
                  <c:v>CTO 5</c:v>
                </c:pt>
                <c:pt idx="1">
                  <c:v>CTO 8</c:v>
                </c:pt>
                <c:pt idx="2">
                  <c:v>CTO 9</c:v>
                </c:pt>
                <c:pt idx="3">
                  <c:v>CTO 10</c:v>
                </c:pt>
                <c:pt idx="4">
                  <c:v>Otros</c:v>
                </c:pt>
              </c:strCache>
            </c:strRef>
          </c:cat>
          <c:val>
            <c:numRef>
              <c:f>'TD AVANCE'!$C$6:$G$6</c:f>
              <c:numCache>
                <c:formatCode>General</c:formatCode>
                <c:ptCount val="5"/>
                <c:pt idx="0">
                  <c:v>88</c:v>
                </c:pt>
                <c:pt idx="1">
                  <c:v>33</c:v>
                </c:pt>
                <c:pt idx="2">
                  <c:v>16</c:v>
                </c:pt>
                <c:pt idx="3">
                  <c:v>36</c:v>
                </c:pt>
                <c:pt idx="4">
                  <c:v>20</c:v>
                </c:pt>
              </c:numCache>
            </c:numRef>
          </c:val>
          <c:extLst>
            <c:ext xmlns:c16="http://schemas.microsoft.com/office/drawing/2014/chart" uri="{C3380CC4-5D6E-409C-BE32-E72D297353CC}">
              <c16:uniqueId val="{00000001-5457-4EBE-9720-A91EB342CA5C}"/>
            </c:ext>
          </c:extLst>
        </c:ser>
        <c:ser>
          <c:idx val="2"/>
          <c:order val="2"/>
          <c:tx>
            <c:strRef>
              <c:f>'TD AVANCE'!$B$7</c:f>
              <c:strCache>
                <c:ptCount val="1"/>
                <c:pt idx="0">
                  <c:v>PTE Validar Enel</c:v>
                </c:pt>
              </c:strCache>
            </c:strRef>
          </c:tx>
          <c:spPr>
            <a:solidFill>
              <a:schemeClr val="accent3"/>
            </a:solidFill>
            <a:ln>
              <a:noFill/>
            </a:ln>
            <a:effectLst/>
          </c:spPr>
          <c:invertIfNegative val="0"/>
          <c:cat>
            <c:strRef>
              <c:f>'TD AVANCE'!$C$4:$G$4</c:f>
              <c:strCache>
                <c:ptCount val="5"/>
                <c:pt idx="0">
                  <c:v>CTO 5</c:v>
                </c:pt>
                <c:pt idx="1">
                  <c:v>CTO 8</c:v>
                </c:pt>
                <c:pt idx="2">
                  <c:v>CTO 9</c:v>
                </c:pt>
                <c:pt idx="3">
                  <c:v>CTO 10</c:v>
                </c:pt>
                <c:pt idx="4">
                  <c:v>Otros</c:v>
                </c:pt>
              </c:strCache>
            </c:strRef>
          </c:cat>
          <c:val>
            <c:numRef>
              <c:f>'TD AVANCE'!$C$7:$G$7</c:f>
              <c:numCache>
                <c:formatCode>General</c:formatCode>
                <c:ptCount val="5"/>
                <c:pt idx="0">
                  <c:v>24</c:v>
                </c:pt>
                <c:pt idx="1">
                  <c:v>15</c:v>
                </c:pt>
                <c:pt idx="2">
                  <c:v>22</c:v>
                </c:pt>
                <c:pt idx="3">
                  <c:v>6</c:v>
                </c:pt>
                <c:pt idx="4">
                  <c:v>7</c:v>
                </c:pt>
              </c:numCache>
            </c:numRef>
          </c:val>
          <c:extLst>
            <c:ext xmlns:c16="http://schemas.microsoft.com/office/drawing/2014/chart" uri="{C3380CC4-5D6E-409C-BE32-E72D297353CC}">
              <c16:uniqueId val="{00000002-5457-4EBE-9720-A91EB342CA5C}"/>
            </c:ext>
          </c:extLst>
        </c:ser>
        <c:ser>
          <c:idx val="3"/>
          <c:order val="3"/>
          <c:tx>
            <c:strRef>
              <c:f>'TD AVANCE'!$B$8</c:f>
              <c:strCache>
                <c:ptCount val="1"/>
                <c:pt idx="0">
                  <c:v>Total</c:v>
                </c:pt>
              </c:strCache>
            </c:strRef>
          </c:tx>
          <c:spPr>
            <a:solidFill>
              <a:schemeClr val="accent5"/>
            </a:solidFill>
            <a:ln>
              <a:noFill/>
            </a:ln>
            <a:effectLst/>
          </c:spPr>
          <c:invertIfNegative val="0"/>
          <c:cat>
            <c:strRef>
              <c:f>'TD AVANCE'!$C$4:$G$4</c:f>
              <c:strCache>
                <c:ptCount val="5"/>
                <c:pt idx="0">
                  <c:v>CTO 5</c:v>
                </c:pt>
                <c:pt idx="1">
                  <c:v>CTO 8</c:v>
                </c:pt>
                <c:pt idx="2">
                  <c:v>CTO 9</c:v>
                </c:pt>
                <c:pt idx="3">
                  <c:v>CTO 10</c:v>
                </c:pt>
                <c:pt idx="4">
                  <c:v>Otros</c:v>
                </c:pt>
              </c:strCache>
            </c:strRef>
          </c:cat>
          <c:val>
            <c:numRef>
              <c:f>'TD AVANCE'!$C$8:$G$8</c:f>
              <c:numCache>
                <c:formatCode>General</c:formatCode>
                <c:ptCount val="5"/>
                <c:pt idx="0">
                  <c:v>278</c:v>
                </c:pt>
                <c:pt idx="1">
                  <c:v>261</c:v>
                </c:pt>
                <c:pt idx="2">
                  <c:v>353</c:v>
                </c:pt>
                <c:pt idx="3">
                  <c:v>393</c:v>
                </c:pt>
                <c:pt idx="4">
                  <c:v>78</c:v>
                </c:pt>
              </c:numCache>
            </c:numRef>
          </c:val>
          <c:extLst>
            <c:ext xmlns:c16="http://schemas.microsoft.com/office/drawing/2014/chart" uri="{C3380CC4-5D6E-409C-BE32-E72D297353CC}">
              <c16:uniqueId val="{00000005-5457-4EBE-9720-A91EB342CA5C}"/>
            </c:ext>
          </c:extLst>
        </c:ser>
        <c:dLbls>
          <c:showLegendKey val="0"/>
          <c:showVal val="0"/>
          <c:showCatName val="0"/>
          <c:showSerName val="0"/>
          <c:showPercent val="0"/>
          <c:showBubbleSize val="0"/>
        </c:dLbls>
        <c:gapWidth val="219"/>
        <c:overlap val="-27"/>
        <c:axId val="1659978880"/>
        <c:axId val="1801807792"/>
      </c:barChart>
      <c:catAx>
        <c:axId val="165997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01807792"/>
        <c:crosses val="autoZero"/>
        <c:auto val="1"/>
        <c:lblAlgn val="ctr"/>
        <c:lblOffset val="100"/>
        <c:noMultiLvlLbl val="0"/>
      </c:catAx>
      <c:valAx>
        <c:axId val="180180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5997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O"/>
              <a:t>Punch</a:t>
            </a:r>
            <a:r>
              <a:rPr lang="es-CO" baseline="0"/>
              <a:t> list por sistemas</a:t>
            </a:r>
            <a:endParaRPr lang="es-CO"/>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percentStacked"/>
        <c:varyColors val="0"/>
        <c:ser>
          <c:idx val="0"/>
          <c:order val="0"/>
          <c:tx>
            <c:strRef>
              <c:f>'TD AVANCE'!$F$21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 AVANCE'!$B$22:$B$36</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'TD AVANCE'!$F$22:$F$36</c:f>
              <c:numCache>
                <c:formatCode>General</c:formatCode>
                <c:ptCount val="15"/>
                <c:pt idx="0">
                  <c:v>1</c:v>
                </c:pt>
                <c:pt idx="1">
                  <c:v>1</c:v>
                </c:pt>
                <c:pt idx="2">
                  <c:v>2</c:v>
                </c:pt>
                <c:pt idx="3">
                  <c:v>5</c:v>
                </c:pt>
                <c:pt idx="4">
                  <c:v>14</c:v>
                </c:pt>
                <c:pt idx="5">
                  <c:v>15</c:v>
                </c:pt>
                <c:pt idx="6">
                  <c:v>18</c:v>
                </c:pt>
                <c:pt idx="7">
                  <c:v>56</c:v>
                </c:pt>
                <c:pt idx="8">
                  <c:v>6</c:v>
                </c:pt>
                <c:pt idx="9">
                  <c:v>20</c:v>
                </c:pt>
                <c:pt idx="10">
                  <c:v>27</c:v>
                </c:pt>
                <c:pt idx="11">
                  <c:v>64</c:v>
                </c:pt>
                <c:pt idx="12">
                  <c:v>75</c:v>
                </c:pt>
                <c:pt idx="13">
                  <c:v>288</c:v>
                </c:pt>
                <c:pt idx="14">
                  <c:v>771</c:v>
                </c:pt>
              </c:numCache>
            </c:numRef>
          </c:val>
          <c:extLst>
            <c:ext xmlns:c16="http://schemas.microsoft.com/office/drawing/2014/chart" uri="{C3380CC4-5D6E-409C-BE32-E72D297353CC}">
              <c16:uniqueId val="{00000000-8D46-4515-868B-79E9097CCE83}"/>
            </c:ext>
          </c:extLst>
        </c:ser>
        <c:ser>
          <c:idx val="1"/>
          <c:order val="1"/>
          <c:tx>
            <c:strRef>
              <c:f>'TD AVANCE'!$C$21</c:f>
              <c:strCache>
                <c:ptCount val="1"/>
                <c:pt idx="0">
                  <c:v>CERRADO</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 AVANCE'!$B$22:$B$36</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'TD AVANCE'!$C$22:$C$36</c:f>
              <c:numCache>
                <c:formatCode>General</c:formatCode>
                <c:ptCount val="15"/>
                <c:pt idx="0">
                  <c:v>1</c:v>
                </c:pt>
                <c:pt idx="2">
                  <c:v>2</c:v>
                </c:pt>
                <c:pt idx="3">
                  <c:v>4</c:v>
                </c:pt>
                <c:pt idx="4">
                  <c:v>13</c:v>
                </c:pt>
                <c:pt idx="5">
                  <c:v>15</c:v>
                </c:pt>
                <c:pt idx="6">
                  <c:v>16</c:v>
                </c:pt>
                <c:pt idx="7">
                  <c:v>53</c:v>
                </c:pt>
                <c:pt idx="8">
                  <c:v>5</c:v>
                </c:pt>
                <c:pt idx="9">
                  <c:v>18</c:v>
                </c:pt>
                <c:pt idx="10">
                  <c:v>23</c:v>
                </c:pt>
                <c:pt idx="11">
                  <c:v>61</c:v>
                </c:pt>
                <c:pt idx="12">
                  <c:v>68</c:v>
                </c:pt>
                <c:pt idx="13">
                  <c:v>191</c:v>
                </c:pt>
                <c:pt idx="14">
                  <c:v>626</c:v>
                </c:pt>
              </c:numCache>
            </c:numRef>
          </c:val>
          <c:extLst>
            <c:ext xmlns:c16="http://schemas.microsoft.com/office/drawing/2014/chart" uri="{C3380CC4-5D6E-409C-BE32-E72D297353CC}">
              <c16:uniqueId val="{00000001-8D46-4515-868B-79E9097CCE83}"/>
            </c:ext>
          </c:extLst>
        </c:ser>
        <c:ser>
          <c:idx val="2"/>
          <c:order val="2"/>
          <c:tx>
            <c:strRef>
              <c:f>'TD AVANCE'!$D$21</c:f>
              <c:strCache>
                <c:ptCount val="1"/>
                <c:pt idx="0">
                  <c:v>PTE Validar Enel</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 AVANCE'!$B$22:$B$36</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'TD AVANCE'!$D$22:$D$36</c:f>
              <c:numCache>
                <c:formatCode>General</c:formatCode>
                <c:ptCount val="15"/>
                <c:pt idx="1">
                  <c:v>1</c:v>
                </c:pt>
                <c:pt idx="7">
                  <c:v>3</c:v>
                </c:pt>
                <c:pt idx="8">
                  <c:v>1</c:v>
                </c:pt>
                <c:pt idx="10">
                  <c:v>2</c:v>
                </c:pt>
                <c:pt idx="11">
                  <c:v>3</c:v>
                </c:pt>
                <c:pt idx="12">
                  <c:v>3</c:v>
                </c:pt>
                <c:pt idx="13">
                  <c:v>10</c:v>
                </c:pt>
                <c:pt idx="14">
                  <c:v>51</c:v>
                </c:pt>
              </c:numCache>
            </c:numRef>
          </c:val>
          <c:extLst>
            <c:ext xmlns:c16="http://schemas.microsoft.com/office/drawing/2014/chart" uri="{C3380CC4-5D6E-409C-BE32-E72D297353CC}">
              <c16:uniqueId val="{00000000-A678-4CC1-A3C9-EE440034B469}"/>
            </c:ext>
          </c:extLst>
        </c:ser>
        <c:ser>
          <c:idx val="3"/>
          <c:order val="3"/>
          <c:tx>
            <c:strRef>
              <c:f>'TD AVANCE'!$E$21</c:f>
              <c:strCache>
                <c:ptCount val="1"/>
                <c:pt idx="0">
                  <c:v>ABIERTO</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 AVANCE'!$B$22:$B$36</c:f>
              <c:strCache>
                <c:ptCount val="15"/>
                <c:pt idx="0">
                  <c:v>Earthworks</c:v>
                </c:pt>
                <c:pt idx="1">
                  <c:v>Roads</c:v>
                </c:pt>
                <c:pt idx="2">
                  <c:v>Security System</c:v>
                </c:pt>
                <c:pt idx="3">
                  <c:v>Drainage System</c:v>
                </c:pt>
                <c:pt idx="4">
                  <c:v>Earthing system</c:v>
                </c:pt>
                <c:pt idx="5">
                  <c:v>Fiber optic</c:v>
                </c:pt>
                <c:pt idx="6">
                  <c:v>Trenches and Cable Way</c:v>
                </c:pt>
                <c:pt idx="7">
                  <c:v>String Inverter</c:v>
                </c:pt>
                <c:pt idx="8">
                  <c:v>LV/MV  Cabin for string inverter Assembly</c:v>
                </c:pt>
                <c:pt idx="9">
                  <c:v>LV/MV Cabin Others</c:v>
                </c:pt>
                <c:pt idx="10">
                  <c:v>LV/MV Transformation Cabin</c:v>
                </c:pt>
                <c:pt idx="11">
                  <c:v>LV/MV Transformation Cabin Others</c:v>
                </c:pt>
                <c:pt idx="12">
                  <c:v>Cables</c:v>
                </c:pt>
                <c:pt idx="13">
                  <c:v>PV Tracker system</c:v>
                </c:pt>
                <c:pt idx="14">
                  <c:v>Others</c:v>
                </c:pt>
              </c:strCache>
            </c:strRef>
          </c:cat>
          <c:val>
            <c:numRef>
              <c:f>'TD AVANCE'!$E$22:$E$36</c:f>
              <c:numCache>
                <c:formatCode>General</c:formatCode>
                <c:ptCount val="15"/>
                <c:pt idx="3">
                  <c:v>1</c:v>
                </c:pt>
                <c:pt idx="4">
                  <c:v>1</c:v>
                </c:pt>
                <c:pt idx="6">
                  <c:v>2</c:v>
                </c:pt>
                <c:pt idx="9">
                  <c:v>2</c:v>
                </c:pt>
                <c:pt idx="10">
                  <c:v>2</c:v>
                </c:pt>
                <c:pt idx="12">
                  <c:v>4</c:v>
                </c:pt>
                <c:pt idx="13">
                  <c:v>87</c:v>
                </c:pt>
                <c:pt idx="14">
                  <c:v>94</c:v>
                </c:pt>
              </c:numCache>
            </c:numRef>
          </c:val>
          <c:extLst>
            <c:ext xmlns:c16="http://schemas.microsoft.com/office/drawing/2014/chart" uri="{C3380CC4-5D6E-409C-BE32-E72D297353CC}">
              <c16:uniqueId val="{00000001-A678-4CC1-A3C9-EE440034B469}"/>
            </c:ext>
          </c:extLst>
        </c:ser>
        <c:dLbls>
          <c:dLblPos val="ctr"/>
          <c:showLegendKey val="0"/>
          <c:showVal val="1"/>
          <c:showCatName val="0"/>
          <c:showSerName val="0"/>
          <c:showPercent val="0"/>
          <c:showBubbleSize val="0"/>
        </c:dLbls>
        <c:gapWidth val="50"/>
        <c:overlap val="100"/>
        <c:axId val="860849264"/>
        <c:axId val="1000848272"/>
      </c:barChart>
      <c:catAx>
        <c:axId val="86084926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0848272"/>
        <c:crosses val="autoZero"/>
        <c:auto val="1"/>
        <c:lblAlgn val="ctr"/>
        <c:lblOffset val="100"/>
        <c:noMultiLvlLbl val="0"/>
      </c:catAx>
      <c:valAx>
        <c:axId val="100084827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60849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Seguimiento</a:t>
            </a:r>
            <a:r>
              <a:rPr lang="es-CO" baseline="0"/>
              <a:t> Cierre PL</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percentStacked"/>
        <c:varyColors val="0"/>
        <c:ser>
          <c:idx val="0"/>
          <c:order val="0"/>
          <c:tx>
            <c:strRef>
              <c:f>'TD AVANCE'!$C$55</c:f>
              <c:strCache>
                <c:ptCount val="1"/>
                <c:pt idx="0">
                  <c:v>CERRADO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 AVANCE'!$B$56:$B$74</c:f>
              <c:strCache>
                <c:ptCount val="19"/>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CAJAS</c:v>
                </c:pt>
                <c:pt idx="17">
                  <c:v>SOCIAL</c:v>
                </c:pt>
                <c:pt idx="18">
                  <c:v>Total</c:v>
                </c:pt>
              </c:strCache>
            </c:strRef>
          </c:cat>
          <c:val>
            <c:numRef>
              <c:f>'TD AVANCE'!$C$56:$C$74</c:f>
              <c:numCache>
                <c:formatCode>General</c:formatCode>
                <c:ptCount val="19"/>
                <c:pt idx="0">
                  <c:v>42</c:v>
                </c:pt>
                <c:pt idx="1">
                  <c:v>92</c:v>
                </c:pt>
                <c:pt idx="2">
                  <c:v>90</c:v>
                </c:pt>
                <c:pt idx="3">
                  <c:v>91</c:v>
                </c:pt>
                <c:pt idx="4">
                  <c:v>115</c:v>
                </c:pt>
                <c:pt idx="5">
                  <c:v>158</c:v>
                </c:pt>
                <c:pt idx="6">
                  <c:v>78</c:v>
                </c:pt>
                <c:pt idx="7">
                  <c:v>71</c:v>
                </c:pt>
                <c:pt idx="8">
                  <c:v>34</c:v>
                </c:pt>
                <c:pt idx="9">
                  <c:v>49</c:v>
                </c:pt>
                <c:pt idx="10">
                  <c:v>59</c:v>
                </c:pt>
                <c:pt idx="11">
                  <c:v>60</c:v>
                </c:pt>
                <c:pt idx="12">
                  <c:v>58</c:v>
                </c:pt>
                <c:pt idx="13">
                  <c:v>26</c:v>
                </c:pt>
                <c:pt idx="14">
                  <c:v>22</c:v>
                </c:pt>
                <c:pt idx="16">
                  <c:v>49</c:v>
                </c:pt>
                <c:pt idx="17">
                  <c:v>2</c:v>
                </c:pt>
                <c:pt idx="18">
                  <c:v>1096</c:v>
                </c:pt>
              </c:numCache>
            </c:numRef>
          </c:val>
          <c:extLst>
            <c:ext xmlns:c16="http://schemas.microsoft.com/office/drawing/2014/chart" uri="{C3380CC4-5D6E-409C-BE32-E72D297353CC}">
              <c16:uniqueId val="{00000000-96F9-4C53-95ED-8F518E670D7E}"/>
            </c:ext>
          </c:extLst>
        </c:ser>
        <c:ser>
          <c:idx val="1"/>
          <c:order val="1"/>
          <c:tx>
            <c:strRef>
              <c:f>'TD AVANCE'!$D$55</c:f>
              <c:strCache>
                <c:ptCount val="1"/>
                <c:pt idx="0">
                  <c:v>PTE Validar Enel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 AVANCE'!$B$56:$B$74</c:f>
              <c:strCache>
                <c:ptCount val="19"/>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CAJAS</c:v>
                </c:pt>
                <c:pt idx="17">
                  <c:v>SOCIAL</c:v>
                </c:pt>
                <c:pt idx="18">
                  <c:v>Total</c:v>
                </c:pt>
              </c:strCache>
            </c:strRef>
          </c:cat>
          <c:val>
            <c:numRef>
              <c:f>'TD AVANCE'!$D$56:$D$74</c:f>
              <c:numCache>
                <c:formatCode>General</c:formatCode>
                <c:ptCount val="19"/>
                <c:pt idx="0">
                  <c:v>6</c:v>
                </c:pt>
                <c:pt idx="1">
                  <c:v>1</c:v>
                </c:pt>
                <c:pt idx="2">
                  <c:v>11</c:v>
                </c:pt>
                <c:pt idx="3">
                  <c:v>4</c:v>
                </c:pt>
                <c:pt idx="4">
                  <c:v>1</c:v>
                </c:pt>
                <c:pt idx="5">
                  <c:v>3</c:v>
                </c:pt>
                <c:pt idx="6">
                  <c:v>2</c:v>
                </c:pt>
                <c:pt idx="7">
                  <c:v>4</c:v>
                </c:pt>
                <c:pt idx="8">
                  <c:v>6</c:v>
                </c:pt>
                <c:pt idx="9">
                  <c:v>1</c:v>
                </c:pt>
                <c:pt idx="10">
                  <c:v>4</c:v>
                </c:pt>
                <c:pt idx="11">
                  <c:v>10</c:v>
                </c:pt>
                <c:pt idx="12">
                  <c:v>4</c:v>
                </c:pt>
                <c:pt idx="13">
                  <c:v>4</c:v>
                </c:pt>
                <c:pt idx="14">
                  <c:v>6</c:v>
                </c:pt>
                <c:pt idx="15">
                  <c:v>3</c:v>
                </c:pt>
                <c:pt idx="16">
                  <c:v>4</c:v>
                </c:pt>
                <c:pt idx="18">
                  <c:v>74</c:v>
                </c:pt>
              </c:numCache>
            </c:numRef>
          </c:val>
          <c:extLst>
            <c:ext xmlns:c16="http://schemas.microsoft.com/office/drawing/2014/chart" uri="{C3380CC4-5D6E-409C-BE32-E72D297353CC}">
              <c16:uniqueId val="{00000001-96F9-4C53-95ED-8F518E670D7E}"/>
            </c:ext>
          </c:extLst>
        </c:ser>
        <c:ser>
          <c:idx val="2"/>
          <c:order val="2"/>
          <c:tx>
            <c:strRef>
              <c:f>'TD AVANCE'!$E$55</c:f>
              <c:strCache>
                <c:ptCount val="1"/>
                <c:pt idx="0">
                  <c:v>ABIERTO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 AVANCE'!$B$56:$B$74</c:f>
              <c:strCache>
                <c:ptCount val="19"/>
                <c:pt idx="0">
                  <c:v>SC28</c:v>
                </c:pt>
                <c:pt idx="1">
                  <c:v>SC31</c:v>
                </c:pt>
                <c:pt idx="2">
                  <c:v>SC29</c:v>
                </c:pt>
                <c:pt idx="3">
                  <c:v>SC30</c:v>
                </c:pt>
                <c:pt idx="4">
                  <c:v>SC32</c:v>
                </c:pt>
                <c:pt idx="5">
                  <c:v>SC33</c:v>
                </c:pt>
                <c:pt idx="6">
                  <c:v>SC34</c:v>
                </c:pt>
                <c:pt idx="7">
                  <c:v>SC24</c:v>
                </c:pt>
                <c:pt idx="8">
                  <c:v>SC25</c:v>
                </c:pt>
                <c:pt idx="9">
                  <c:v>SC26</c:v>
                </c:pt>
                <c:pt idx="10">
                  <c:v>SC27</c:v>
                </c:pt>
                <c:pt idx="11">
                  <c:v>SC20</c:v>
                </c:pt>
                <c:pt idx="12">
                  <c:v>SC21</c:v>
                </c:pt>
                <c:pt idx="13">
                  <c:v>SC22</c:v>
                </c:pt>
                <c:pt idx="14">
                  <c:v>SC23</c:v>
                </c:pt>
                <c:pt idx="15">
                  <c:v>GENERAL</c:v>
                </c:pt>
                <c:pt idx="16">
                  <c:v>CAJAS</c:v>
                </c:pt>
                <c:pt idx="17">
                  <c:v>SOCIAL</c:v>
                </c:pt>
                <c:pt idx="18">
                  <c:v>Total</c:v>
                </c:pt>
              </c:strCache>
            </c:strRef>
          </c:cat>
          <c:val>
            <c:numRef>
              <c:f>'TD AVANCE'!$E$56:$E$74</c:f>
              <c:numCache>
                <c:formatCode>General</c:formatCode>
                <c:ptCount val="19"/>
                <c:pt idx="0">
                  <c:v>1</c:v>
                </c:pt>
                <c:pt idx="1">
                  <c:v>6</c:v>
                </c:pt>
                <c:pt idx="2">
                  <c:v>5</c:v>
                </c:pt>
                <c:pt idx="3">
                  <c:v>4</c:v>
                </c:pt>
                <c:pt idx="4">
                  <c:v>14</c:v>
                </c:pt>
                <c:pt idx="5">
                  <c:v>4</c:v>
                </c:pt>
                <c:pt idx="6">
                  <c:v>18</c:v>
                </c:pt>
                <c:pt idx="7">
                  <c:v>11</c:v>
                </c:pt>
                <c:pt idx="8">
                  <c:v>4</c:v>
                </c:pt>
                <c:pt idx="9">
                  <c:v>9</c:v>
                </c:pt>
                <c:pt idx="10">
                  <c:v>9</c:v>
                </c:pt>
                <c:pt idx="11">
                  <c:v>8</c:v>
                </c:pt>
                <c:pt idx="12">
                  <c:v>7</c:v>
                </c:pt>
                <c:pt idx="13">
                  <c:v>64</c:v>
                </c:pt>
                <c:pt idx="14">
                  <c:v>9</c:v>
                </c:pt>
                <c:pt idx="15">
                  <c:v>3</c:v>
                </c:pt>
                <c:pt idx="16">
                  <c:v>4</c:v>
                </c:pt>
                <c:pt idx="17">
                  <c:v>13</c:v>
                </c:pt>
                <c:pt idx="18">
                  <c:v>193</c:v>
                </c:pt>
              </c:numCache>
            </c:numRef>
          </c:val>
          <c:extLst>
            <c:ext xmlns:c16="http://schemas.microsoft.com/office/drawing/2014/chart" uri="{C3380CC4-5D6E-409C-BE32-E72D297353CC}">
              <c16:uniqueId val="{00000002-96F9-4C53-95ED-8F518E670D7E}"/>
            </c:ext>
          </c:extLst>
        </c:ser>
        <c:dLbls>
          <c:dLblPos val="ctr"/>
          <c:showLegendKey val="0"/>
          <c:showVal val="1"/>
          <c:showCatName val="0"/>
          <c:showSerName val="0"/>
          <c:showPercent val="0"/>
          <c:showBubbleSize val="0"/>
        </c:dLbls>
        <c:gapWidth val="150"/>
        <c:overlap val="100"/>
        <c:axId val="1537609040"/>
        <c:axId val="1381928208"/>
      </c:barChart>
      <c:catAx>
        <c:axId val="15376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81928208"/>
        <c:crosses val="autoZero"/>
        <c:auto val="1"/>
        <c:lblAlgn val="ctr"/>
        <c:lblOffset val="100"/>
        <c:noMultiLvlLbl val="0"/>
      </c:catAx>
      <c:valAx>
        <c:axId val="138192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7609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Distribución de PL por subcampo que depende de terceros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stacked"/>
        <c:varyColors val="0"/>
        <c:ser>
          <c:idx val="0"/>
          <c:order val="0"/>
          <c:tx>
            <c:strRef>
              <c:f>'TD AVANCE'!$C$97</c:f>
              <c:strCache>
                <c:ptCount val="1"/>
                <c:pt idx="0">
                  <c:v>SOCIAL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 AVANCE'!$B$98:$B$114</c:f>
              <c:strCache>
                <c:ptCount val="17"/>
                <c:pt idx="0">
                  <c:v>SC20</c:v>
                </c:pt>
                <c:pt idx="1">
                  <c:v>SC21</c:v>
                </c:pt>
                <c:pt idx="2">
                  <c:v>SC22</c:v>
                </c:pt>
                <c:pt idx="3">
                  <c:v>SC23</c:v>
                </c:pt>
                <c:pt idx="4">
                  <c:v>SC24</c:v>
                </c:pt>
                <c:pt idx="5">
                  <c:v>SC25</c:v>
                </c:pt>
                <c:pt idx="6">
                  <c:v>SC26</c:v>
                </c:pt>
                <c:pt idx="7">
                  <c:v>SC27</c:v>
                </c:pt>
                <c:pt idx="8">
                  <c:v>SC28</c:v>
                </c:pt>
                <c:pt idx="9">
                  <c:v>SC29</c:v>
                </c:pt>
                <c:pt idx="10">
                  <c:v>SC30</c:v>
                </c:pt>
                <c:pt idx="11">
                  <c:v>SC31</c:v>
                </c:pt>
                <c:pt idx="12">
                  <c:v>SC32</c:v>
                </c:pt>
                <c:pt idx="13">
                  <c:v>SC33</c:v>
                </c:pt>
                <c:pt idx="14">
                  <c:v>SC34</c:v>
                </c:pt>
                <c:pt idx="15">
                  <c:v>GENERAL</c:v>
                </c:pt>
                <c:pt idx="16">
                  <c:v>SOCIAL</c:v>
                </c:pt>
              </c:strCache>
            </c:strRef>
          </c:cat>
          <c:val>
            <c:numRef>
              <c:f>'TD AVANCE'!$C$98:$C$114</c:f>
              <c:numCache>
                <c:formatCode>General</c:formatCode>
                <c:ptCount val="17"/>
                <c:pt idx="16">
                  <c:v>15</c:v>
                </c:pt>
              </c:numCache>
            </c:numRef>
          </c:val>
          <c:extLst>
            <c:ext xmlns:c16="http://schemas.microsoft.com/office/drawing/2014/chart" uri="{C3380CC4-5D6E-409C-BE32-E72D297353CC}">
              <c16:uniqueId val="{00000000-28F3-45AF-B524-5B380554F3B2}"/>
            </c:ext>
          </c:extLst>
        </c:ser>
        <c:ser>
          <c:idx val="1"/>
          <c:order val="1"/>
          <c:tx>
            <c:strRef>
              <c:f>'TD AVANCE'!$D$97</c:f>
              <c:strCache>
                <c:ptCount val="1"/>
                <c:pt idx="0">
                  <c:v>Trina Electric</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 AVANCE'!$B$98:$B$114</c:f>
              <c:strCache>
                <c:ptCount val="17"/>
                <c:pt idx="0">
                  <c:v>SC20</c:v>
                </c:pt>
                <c:pt idx="1">
                  <c:v>SC21</c:v>
                </c:pt>
                <c:pt idx="2">
                  <c:v>SC22</c:v>
                </c:pt>
                <c:pt idx="3">
                  <c:v>SC23</c:v>
                </c:pt>
                <c:pt idx="4">
                  <c:v>SC24</c:v>
                </c:pt>
                <c:pt idx="5">
                  <c:v>SC25</c:v>
                </c:pt>
                <c:pt idx="6">
                  <c:v>SC26</c:v>
                </c:pt>
                <c:pt idx="7">
                  <c:v>SC27</c:v>
                </c:pt>
                <c:pt idx="8">
                  <c:v>SC28</c:v>
                </c:pt>
                <c:pt idx="9">
                  <c:v>SC29</c:v>
                </c:pt>
                <c:pt idx="10">
                  <c:v>SC30</c:v>
                </c:pt>
                <c:pt idx="11">
                  <c:v>SC31</c:v>
                </c:pt>
                <c:pt idx="12">
                  <c:v>SC32</c:v>
                </c:pt>
                <c:pt idx="13">
                  <c:v>SC33</c:v>
                </c:pt>
                <c:pt idx="14">
                  <c:v>SC34</c:v>
                </c:pt>
                <c:pt idx="15">
                  <c:v>GENERAL</c:v>
                </c:pt>
                <c:pt idx="16">
                  <c:v>SOCIAL</c:v>
                </c:pt>
              </c:strCache>
            </c:strRef>
          </c:cat>
          <c:val>
            <c:numRef>
              <c:f>'TD AVANCE'!$D$98:$D$114</c:f>
              <c:numCache>
                <c:formatCode>General</c:formatCode>
                <c:ptCount val="17"/>
                <c:pt idx="9">
                  <c:v>1</c:v>
                </c:pt>
                <c:pt idx="10">
                  <c:v>3</c:v>
                </c:pt>
                <c:pt idx="12">
                  <c:v>2</c:v>
                </c:pt>
              </c:numCache>
            </c:numRef>
          </c:val>
          <c:extLst>
            <c:ext xmlns:c16="http://schemas.microsoft.com/office/drawing/2014/chart" uri="{C3380CC4-5D6E-409C-BE32-E72D297353CC}">
              <c16:uniqueId val="{00000001-28F3-45AF-B524-5B380554F3B2}"/>
            </c:ext>
          </c:extLst>
        </c:ser>
        <c:ser>
          <c:idx val="2"/>
          <c:order val="2"/>
          <c:tx>
            <c:strRef>
              <c:f>'TD AVANCE'!$E$97</c:f>
              <c:strCache>
                <c:ptCount val="1"/>
                <c:pt idx="0">
                  <c:v>Trina Commissioning</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 AVANCE'!$B$98:$B$114</c:f>
              <c:strCache>
                <c:ptCount val="17"/>
                <c:pt idx="0">
                  <c:v>SC20</c:v>
                </c:pt>
                <c:pt idx="1">
                  <c:v>SC21</c:v>
                </c:pt>
                <c:pt idx="2">
                  <c:v>SC22</c:v>
                </c:pt>
                <c:pt idx="3">
                  <c:v>SC23</c:v>
                </c:pt>
                <c:pt idx="4">
                  <c:v>SC24</c:v>
                </c:pt>
                <c:pt idx="5">
                  <c:v>SC25</c:v>
                </c:pt>
                <c:pt idx="6">
                  <c:v>SC26</c:v>
                </c:pt>
                <c:pt idx="7">
                  <c:v>SC27</c:v>
                </c:pt>
                <c:pt idx="8">
                  <c:v>SC28</c:v>
                </c:pt>
                <c:pt idx="9">
                  <c:v>SC29</c:v>
                </c:pt>
                <c:pt idx="10">
                  <c:v>SC30</c:v>
                </c:pt>
                <c:pt idx="11">
                  <c:v>SC31</c:v>
                </c:pt>
                <c:pt idx="12">
                  <c:v>SC32</c:v>
                </c:pt>
                <c:pt idx="13">
                  <c:v>SC33</c:v>
                </c:pt>
                <c:pt idx="14">
                  <c:v>SC34</c:v>
                </c:pt>
                <c:pt idx="15">
                  <c:v>GENERAL</c:v>
                </c:pt>
                <c:pt idx="16">
                  <c:v>SOCIAL</c:v>
                </c:pt>
              </c:strCache>
            </c:strRef>
          </c:cat>
          <c:val>
            <c:numRef>
              <c:f>'TD AVANCE'!$E$98:$E$114</c:f>
              <c:numCache>
                <c:formatCode>General</c:formatCode>
                <c:ptCount val="17"/>
                <c:pt idx="0">
                  <c:v>3</c:v>
                </c:pt>
                <c:pt idx="1">
                  <c:v>7</c:v>
                </c:pt>
                <c:pt idx="2">
                  <c:v>58</c:v>
                </c:pt>
                <c:pt idx="3">
                  <c:v>8</c:v>
                </c:pt>
                <c:pt idx="4">
                  <c:v>3</c:v>
                </c:pt>
                <c:pt idx="5">
                  <c:v>2</c:v>
                </c:pt>
                <c:pt idx="6">
                  <c:v>4</c:v>
                </c:pt>
                <c:pt idx="7">
                  <c:v>5</c:v>
                </c:pt>
                <c:pt idx="9">
                  <c:v>3</c:v>
                </c:pt>
                <c:pt idx="11">
                  <c:v>9</c:v>
                </c:pt>
                <c:pt idx="12">
                  <c:v>3</c:v>
                </c:pt>
                <c:pt idx="13">
                  <c:v>9</c:v>
                </c:pt>
                <c:pt idx="14">
                  <c:v>4</c:v>
                </c:pt>
                <c:pt idx="15">
                  <c:v>2</c:v>
                </c:pt>
              </c:numCache>
            </c:numRef>
          </c:val>
          <c:extLst>
            <c:ext xmlns:c16="http://schemas.microsoft.com/office/drawing/2014/chart" uri="{C3380CC4-5D6E-409C-BE32-E72D297353CC}">
              <c16:uniqueId val="{00000002-28F3-45AF-B524-5B380554F3B2}"/>
            </c:ext>
          </c:extLst>
        </c:ser>
        <c:ser>
          <c:idx val="3"/>
          <c:order val="3"/>
          <c:tx>
            <c:strRef>
              <c:f>'TD AVANCE'!$F$97</c:f>
              <c:strCache>
                <c:ptCount val="1"/>
                <c:pt idx="0">
                  <c:v>Trina O&amp;M</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 AVANCE'!$B$98:$B$114</c:f>
              <c:strCache>
                <c:ptCount val="17"/>
                <c:pt idx="0">
                  <c:v>SC20</c:v>
                </c:pt>
                <c:pt idx="1">
                  <c:v>SC21</c:v>
                </c:pt>
                <c:pt idx="2">
                  <c:v>SC22</c:v>
                </c:pt>
                <c:pt idx="3">
                  <c:v>SC23</c:v>
                </c:pt>
                <c:pt idx="4">
                  <c:v>SC24</c:v>
                </c:pt>
                <c:pt idx="5">
                  <c:v>SC25</c:v>
                </c:pt>
                <c:pt idx="6">
                  <c:v>SC26</c:v>
                </c:pt>
                <c:pt idx="7">
                  <c:v>SC27</c:v>
                </c:pt>
                <c:pt idx="8">
                  <c:v>SC28</c:v>
                </c:pt>
                <c:pt idx="9">
                  <c:v>SC29</c:v>
                </c:pt>
                <c:pt idx="10">
                  <c:v>SC30</c:v>
                </c:pt>
                <c:pt idx="11">
                  <c:v>SC31</c:v>
                </c:pt>
                <c:pt idx="12">
                  <c:v>SC32</c:v>
                </c:pt>
                <c:pt idx="13">
                  <c:v>SC33</c:v>
                </c:pt>
                <c:pt idx="14">
                  <c:v>SC34</c:v>
                </c:pt>
                <c:pt idx="15">
                  <c:v>GENERAL</c:v>
                </c:pt>
                <c:pt idx="16">
                  <c:v>SOCIAL</c:v>
                </c:pt>
              </c:strCache>
            </c:strRef>
          </c:cat>
          <c:val>
            <c:numRef>
              <c:f>'TD AVANCE'!$F$98:$F$114</c:f>
              <c:numCache>
                <c:formatCode>General</c:formatCode>
                <c:ptCount val="17"/>
                <c:pt idx="12">
                  <c:v>6</c:v>
                </c:pt>
                <c:pt idx="14">
                  <c:v>2</c:v>
                </c:pt>
                <c:pt idx="15">
                  <c:v>4</c:v>
                </c:pt>
              </c:numCache>
            </c:numRef>
          </c:val>
          <c:extLst>
            <c:ext xmlns:c16="http://schemas.microsoft.com/office/drawing/2014/chart" uri="{C3380CC4-5D6E-409C-BE32-E72D297353CC}">
              <c16:uniqueId val="{00000003-28F3-45AF-B524-5B380554F3B2}"/>
            </c:ext>
          </c:extLst>
        </c:ser>
        <c:ser>
          <c:idx val="4"/>
          <c:order val="4"/>
          <c:tx>
            <c:strRef>
              <c:f>'TD AVANCE'!$G$97</c:f>
              <c:strCache>
                <c:ptCount val="1"/>
                <c:pt idx="0">
                  <c:v>O&amp;M</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 AVANCE'!$B$98:$B$114</c:f>
              <c:strCache>
                <c:ptCount val="17"/>
                <c:pt idx="0">
                  <c:v>SC20</c:v>
                </c:pt>
                <c:pt idx="1">
                  <c:v>SC21</c:v>
                </c:pt>
                <c:pt idx="2">
                  <c:v>SC22</c:v>
                </c:pt>
                <c:pt idx="3">
                  <c:v>SC23</c:v>
                </c:pt>
                <c:pt idx="4">
                  <c:v>SC24</c:v>
                </c:pt>
                <c:pt idx="5">
                  <c:v>SC25</c:v>
                </c:pt>
                <c:pt idx="6">
                  <c:v>SC26</c:v>
                </c:pt>
                <c:pt idx="7">
                  <c:v>SC27</c:v>
                </c:pt>
                <c:pt idx="8">
                  <c:v>SC28</c:v>
                </c:pt>
                <c:pt idx="9">
                  <c:v>SC29</c:v>
                </c:pt>
                <c:pt idx="10">
                  <c:v>SC30</c:v>
                </c:pt>
                <c:pt idx="11">
                  <c:v>SC31</c:v>
                </c:pt>
                <c:pt idx="12">
                  <c:v>SC32</c:v>
                </c:pt>
                <c:pt idx="13">
                  <c:v>SC33</c:v>
                </c:pt>
                <c:pt idx="14">
                  <c:v>SC34</c:v>
                </c:pt>
                <c:pt idx="15">
                  <c:v>GENERAL</c:v>
                </c:pt>
                <c:pt idx="16">
                  <c:v>SOCIAL</c:v>
                </c:pt>
              </c:strCache>
            </c:strRef>
          </c:cat>
          <c:val>
            <c:numRef>
              <c:f>'TD AVANCE'!$G$98:$G$114</c:f>
              <c:numCache>
                <c:formatCode>General</c:formatCode>
                <c:ptCount val="17"/>
                <c:pt idx="0">
                  <c:v>16</c:v>
                </c:pt>
                <c:pt idx="1">
                  <c:v>4</c:v>
                </c:pt>
                <c:pt idx="2">
                  <c:v>2</c:v>
                </c:pt>
                <c:pt idx="3">
                  <c:v>1</c:v>
                </c:pt>
                <c:pt idx="4">
                  <c:v>6</c:v>
                </c:pt>
                <c:pt idx="5">
                  <c:v>4</c:v>
                </c:pt>
                <c:pt idx="6">
                  <c:v>2</c:v>
                </c:pt>
                <c:pt idx="7">
                  <c:v>5</c:v>
                </c:pt>
                <c:pt idx="8">
                  <c:v>2</c:v>
                </c:pt>
                <c:pt idx="9">
                  <c:v>9</c:v>
                </c:pt>
                <c:pt idx="10">
                  <c:v>3</c:v>
                </c:pt>
                <c:pt idx="11">
                  <c:v>2</c:v>
                </c:pt>
                <c:pt idx="13">
                  <c:v>14</c:v>
                </c:pt>
                <c:pt idx="14">
                  <c:v>5</c:v>
                </c:pt>
              </c:numCache>
            </c:numRef>
          </c:val>
          <c:extLst>
            <c:ext xmlns:c16="http://schemas.microsoft.com/office/drawing/2014/chart" uri="{C3380CC4-5D6E-409C-BE32-E72D297353CC}">
              <c16:uniqueId val="{00000004-28F3-45AF-B524-5B380554F3B2}"/>
            </c:ext>
          </c:extLst>
        </c:ser>
        <c:dLbls>
          <c:dLblPos val="ctr"/>
          <c:showLegendKey val="0"/>
          <c:showVal val="1"/>
          <c:showCatName val="0"/>
          <c:showSerName val="0"/>
          <c:showPercent val="0"/>
          <c:showBubbleSize val="0"/>
        </c:dLbls>
        <c:gapWidth val="150"/>
        <c:overlap val="100"/>
        <c:axId val="1006775616"/>
        <c:axId val="1000834832"/>
      </c:barChart>
      <c:catAx>
        <c:axId val="1006775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000834832"/>
        <c:crosses val="autoZero"/>
        <c:auto val="1"/>
        <c:lblAlgn val="ctr"/>
        <c:lblOffset val="100"/>
        <c:noMultiLvlLbl val="0"/>
      </c:catAx>
      <c:valAx>
        <c:axId val="10008348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0677561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CO" sz="1800" b="1" i="0" u="none" strike="noStrike" kern="1200" baseline="0">
                <a:solidFill>
                  <a:sysClr val="windowText" lastClr="000000">
                    <a:lumMod val="75000"/>
                    <a:lumOff val="25000"/>
                  </a:sysClr>
                </a:solidFill>
              </a:rPr>
              <a:t>Distribución de PL por subcampo que depende de terceros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s-CO"/>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2A-4CFA-A932-15A5D24678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2A-4CFA-A932-15A5D24678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2A-4CFA-A932-15A5D24678E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2A-4CFA-A932-15A5D24678E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2A-4CFA-A932-15A5D24678E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'TD AVANCE'!$C$97:$G$97</c:f>
              <c:strCache>
                <c:ptCount val="5"/>
                <c:pt idx="0">
                  <c:v>SOCIAL</c:v>
                </c:pt>
                <c:pt idx="1">
                  <c:v>Trina Electric</c:v>
                </c:pt>
                <c:pt idx="2">
                  <c:v>Trina Commissioning</c:v>
                </c:pt>
                <c:pt idx="3">
                  <c:v>Trina O&amp;M</c:v>
                </c:pt>
                <c:pt idx="4">
                  <c:v>O&amp;M</c:v>
                </c:pt>
              </c:strCache>
            </c:strRef>
          </c:cat>
          <c:val>
            <c:numRef>
              <c:f>'TD AVANCE'!$C$115:$G$115</c:f>
              <c:numCache>
                <c:formatCode>General</c:formatCode>
                <c:ptCount val="5"/>
                <c:pt idx="0">
                  <c:v>15</c:v>
                </c:pt>
                <c:pt idx="1">
                  <c:v>6</c:v>
                </c:pt>
                <c:pt idx="2">
                  <c:v>120</c:v>
                </c:pt>
                <c:pt idx="3">
                  <c:v>12</c:v>
                </c:pt>
                <c:pt idx="4">
                  <c:v>75</c:v>
                </c:pt>
              </c:numCache>
            </c:numRef>
          </c:val>
          <c:extLst>
            <c:ext xmlns:c16="http://schemas.microsoft.com/office/drawing/2014/chart" uri="{C3380CC4-5D6E-409C-BE32-E72D297353CC}">
              <c16:uniqueId val="{00000000-3700-41C6-AB6D-5124F725996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517344</xdr:colOff>
      <xdr:row>1</xdr:row>
      <xdr:rowOff>47897</xdr:rowOff>
    </xdr:from>
    <xdr:to>
      <xdr:col>14</xdr:col>
      <xdr:colOff>347527</xdr:colOff>
      <xdr:row>16</xdr:row>
      <xdr:rowOff>141514</xdr:rowOff>
    </xdr:to>
    <xdr:graphicFrame macro="">
      <xdr:nvGraphicFramePr>
        <xdr:cNvPr id="2" name="Gráfico 1">
          <a:extLst>
            <a:ext uri="{FF2B5EF4-FFF2-40B4-BE49-F238E27FC236}">
              <a16:creationId xmlns:a16="http://schemas.microsoft.com/office/drawing/2014/main" id="{648EFEE0-E498-0E97-6AFC-34C132B97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783769</xdr:colOff>
      <xdr:row>42</xdr:row>
      <xdr:rowOff>10887</xdr:rowOff>
    </xdr:from>
    <xdr:to>
      <xdr:col>23</xdr:col>
      <xdr:colOff>152400</xdr:colOff>
      <xdr:row>66</xdr:row>
      <xdr:rowOff>326572</xdr:rowOff>
    </xdr:to>
    <xdr:graphicFrame macro="">
      <xdr:nvGraphicFramePr>
        <xdr:cNvPr id="4" name="Gráfico 3">
          <a:extLst>
            <a:ext uri="{FF2B5EF4-FFF2-40B4-BE49-F238E27FC236}">
              <a16:creationId xmlns:a16="http://schemas.microsoft.com/office/drawing/2014/main" id="{F0B6B873-7331-E643-5BB2-D460F9331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141514</xdr:colOff>
      <xdr:row>18</xdr:row>
      <xdr:rowOff>10885</xdr:rowOff>
    </xdr:from>
    <xdr:to>
      <xdr:col>15</xdr:col>
      <xdr:colOff>10886</xdr:colOff>
      <xdr:row>41</xdr:row>
      <xdr:rowOff>174171</xdr:rowOff>
    </xdr:to>
    <xdr:graphicFrame macro="">
      <xdr:nvGraphicFramePr>
        <xdr:cNvPr id="8" name="Gráfico 7">
          <a:extLst>
            <a:ext uri="{FF2B5EF4-FFF2-40B4-BE49-F238E27FC236}">
              <a16:creationId xmlns:a16="http://schemas.microsoft.com/office/drawing/2014/main" id="{8835DF0C-E249-4924-EAF5-1E2941479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21770</xdr:colOff>
      <xdr:row>94</xdr:row>
      <xdr:rowOff>5442</xdr:rowOff>
    </xdr:from>
    <xdr:to>
      <xdr:col>23</xdr:col>
      <xdr:colOff>54428</xdr:colOff>
      <xdr:row>117</xdr:row>
      <xdr:rowOff>152400</xdr:rowOff>
    </xdr:to>
    <xdr:graphicFrame macro="">
      <xdr:nvGraphicFramePr>
        <xdr:cNvPr id="9" name="Gráfico 8">
          <a:extLst>
            <a:ext uri="{FF2B5EF4-FFF2-40B4-BE49-F238E27FC236}">
              <a16:creationId xmlns:a16="http://schemas.microsoft.com/office/drawing/2014/main" id="{D50C346B-C278-BE1D-8266-15D263AAA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2852057</xdr:colOff>
      <xdr:row>113</xdr:row>
      <xdr:rowOff>5442</xdr:rowOff>
    </xdr:from>
    <xdr:to>
      <xdr:col>9</xdr:col>
      <xdr:colOff>783771</xdr:colOff>
      <xdr:row>136</xdr:row>
      <xdr:rowOff>163285</xdr:rowOff>
    </xdr:to>
    <xdr:graphicFrame macro="">
      <xdr:nvGraphicFramePr>
        <xdr:cNvPr id="12" name="Gráfico 11">
          <a:extLst>
            <a:ext uri="{FF2B5EF4-FFF2-40B4-BE49-F238E27FC236}">
              <a16:creationId xmlns:a16="http://schemas.microsoft.com/office/drawing/2014/main" id="{99B48F79-E0A6-9CAC-587F-23DFD0C65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21</xdr:row>
      <xdr:rowOff>38099</xdr:rowOff>
    </xdr:from>
    <xdr:to>
      <xdr:col>22</xdr:col>
      <xdr:colOff>424542</xdr:colOff>
      <xdr:row>53</xdr:row>
      <xdr:rowOff>174171</xdr:rowOff>
    </xdr:to>
    <xdr:graphicFrame macro="">
      <xdr:nvGraphicFramePr>
        <xdr:cNvPr id="4" name="Gráfico 3">
          <a:extLst>
            <a:ext uri="{FF2B5EF4-FFF2-40B4-BE49-F238E27FC236}">
              <a16:creationId xmlns:a16="http://schemas.microsoft.com/office/drawing/2014/main" id="{CC051ACD-2695-33EE-5575-F504B86D6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32656</xdr:colOff>
      <xdr:row>21</xdr:row>
      <xdr:rowOff>16328</xdr:rowOff>
    </xdr:from>
    <xdr:to>
      <xdr:col>40</xdr:col>
      <xdr:colOff>478972</xdr:colOff>
      <xdr:row>59</xdr:row>
      <xdr:rowOff>87086</xdr:rowOff>
    </xdr:to>
    <xdr:graphicFrame macro="">
      <xdr:nvGraphicFramePr>
        <xdr:cNvPr id="6" name="Gráfico 5">
          <a:extLst>
            <a:ext uri="{FF2B5EF4-FFF2-40B4-BE49-F238E27FC236}">
              <a16:creationId xmlns:a16="http://schemas.microsoft.com/office/drawing/2014/main" id="{67227DAA-9988-2828-D853-BCAF5744D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0</xdr:rowOff>
    </xdr:from>
    <xdr:to>
      <xdr:col>17</xdr:col>
      <xdr:colOff>0</xdr:colOff>
      <xdr:row>17</xdr:row>
      <xdr:rowOff>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r:id="rId1"/>
        </a:graphicData>
      </a:graphic>
    </xdr:graphicFrame>
    <xdr:clientData/>
  </xdr:twoCellAnchor>
  <xdr:twoCellAnchor editAs="oneCell">
    <xdr:from>
      <xdr:col>7</xdr:col>
      <xdr:colOff>0</xdr:colOff>
      <xdr:row>18</xdr:row>
      <xdr:rowOff>0</xdr:rowOff>
    </xdr:from>
    <xdr:to>
      <xdr:col>17</xdr:col>
      <xdr:colOff>0</xdr:colOff>
      <xdr:row>39</xdr:row>
      <xdr:rowOff>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r:id="rId2"/>
        </a:graphicData>
      </a:graphic>
    </xdr:graphicFrame>
    <xdr:clientData/>
  </xdr:twoCellAnchor>
  <xdr:twoCellAnchor editAs="oneCell">
    <xdr:from>
      <xdr:col>7</xdr:col>
      <xdr:colOff>0</xdr:colOff>
      <xdr:row>52</xdr:row>
      <xdr:rowOff>0</xdr:rowOff>
    </xdr:from>
    <xdr:to>
      <xdr:col>24</xdr:col>
      <xdr:colOff>0</xdr:colOff>
      <xdr:row>77</xdr:row>
      <xdr:rowOff>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r:id="rId3"/>
        </a:graphicData>
      </a:graphic>
    </xdr:graphicFrame>
    <xdr:clientData/>
  </xdr:twoCellAnchor>
  <xdr:twoCellAnchor editAs="oneCell">
    <xdr:from>
      <xdr:col>9</xdr:col>
      <xdr:colOff>0</xdr:colOff>
      <xdr:row>94</xdr:row>
      <xdr:rowOff>0</xdr:rowOff>
    </xdr:from>
    <xdr:to>
      <xdr:col>23</xdr:col>
      <xdr:colOff>0</xdr:colOff>
      <xdr:row>117</xdr:row>
      <xdr:rowOff>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r:id="rId4"/>
        </a:graphicData>
      </a:graphic>
    </xdr:graphicFrame>
    <xdr:clientData/>
  </xdr:twoCellAnchor>
  <xdr:twoCellAnchor editAs="oneCell">
    <xdr:from>
      <xdr:col>24</xdr:col>
      <xdr:colOff>0</xdr:colOff>
      <xdr:row>94</xdr:row>
      <xdr:rowOff>0</xdr:rowOff>
    </xdr:from>
    <xdr:to>
      <xdr:col>33</xdr:col>
      <xdr:colOff>0</xdr:colOff>
      <xdr:row>117</xdr:row>
      <xdr:rowOff>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createdVersion="6" refreshedVersion="6" minRefreshableVersion="3" recordCount="1363">
  <cacheSource type="worksheet">
    <worksheetSource name="PL"/>
  </cacheSource>
  <cacheFields count="17">
    <cacheField name="ITEM ID" numFmtId="0">
      <sharedItems count="1363">
        <s v="PHL-39058"/>
        <s v="PHL-39065"/>
        <s v="PHL-39082"/>
        <s v="PHL-39090"/>
        <s v="PHL-39096"/>
        <s v="PHL-39103"/>
        <s v="PHL-38984"/>
        <s v="PHL-38985"/>
        <s v="PHL-38988"/>
        <s v="PHL-38989"/>
        <s v="PHL-39059"/>
        <s v="PHL-39061"/>
        <s v="PHL-39063"/>
        <s v="PHL-39064"/>
        <s v="PHL-39083"/>
        <s v="PHL-39085"/>
        <s v="PHL-39801"/>
        <s v="PHL-39087"/>
        <s v="PHL-39089"/>
        <s v="PHL-39091"/>
        <s v="PHL-39093"/>
        <s v="PHL-39094"/>
        <s v="PHL-39097"/>
        <s v="PHL-39098"/>
        <s v="PHL-39100"/>
        <s v="PHL-39101"/>
        <s v="PHL-39506"/>
        <s v="PHL-39507"/>
        <s v="PHL-39508"/>
        <s v="PHL-39510"/>
        <s v="PHL-39511"/>
        <s v="PHL-39517"/>
        <s v="PHL-39519"/>
        <s v="PHL-39520"/>
        <s v="PHL-39521"/>
        <s v="PHL-39522"/>
        <s v="PHL-39523"/>
        <s v="PHL-39790"/>
        <s v="PHL-39791"/>
        <s v="PHL-39792"/>
        <s v="PHL-39794"/>
        <s v="PHL-39795"/>
        <s v="PHL-38986"/>
        <s v="PHL-39062"/>
        <s v="PHL-39086"/>
        <s v="PHL-39802"/>
        <s v="PHL-39803"/>
        <s v="PHL-39804"/>
        <s v="PHL-39805"/>
        <s v="PHL-39806"/>
        <s v="PHL-39088"/>
        <s v="PHL-39095"/>
        <s v="PHL-39102"/>
        <s v="PHL-39516"/>
        <s v="PHL-39518"/>
        <s v="PHL-39800"/>
        <s v="PHL-40869"/>
        <s v="PHL-41023"/>
        <s v="PHL-41024"/>
        <s v="PHL-41056"/>
        <s v="PHL-41064"/>
        <s v="PHL-41070"/>
        <s v="PHL-39080"/>
        <s v="PHL-39081"/>
        <s v="PHL-39066"/>
        <s v="PHL-39067"/>
        <s v="PHL-39068"/>
        <s v="PHL-39070"/>
        <s v="PHL-39071"/>
        <s v="PHL-39072"/>
        <s v="PHL-39073"/>
        <s v="PHL-39074"/>
        <s v="PHL-39075"/>
        <s v="PHL-39076"/>
        <s v="PHL-39078"/>
        <s v="PHL-39079"/>
        <s v="PHL-40532"/>
        <s v="PHL-40534"/>
        <s v="PHL-40535"/>
        <s v="PHL-40542"/>
        <s v="PHL-39069"/>
        <s v="PHL-39077"/>
        <s v="PHL-40533"/>
        <s v="PHL-40536"/>
        <s v="PHL-40537"/>
        <s v="PHL-40538"/>
        <s v="PHL-40539"/>
        <s v="PHL-40540"/>
        <s v="PHL-40541"/>
        <s v="PHL-40545"/>
        <s v="PHL-40546"/>
        <s v="PHL-40547"/>
        <s v="PHL-40548"/>
        <s v="PHL-40549"/>
        <s v="PHL-40550"/>
        <s v="PHL-40551"/>
        <s v="PHL-40552"/>
        <s v="PHL-40553"/>
        <s v="PHL-40554"/>
        <s v="PHL-40555"/>
        <s v="PHL-40556"/>
        <s v="PHL-40557"/>
        <s v="PHL-40558"/>
        <s v="PHL-40559"/>
        <s v="PHL-40560"/>
        <s v="PHL-40561"/>
        <s v="PHL-40562"/>
        <s v="PHL-40563"/>
        <s v="PHL-40564"/>
        <s v="PHL-40565"/>
        <s v="PHL-40566"/>
        <s v="PHL-40567"/>
        <s v="PHL-40568"/>
        <s v="PHL-40569"/>
        <s v="PHL-40570"/>
        <s v="PHL-40571"/>
        <s v="PHL-40572"/>
        <s v="PHL-40573"/>
        <s v="PHL-40574"/>
        <s v="PHL-40575"/>
        <s v="PHL-40576"/>
        <s v="PHL-40577"/>
        <s v="PHL-40578"/>
        <s v="PHL-40579"/>
        <s v="PHL-40580"/>
        <s v="PHL-40581"/>
        <s v="PHL-40582"/>
        <s v="PHL-40583"/>
        <s v="PHL-40584"/>
        <s v="PHL-40585"/>
        <s v="PHL-40586"/>
        <s v="PHL-40587"/>
        <s v="PHL-40543"/>
        <s v="PHL-40544"/>
        <s v="PHL-40727"/>
        <s v="PHL-40728"/>
        <s v="PHL-40729"/>
        <s v="PHL-41033"/>
        <s v="PHL-41042"/>
        <s v="PHL-41054"/>
        <s v="PHL-40588"/>
        <s v="PHL-40593"/>
        <s v="PHL-40597"/>
        <s v="PHL-40630"/>
        <s v="PHL-40646"/>
        <s v="PHL-40589"/>
        <s v="PHL-40590"/>
        <s v="PHL-40591"/>
        <s v="PHL-40592"/>
        <s v="PHL-40594"/>
        <s v="PHL-40595"/>
        <s v="PHL-40596"/>
        <s v="PHL-40598"/>
        <s v="PHL-40599"/>
        <s v="PHL-40601"/>
        <s v="PHL-40602"/>
        <s v="PHL-40603"/>
        <s v="PHL-40604"/>
        <s v="PHL-40605"/>
        <s v="PHL-40606"/>
        <s v="PHL-40607"/>
        <s v="PHL-40608"/>
        <s v="PHL-40609"/>
        <s v="PHL-40610"/>
        <s v="PHL-40611"/>
        <s v="PHL-40612"/>
        <s v="PHL-40613"/>
        <s v="PHL-40614"/>
        <s v="PHL-40615"/>
        <s v="PHL-40616"/>
        <s v="PHL-40617"/>
        <s v="PHL-40618"/>
        <s v="PHL-40619"/>
        <s v="PHL-40620"/>
        <s v="PHL-40621"/>
        <s v="PHL-40622"/>
        <s v="PHL-40623"/>
        <s v="PHL-40624"/>
        <s v="PHL-40625"/>
        <s v="PHL-40626"/>
        <s v="PHL-40627"/>
        <s v="PHL-40628"/>
        <s v="PHL-40629"/>
        <s v="PHL-40631"/>
        <s v="PHL-40632"/>
        <s v="PHL-40633"/>
        <s v="PHL-40634"/>
        <s v="PHL-40635"/>
        <s v="PHL-40636"/>
        <s v="PHL-40639"/>
        <s v="PHL-40640"/>
        <s v="PHL-40641"/>
        <s v="PHL-40642"/>
        <s v="PHL-40643"/>
        <s v="PHL-40644"/>
        <s v="PHL-40645"/>
        <s v="PHL-40647"/>
        <s v="PHL-40648"/>
        <s v="PHL-40600"/>
        <s v="PHL-40637"/>
        <s v="PHL-40638"/>
        <s v="PHL-40730"/>
        <s v="PHL-40731"/>
        <s v="PHL-40732"/>
        <s v="PHL-40733"/>
        <s v="PHL-40734"/>
        <s v="PHL-40735"/>
        <s v="PHL-40736"/>
        <s v="PHL-41043"/>
        <s v="PHL-40652"/>
        <s v="PHL-40655"/>
        <s v="PHL-40657"/>
        <s v="PHL-40661"/>
        <s v="PHL-40666"/>
        <s v="PHL-40649"/>
        <s v="PHL-40650"/>
        <s v="PHL-40651"/>
        <s v="PHL-40653"/>
        <s v="PHL-40654"/>
        <s v="PHL-40659"/>
        <s v="PHL-40660"/>
        <s v="PHL-40662"/>
        <s v="PHL-40668"/>
        <s v="PHL-40669"/>
        <s v="PHL-40671"/>
        <s v="PHL-40672"/>
        <s v="PHL-40675"/>
        <s v="PHL-40676"/>
        <s v="PHL-40677"/>
        <s v="PHL-40656"/>
        <s v="PHL-40679"/>
        <s v="PHL-40658"/>
        <s v="PHL-40663"/>
        <s v="PHL-40664"/>
        <s v="PHL-40665"/>
        <s v="PHL-40667"/>
        <s v="PHL-40670"/>
        <s v="PHL-40673"/>
        <s v="PHL-40674"/>
        <s v="PHL-40678"/>
        <s v="PHL-40680"/>
        <s v="PHL-40681"/>
        <s v="PHL-40682"/>
        <s v="PHL-40683"/>
        <s v="PHL-40737"/>
        <s v="PHL-40738"/>
        <s v="PHL-40739"/>
        <s v="PHL-40740"/>
        <s v="PHL-40741"/>
        <s v="PHL-40742"/>
        <s v="PHL-40743"/>
        <s v="PHL-40744"/>
        <s v="PHL-40745"/>
        <s v="PHL-40746"/>
        <s v="PHL-40747"/>
        <s v="PHL-40748"/>
        <s v="PHL-40749"/>
        <s v="PHL-40750"/>
        <s v="PHL-40751"/>
        <s v="PHL-40752"/>
        <s v="PHL-40753"/>
        <s v="PHL-40754"/>
        <s v="PHL-40755"/>
        <s v="PHL-40756"/>
        <s v="PHL-40757"/>
        <s v="PHL-40758"/>
        <s v="PHL-40759"/>
        <s v="PHL-40760"/>
        <s v="PHL-40761"/>
        <s v="PHL-40762"/>
        <s v="PHL-40763"/>
        <s v="PHL-40764"/>
        <s v="PHL-40765"/>
        <s v="PHL-40766"/>
        <s v="PHL-40767"/>
        <s v="PHL-40768"/>
        <s v="PHL-40769"/>
        <s v="PHL-40770"/>
        <s v="PHL-40771"/>
        <s v="PHL-40772"/>
        <s v="PHL-40773"/>
        <s v="PHL-40774"/>
        <s v="PHL-40775"/>
        <s v="PHL-40776"/>
        <s v="PHL-40777"/>
        <s v="PHL-40778"/>
        <s v="PHL-40779"/>
        <s v="PHL-40780"/>
        <s v="PHL-40781"/>
        <s v="PHL-40782"/>
        <s v="PHL-40783"/>
        <s v="PHL-40784"/>
        <s v="PHL-40785"/>
        <s v="PHL-40786"/>
        <s v="PHL-40787"/>
        <s v="PHL-40788"/>
        <s v="PHL-40789"/>
        <s v="PHL-40790"/>
        <s v="PHL-40791"/>
        <s v="PHL-40792"/>
        <s v="PHL-40793"/>
        <s v="PHL-40794"/>
        <s v="PHL-41067"/>
        <s v="PHL-40687"/>
        <s v="PHL-40688"/>
        <s v="PHL-40692"/>
        <s v="PHL-40693"/>
        <s v="PHL-40701"/>
        <s v="PHL-40702"/>
        <s v="PHL-40703"/>
        <s v="PHL-40711"/>
        <s v="PHL-40684"/>
        <s v="PHL-40685"/>
        <s v="PHL-40686"/>
        <s v="PHL-40689"/>
        <s v="PHL-40691"/>
        <s v="PHL-40694"/>
        <s v="PHL-40695"/>
        <s v="PHL-40696"/>
        <s v="PHL-40698"/>
        <s v="PHL-40700"/>
        <s v="PHL-40690"/>
        <s v="PHL-40704"/>
        <s v="PHL-40705"/>
        <s v="PHL-40706"/>
        <s v="PHL-40707"/>
        <s v="PHL-40708"/>
        <s v="PHL-40709"/>
        <s v="PHL-40710"/>
        <s v="PHL-40697"/>
        <s v="PHL-40699"/>
        <s v="PHL-40795"/>
        <s v="PHL-40796"/>
        <s v="PHL-40797"/>
        <s v="PHL-40798"/>
        <s v="PHL-40799"/>
        <s v="PHL-40800"/>
        <s v="PHL-40801"/>
        <s v="PHL-40802"/>
        <s v="PHL-41044"/>
        <s v="PHL-39060"/>
        <s v="PHL-39084"/>
        <s v="PHL-40217"/>
        <s v="PHL-40219"/>
        <s v="PHL-39092"/>
        <s v="PHL-40220"/>
        <s v="PHL-40235"/>
        <s v="PHL-39099"/>
        <s v="PHL-40258"/>
        <s v="PHL-40263"/>
        <s v="PHL-39512"/>
        <s v="PHL-39796"/>
        <s v="PHL-40192"/>
        <s v="PHL-40205"/>
        <s v="PHL-40206"/>
        <s v="PHL-40207"/>
        <s v="PHL-40208"/>
        <s v="PHL-40209"/>
        <s v="PHL-40210"/>
        <s v="PHL-40211"/>
        <s v="PHL-40212"/>
        <s v="PHL-40213"/>
        <s v="PHL-40214"/>
        <s v="PHL-40215"/>
        <s v="PHL-40216"/>
        <s v="PHL-40221"/>
        <s v="PHL-40222"/>
        <s v="PHL-40223"/>
        <s v="PHL-40224"/>
        <s v="PHL-40226"/>
        <s v="PHL-40228"/>
        <s v="PHL-40230"/>
        <s v="PHL-40231"/>
        <s v="PHL-40232"/>
        <s v="PHL-40233"/>
        <s v="PHL-40236"/>
        <s v="PHL-40237"/>
        <s v="PHL-40239"/>
        <s v="PHL-40240"/>
        <s v="PHL-40241"/>
        <s v="PHL-40242"/>
        <s v="PHL-40243"/>
        <s v="PHL-40244"/>
        <s v="PHL-40245"/>
        <s v="PHL-40246"/>
        <s v="PHL-40247"/>
        <s v="PHL-40248"/>
        <s v="PHL-40249"/>
        <s v="PHL-40250"/>
        <s v="PHL-40251"/>
        <s v="PHL-40252"/>
        <s v="PHL-40253"/>
        <s v="PHL-40254"/>
        <s v="PHL-40255"/>
        <s v="PHL-40256"/>
        <s v="PHL-40257"/>
        <s v="PHL-40259"/>
        <s v="PHL-40260"/>
        <s v="PHL-40261"/>
        <s v="PHL-40262"/>
        <s v="PHL-40264"/>
        <s v="PHL-40265"/>
        <s v="PHL-40266"/>
        <s v="PHL-40267"/>
        <s v="PHL-40268"/>
        <s v="PHL-40269"/>
        <s v="PHL-40270"/>
        <s v="PHL-40271"/>
        <s v="PHL-40272"/>
        <s v="PHL-40273"/>
        <s v="PHL-40218"/>
        <s v="PHL-40225"/>
        <s v="PHL-40227"/>
        <s v="PHL-40229"/>
        <s v="PHL-40234"/>
        <s v="PHL-40238"/>
        <s v="PHL-40456"/>
        <s v="PHL-40457"/>
        <s v="PHL-40458"/>
        <s v="PHL-40803"/>
        <s v="PHL-40804"/>
        <s v="PHL-40805"/>
        <s v="PHL-41034"/>
        <s v="PHL-41045"/>
        <s v="PHL-41061"/>
        <s v="PHL-41062"/>
        <s v="PHL-40193"/>
        <s v="PHL-40274"/>
        <s v="PHL-40275"/>
        <s v="PHL-40276"/>
        <s v="PHL-40279"/>
        <s v="PHL-40280"/>
        <s v="PHL-40281"/>
        <s v="PHL-40282"/>
        <s v="PHL-40284"/>
        <s v="PHL-40285"/>
        <s v="PHL-40286"/>
        <s v="PHL-40287"/>
        <s v="PHL-40290"/>
        <s v="PHL-40291"/>
        <s v="PHL-40292"/>
        <s v="PHL-40293"/>
        <s v="PHL-40294"/>
        <s v="PHL-40295"/>
        <s v="PHL-40296"/>
        <s v="PHL-40297"/>
        <s v="PHL-40298"/>
        <s v="PHL-40299"/>
        <s v="PHL-40300"/>
        <s v="PHL-40301"/>
        <s v="PHL-40303"/>
        <s v="PHL-40304"/>
        <s v="PHL-40307"/>
        <s v="PHL-40308"/>
        <s v="PHL-40309"/>
        <s v="PHL-40310"/>
        <s v="PHL-40311"/>
        <s v="PHL-40277"/>
        <s v="PHL-40278"/>
        <s v="PHL-40283"/>
        <s v="PHL-40459"/>
        <s v="PHL-40288"/>
        <s v="PHL-40289"/>
        <s v="PHL-40302"/>
        <s v="PHL-40305"/>
        <s v="PHL-40306"/>
        <s v="PHL-40806"/>
        <s v="PHL-40807"/>
        <s v="PHL-41035"/>
        <s v="PHL-41066"/>
        <s v="PHL-40329"/>
        <s v="PHL-40336"/>
        <s v="PHL-40344"/>
        <s v="PHL-39509"/>
        <s v="PHL-39793"/>
        <s v="PHL-40194"/>
        <s v="PHL-40316"/>
        <s v="PHL-40317"/>
        <s v="PHL-40318"/>
        <s v="PHL-40319"/>
        <s v="PHL-40320"/>
        <s v="PHL-40321"/>
        <s v="PHL-40322"/>
        <s v="PHL-40323"/>
        <s v="PHL-40325"/>
        <s v="PHL-40326"/>
        <s v="PHL-40330"/>
        <s v="PHL-40332"/>
        <s v="PHL-40333"/>
        <s v="PHL-40334"/>
        <s v="PHL-40335"/>
        <s v="PHL-40337"/>
        <s v="PHL-40338"/>
        <s v="PHL-40339"/>
        <s v="PHL-40340"/>
        <s v="PHL-40341"/>
        <s v="PHL-40342"/>
        <s v="PHL-40345"/>
        <s v="PHL-40346"/>
        <s v="PHL-40347"/>
        <s v="PHL-40348"/>
        <s v="PHL-40350"/>
        <s v="PHL-40351"/>
        <s v="PHL-40352"/>
        <s v="PHL-40353"/>
        <s v="PHL-40354"/>
        <s v="PHL-40355"/>
        <s v="PHL-40356"/>
        <s v="PHL-40357"/>
        <s v="PHL-40358"/>
        <s v="PHL-40359"/>
        <s v="PHL-40312"/>
        <s v="PHL-40313"/>
        <s v="PHL-40314"/>
        <s v="PHL-40315"/>
        <s v="PHL-40324"/>
        <s v="PHL-40327"/>
        <s v="PHL-40328"/>
        <s v="PHL-40331"/>
        <s v="PHL-40343"/>
        <s v="PHL-40349"/>
        <s v="PHL-40808"/>
        <s v="PHL-40809"/>
        <s v="PHL-40810"/>
        <s v="PHL-40811"/>
        <s v="PHL-40907"/>
        <s v="PHL-41036"/>
        <s v="PHL-41046"/>
        <s v="PHL-41059"/>
        <s v="PHL-40361"/>
        <s v="PHL-40364"/>
        <s v="PHL-40381"/>
        <s v="PHL-40386"/>
        <s v="PHL-40195"/>
        <s v="PHL-40360"/>
        <s v="PHL-40362"/>
        <s v="PHL-40363"/>
        <s v="PHL-40365"/>
        <s v="PHL-40366"/>
        <s v="PHL-40368"/>
        <s v="PHL-40370"/>
        <s v="PHL-40371"/>
        <s v="PHL-40372"/>
        <s v="PHL-40374"/>
        <s v="PHL-40375"/>
        <s v="PHL-40376"/>
        <s v="PHL-40377"/>
        <s v="PHL-40378"/>
        <s v="PHL-40379"/>
        <s v="PHL-40380"/>
        <s v="PHL-40383"/>
        <s v="PHL-40384"/>
        <s v="PHL-40385"/>
        <s v="PHL-40388"/>
        <s v="PHL-40389"/>
        <s v="PHL-40390"/>
        <s v="PHL-40391"/>
        <s v="PHL-40392"/>
        <s v="PHL-40393"/>
        <s v="PHL-40394"/>
        <s v="PHL-40395"/>
        <s v="PHL-40396"/>
        <s v="PHL-40397"/>
        <s v="PHL-40398"/>
        <s v="PHL-40399"/>
        <s v="PHL-40401"/>
        <s v="PHL-40402"/>
        <s v="PHL-40403"/>
        <s v="PHL-40404"/>
        <s v="PHL-40407"/>
        <s v="PHL-40408"/>
        <s v="PHL-40409"/>
        <s v="PHL-40410"/>
        <s v="PHL-40411"/>
        <s v="PHL-40412"/>
        <s v="PHL-40413"/>
        <s v="PHL-40414"/>
        <s v="PHL-40415"/>
        <s v="PHL-40416"/>
        <s v="PHL-40417"/>
        <s v="PHL-40418"/>
        <s v="PHL-40419"/>
        <s v="PHL-40420"/>
        <s v="PHL-40421"/>
        <s v="PHL-40422"/>
        <s v="PHL-40423"/>
        <s v="PHL-40367"/>
        <s v="PHL-40369"/>
        <s v="PHL-40373"/>
        <s v="PHL-40382"/>
        <s v="PHL-40387"/>
        <s v="PHL-40400"/>
        <s v="PHL-40405"/>
        <s v="PHL-40406"/>
        <s v="PHL-40812"/>
        <s v="PHL-40813"/>
        <s v="PHL-40814"/>
        <s v="PHL-40815"/>
        <s v="PHL-40816"/>
        <s v="PHL-41037"/>
        <s v="PHL-41047"/>
        <s v="PHL-38311"/>
        <s v="PHL-38312"/>
        <s v="PHL-38313"/>
        <s v="PHL-38314"/>
        <s v="PHL-38315"/>
        <s v="PHL-38316"/>
        <s v="PHL-38317"/>
        <s v="PHL-38318"/>
        <s v="PHL-38319"/>
        <s v="PHL-38320"/>
        <s v="PHL-38321"/>
        <s v="PHL-38322"/>
        <s v="PHL-38323"/>
        <s v="PHL-38324"/>
        <s v="PHL-38325"/>
        <s v="PHL-38326"/>
        <s v="PHL-38327"/>
        <s v="PHL-38328"/>
        <s v="PHL-38329"/>
        <s v="PHL-38330"/>
        <s v="PHL-38331"/>
        <s v="PHL-38332"/>
        <s v="PHL-38333"/>
        <s v="PHL-38334"/>
        <s v="PHL-38335"/>
        <s v="PHL-38336"/>
        <s v="PHL-38337"/>
        <s v="PHL-38338"/>
        <s v="PHL-38339"/>
        <s v="PHL-38340"/>
        <s v="PHL-38341"/>
        <s v="PHL-38342"/>
        <s v="PHL-38343"/>
        <s v="PHL-38344"/>
        <s v="PHL-38345"/>
        <s v="PHL-38346"/>
        <s v="PHL-38347"/>
        <s v="PHL-38348"/>
        <s v="PHL-38625"/>
        <s v="PHL-38626"/>
        <s v="PHL-38627"/>
        <s v="PHL-38628"/>
        <s v="PHL-39185"/>
        <s v="PHL-39186"/>
        <s v="PHL-39187"/>
        <s v="PHL-39188"/>
        <s v="PHL-40196"/>
        <s v="PHL-41038"/>
        <s v="PHL-41048"/>
        <s v="PHL-38811"/>
        <s v="PHL-38815"/>
        <s v="PHL-38825"/>
        <s v="PHL-38839"/>
        <s v="PHL-38843"/>
        <s v="PHL-38852"/>
        <s v="PHL-38854"/>
        <s v="PHL-38855"/>
        <s v="PHL-38805"/>
        <s v="PHL-38806"/>
        <s v="PHL-38807"/>
        <s v="PHL-38808"/>
        <s v="PHL-38809"/>
        <s v="PHL-38810"/>
        <s v="PHL-38856"/>
        <s v="PHL-38812"/>
        <s v="PHL-38813"/>
        <s v="PHL-38814"/>
        <s v="PHL-38876"/>
        <s v="PHL-38816"/>
        <s v="PHL-38817"/>
        <s v="PHL-38818"/>
        <s v="PHL-38819"/>
        <s v="PHL-38820"/>
        <s v="PHL-38821"/>
        <s v="PHL-38822"/>
        <s v="PHL-38823"/>
        <s v="PHL-38824"/>
        <s v="PHL-38893"/>
        <s v="PHL-38826"/>
        <s v="PHL-38827"/>
        <s v="PHL-38828"/>
        <s v="PHL-38829"/>
        <s v="PHL-38830"/>
        <s v="PHL-38831"/>
        <s v="PHL-38832"/>
        <s v="PHL-38834"/>
        <s v="PHL-38835"/>
        <s v="PHL-38836"/>
        <s v="PHL-38837"/>
        <s v="PHL-38838"/>
        <s v="PHL-38840"/>
        <s v="PHL-38841"/>
        <s v="PHL-38842"/>
        <s v="PHL-38844"/>
        <s v="PHL-38845"/>
        <s v="PHL-38846"/>
        <s v="PHL-38847"/>
        <s v="PHL-38848"/>
        <s v="PHL-38849"/>
        <s v="PHL-38850"/>
        <s v="PHL-38851"/>
        <s v="PHL-38853"/>
        <s v="PHL-38858"/>
        <s v="PHL-38859"/>
        <s v="PHL-38860"/>
        <s v="PHL-38861"/>
        <s v="PHL-38862"/>
        <s v="PHL-38863"/>
        <s v="PHL-38864"/>
        <s v="PHL-38865"/>
        <s v="PHL-38866"/>
        <s v="PHL-38867"/>
        <s v="PHL-38868"/>
        <s v="PHL-38869"/>
        <s v="PHL-38870"/>
        <s v="PHL-38871"/>
        <s v="PHL-38872"/>
        <s v="PHL-38873"/>
        <s v="PHL-38874"/>
        <s v="PHL-38875"/>
        <s v="PHL-38877"/>
        <s v="PHL-38879"/>
        <s v="PHL-38880"/>
        <s v="PHL-38881"/>
        <s v="PHL-38882"/>
        <s v="PHL-38883"/>
        <s v="PHL-38884"/>
        <s v="PHL-38885"/>
        <s v="PHL-38886"/>
        <s v="PHL-38887"/>
        <s v="PHL-38888"/>
        <s v="PHL-38889"/>
        <s v="PHL-38890"/>
        <s v="PHL-38891"/>
        <s v="PHL-38892"/>
        <s v="PHL-38894"/>
        <s v="PHL-38895"/>
        <s v="PHL-39170"/>
        <s v="PHL-39189"/>
        <s v="PHL-38833"/>
        <s v="PHL-38857"/>
        <s v="PHL-38878"/>
        <s v="PHL-40197"/>
        <s v="PHL-40460"/>
        <s v="PHL-40461"/>
        <s v="PHL-40462"/>
        <s v="PHL-40463"/>
        <s v="PHL-40817"/>
        <s v="PHL-40818"/>
        <s v="PHL-40819"/>
        <s v="PHL-41032"/>
        <s v="PHL-41039"/>
        <s v="PHL-41049"/>
        <s v="PHL-41057"/>
        <s v="PHL-41058"/>
        <s v="PHL-38637"/>
        <s v="PHL-38638"/>
        <s v="PHL-38639"/>
        <s v="PHL-38640"/>
        <s v="PHL-38641"/>
        <s v="PHL-38642"/>
        <s v="PHL-38643"/>
        <s v="PHL-38644"/>
        <s v="PHL-38645"/>
        <s v="PHL-38646"/>
        <s v="PHL-38647"/>
        <s v="PHL-38648"/>
        <s v="PHL-38649"/>
        <s v="PHL-38676"/>
        <s v="PHL-38651"/>
        <s v="PHL-38652"/>
        <s v="PHL-38653"/>
        <s v="PHL-38654"/>
        <s v="PHL-38655"/>
        <s v="PHL-38656"/>
        <s v="PHL-38657"/>
        <s v="PHL-38658"/>
        <s v="PHL-38659"/>
        <s v="PHL-38660"/>
        <s v="PHL-38661"/>
        <s v="PHL-38662"/>
        <s v="PHL-38663"/>
        <s v="PHL-38664"/>
        <s v="PHL-38665"/>
        <s v="PHL-38666"/>
        <s v="PHL-38667"/>
        <s v="PHL-38668"/>
        <s v="PHL-38669"/>
        <s v="PHL-38670"/>
        <s v="PHL-38671"/>
        <s v="PHL-38672"/>
        <s v="PHL-38673"/>
        <s v="PHL-38677"/>
        <s v="PHL-38675"/>
        <s v="PHL-38681"/>
        <s v="PHL-38688"/>
        <s v="PHL-38678"/>
        <s v="PHL-38679"/>
        <s v="PHL-38680"/>
        <s v="PHL-38693"/>
        <s v="PHL-38682"/>
        <s v="PHL-38683"/>
        <s v="PHL-38684"/>
        <s v="PHL-38685"/>
        <s v="PHL-38686"/>
        <s v="PHL-38694"/>
        <s v="PHL-38696"/>
        <s v="PHL-38689"/>
        <s v="PHL-38690"/>
        <s v="PHL-38691"/>
        <s v="PHL-38692"/>
        <s v="PHL-38701"/>
        <s v="PHL-38697"/>
        <s v="PHL-38698"/>
        <s v="PHL-38699"/>
        <s v="PHL-38700"/>
        <s v="PHL-38702"/>
        <s v="PHL-38703"/>
        <s v="PHL-38704"/>
        <s v="PHL-38705"/>
        <s v="PHL-38706"/>
        <s v="PHL-38707"/>
        <s v="PHL-38708"/>
        <s v="PHL-38709"/>
        <s v="PHL-38710"/>
        <s v="PHL-38711"/>
        <s v="PHL-38712"/>
        <s v="PHL-38713"/>
        <s v="PHL-38714"/>
        <s v="PHL-38715"/>
        <s v="PHL-38716"/>
        <s v="PHL-38717"/>
        <s v="PHL-38718"/>
        <s v="PHL-38719"/>
        <s v="PHL-38720"/>
        <s v="PHL-38721"/>
        <s v="PHL-39171"/>
        <s v="PHL-39190"/>
        <s v="PHL-39191"/>
        <s v="PHL-39192"/>
        <s v="PHL-38650"/>
        <s v="PHL-38674"/>
        <s v="PHL-38687"/>
        <s v="PHL-38695"/>
        <s v="PHL-40101"/>
        <s v="PHL-40198"/>
        <s v="PHL-40100"/>
        <s v="PHL-41028"/>
        <s v="PHL-41029"/>
        <s v="PHL-41030"/>
        <s v="PHL-41031"/>
        <s v="PHL-41040"/>
        <s v="PHL-41050"/>
        <s v="PHL-41072"/>
        <s v="PHL-38778"/>
        <s v="PHL-38722"/>
        <s v="PHL-38723"/>
        <s v="PHL-38724"/>
        <s v="PHL-38725"/>
        <s v="PHL-38726"/>
        <s v="PHL-38727"/>
        <s v="PHL-38728"/>
        <s v="PHL-38729"/>
        <s v="PHL-38730"/>
        <s v="PHL-38731"/>
        <s v="PHL-38732"/>
        <s v="PHL-38733"/>
        <s v="PHL-38734"/>
        <s v="PHL-38735"/>
        <s v="PHL-38736"/>
        <s v="PHL-38737"/>
        <s v="PHL-38738"/>
        <s v="PHL-38739"/>
        <s v="PHL-38740"/>
        <s v="PHL-38741"/>
        <s v="PHL-38742"/>
        <s v="PHL-38743"/>
        <s v="PHL-38744"/>
        <s v="PHL-38745"/>
        <s v="PHL-38746"/>
        <s v="PHL-38747"/>
        <s v="PHL-38748"/>
        <s v="PHL-38749"/>
        <s v="PHL-38750"/>
        <s v="PHL-38751"/>
        <s v="PHL-38752"/>
        <s v="PHL-38753"/>
        <s v="PHL-38754"/>
        <s v="PHL-38755"/>
        <s v="PHL-38756"/>
        <s v="PHL-38757"/>
        <s v="PHL-38758"/>
        <s v="PHL-38759"/>
        <s v="PHL-38760"/>
        <s v="PHL-38761"/>
        <s v="PHL-38762"/>
        <s v="PHL-38763"/>
        <s v="PHL-38765"/>
        <s v="PHL-38766"/>
        <s v="PHL-38767"/>
        <s v="PHL-38768"/>
        <s v="PHL-38770"/>
        <s v="PHL-38771"/>
        <s v="PHL-38772"/>
        <s v="PHL-38773"/>
        <s v="PHL-38774"/>
        <s v="PHL-38775"/>
        <s v="PHL-38776"/>
        <s v="PHL-38777"/>
        <s v="PHL-38779"/>
        <s v="PHL-38780"/>
        <s v="PHL-38781"/>
        <s v="PHL-38782"/>
        <s v="PHL-38783"/>
        <s v="PHL-38784"/>
        <s v="PHL-38786"/>
        <s v="PHL-38787"/>
        <s v="PHL-38788"/>
        <s v="PHL-38789"/>
        <s v="PHL-38790"/>
        <s v="PHL-38791"/>
        <s v="PHL-38792"/>
        <s v="PHL-38793"/>
        <s v="PHL-38794"/>
        <s v="PHL-38795"/>
        <s v="PHL-38796"/>
        <s v="PHL-38797"/>
        <s v="PHL-38799"/>
        <s v="PHL-38800"/>
        <s v="PHL-38801"/>
        <s v="PHL-38802"/>
        <s v="PHL-38803"/>
        <s v="PHL-38804"/>
        <s v="PHL-39172"/>
        <s v="PHL-39193"/>
        <s v="PHL-39194"/>
        <s v="PHL-39195"/>
        <s v="PHL-38764"/>
        <s v="PHL-38769"/>
        <s v="PHL-38785"/>
        <s v="PHL-38798"/>
        <s v="PHL-40199"/>
        <s v="PHL-40820"/>
        <s v="PHL-40821"/>
        <s v="PHL-40822"/>
        <s v="PHL-40823"/>
        <s v="PHL-40824"/>
        <s v="PHL-40825"/>
        <s v="PHL-40826"/>
        <s v="PHL-40827"/>
        <s v="PHL-40828"/>
        <s v="PHL-41041"/>
        <s v="PHL-41051"/>
        <s v="PHL-39216"/>
        <s v="PHL-39229"/>
        <s v="PHL-39240"/>
        <s v="PHL-39241"/>
        <s v="PHL-39515"/>
        <s v="PHL-39196"/>
        <s v="PHL-39197"/>
        <s v="PHL-39198"/>
        <s v="PHL-39199"/>
        <s v="PHL-39200"/>
        <s v="PHL-39201"/>
        <s v="PHL-39202"/>
        <s v="PHL-39203"/>
        <s v="PHL-39204"/>
        <s v="PHL-39205"/>
        <s v="PHL-39206"/>
        <s v="PHL-39207"/>
        <s v="PHL-39208"/>
        <s v="PHL-39209"/>
        <s v="PHL-39210"/>
        <s v="PHL-39211"/>
        <s v="PHL-39212"/>
        <s v="PHL-39213"/>
        <s v="PHL-39214"/>
        <s v="PHL-39217"/>
        <s v="PHL-39218"/>
        <s v="PHL-39219"/>
        <s v="PHL-39220"/>
        <s v="PHL-39222"/>
        <s v="PHL-39223"/>
        <s v="PHL-39224"/>
        <s v="PHL-39225"/>
        <s v="PHL-39226"/>
        <s v="PHL-39227"/>
        <s v="PHL-39228"/>
        <s v="PHL-39233"/>
        <s v="PHL-39234"/>
        <s v="PHL-39235"/>
        <s v="PHL-39236"/>
        <s v="PHL-39237"/>
        <s v="PHL-39238"/>
        <s v="PHL-39239"/>
        <s v="PHL-39242"/>
        <s v="PHL-39243"/>
        <s v="PHL-39244"/>
        <s v="PHL-39245"/>
        <s v="PHL-39246"/>
        <s v="PHL-39247"/>
        <s v="PHL-39248"/>
        <s v="PHL-39249"/>
        <s v="PHL-39250"/>
        <s v="PHL-39251"/>
        <s v="PHL-39252"/>
        <s v="PHL-39924"/>
        <s v="PHL-39925"/>
        <s v="PHL-39926"/>
        <s v="PHL-39927"/>
        <s v="PHL-39928"/>
        <s v="PHL-39929"/>
        <s v="PHL-39930"/>
        <s v="PHL-39931"/>
        <s v="PHL-39932"/>
        <s v="PHL-39933"/>
        <s v="PHL-39934"/>
        <s v="PHL-39935"/>
        <s v="PHL-39936"/>
        <s v="PHL-39937"/>
        <s v="PHL-39938"/>
        <s v="PHL-39939"/>
        <s v="PHL-39940"/>
        <s v="PHL-39941"/>
        <s v="PHL-39942"/>
        <s v="PHL-39943"/>
        <s v="PHL-39944"/>
        <s v="PHL-39945"/>
        <s v="PHL-39946"/>
        <s v="PHL-39947"/>
        <s v="PHL-39948"/>
        <s v="PHL-39949"/>
        <s v="PHL-39950"/>
        <s v="PHL-39951"/>
        <s v="PHL-39952"/>
        <s v="PHL-39953"/>
        <s v="PHL-39954"/>
        <s v="PHL-39955"/>
        <s v="PHL-39956"/>
        <s v="PHL-39957"/>
        <s v="PHL-39958"/>
        <s v="PHL-39959"/>
        <s v="PHL-39960"/>
        <s v="PHL-39961"/>
        <s v="PHL-39962"/>
        <s v="PHL-39963"/>
        <s v="PHL-39964"/>
        <s v="PHL-39965"/>
        <s v="PHL-39966"/>
        <s v="PHL-39967"/>
        <s v="PHL-39968"/>
        <s v="PHL-39969"/>
        <s v="PHL-39970"/>
        <s v="PHL-39971"/>
        <s v="PHL-39972"/>
        <s v="PHL-39973"/>
        <s v="PHL-39974"/>
        <s v="PHL-39975"/>
        <s v="PHL-39976"/>
        <s v="PHL-39977"/>
        <s v="PHL-40171"/>
        <s v="PHL-40172"/>
        <s v="PHL-40173"/>
        <s v="PHL-40174"/>
        <s v="PHL-40175"/>
        <s v="PHL-40176"/>
        <s v="PHL-40200"/>
        <s v="PHL-39215"/>
        <s v="PHL-39221"/>
        <s v="PHL-39230"/>
        <s v="PHL-39231"/>
        <s v="PHL-39232"/>
        <s v="PHL-39513"/>
        <s v="PHL-39514"/>
        <s v="PHL-39797"/>
        <s v="PHL-39798"/>
        <s v="PHL-39799"/>
        <s v="PHL-40829"/>
        <s v="PHL-40830"/>
        <s v="PHL-40831"/>
        <s v="PHL-41025"/>
        <s v="PHL-41026"/>
        <s v="PHL-41065"/>
        <s v="PHL-39283"/>
        <s v="PHL-39285"/>
        <s v="PHL-39292"/>
        <s v="PHL-39253"/>
        <s v="PHL-39254"/>
        <s v="PHL-39255"/>
        <s v="PHL-39256"/>
        <s v="PHL-39257"/>
        <s v="PHL-39258"/>
        <s v="PHL-39259"/>
        <s v="PHL-39260"/>
        <s v="PHL-39261"/>
        <s v="PHL-39262"/>
        <s v="PHL-39263"/>
        <s v="PHL-39264"/>
        <s v="PHL-39266"/>
        <s v="PHL-39267"/>
        <s v="PHL-39268"/>
        <s v="PHL-39269"/>
        <s v="PHL-39270"/>
        <s v="PHL-39272"/>
        <s v="PHL-39273"/>
        <s v="PHL-39274"/>
        <s v="PHL-39275"/>
        <s v="PHL-39276"/>
        <s v="PHL-39277"/>
        <s v="PHL-39278"/>
        <s v="PHL-39279"/>
        <s v="PHL-39280"/>
        <s v="PHL-39281"/>
        <s v="PHL-39282"/>
        <s v="PHL-39284"/>
        <s v="PHL-39286"/>
        <s v="PHL-39287"/>
        <s v="PHL-39288"/>
        <s v="PHL-39289"/>
        <s v="PHL-39290"/>
        <s v="PHL-39291"/>
        <s v="PHL-39293"/>
        <s v="PHL-39294"/>
        <s v="PHL-39295"/>
        <s v="PHL-39296"/>
        <s v="PHL-39297"/>
        <s v="PHL-39298"/>
        <s v="PHL-39299"/>
        <s v="PHL-39300"/>
        <s v="PHL-39301"/>
        <s v="PHL-39302"/>
        <s v="PHL-39303"/>
        <s v="PHL-39304"/>
        <s v="PHL-39305"/>
        <s v="PHL-39306"/>
        <s v="PHL-39307"/>
        <s v="PHL-39308"/>
        <s v="PHL-39310"/>
        <s v="PHL-39312"/>
        <s v="PHL-39313"/>
        <s v="PHL-39314"/>
        <s v="PHL-39315"/>
        <s v="PHL-39316"/>
        <s v="PHL-39317"/>
        <s v="PHL-39318"/>
        <s v="PHL-39319"/>
        <s v="PHL-39320"/>
        <s v="PHL-39321"/>
        <s v="PHL-39322"/>
        <s v="PHL-39323"/>
        <s v="PHL-39324"/>
        <s v="PHL-39325"/>
        <s v="PHL-39978"/>
        <s v="PHL-39979"/>
        <s v="PHL-39980"/>
        <s v="PHL-39981"/>
        <s v="PHL-39982"/>
        <s v="PHL-39983"/>
        <s v="PHL-39984"/>
        <s v="PHL-39985"/>
        <s v="PHL-39986"/>
        <s v="PHL-39987"/>
        <s v="PHL-39988"/>
        <s v="PHL-39989"/>
        <s v="PHL-39990"/>
        <s v="PHL-39991"/>
        <s v="PHL-39992"/>
        <s v="PHL-39993"/>
        <s v="PHL-39994"/>
        <s v="PHL-39995"/>
        <s v="PHL-39996"/>
        <s v="PHL-39997"/>
        <s v="PHL-39998"/>
        <s v="PHL-39999"/>
        <s v="PHL-40000"/>
        <s v="PHL-40001"/>
        <s v="PHL-40002"/>
        <s v="PHL-40003"/>
        <s v="PHL-40004"/>
        <s v="PHL-40005"/>
        <s v="PHL-40006"/>
        <s v="PHL-40007"/>
        <s v="PHL-40008"/>
        <s v="PHL-40009"/>
        <s v="PHL-40010"/>
        <s v="PHL-40011"/>
        <s v="PHL-40012"/>
        <s v="PHL-40013"/>
        <s v="PHL-40014"/>
        <s v="PHL-40015"/>
        <s v="PHL-40016"/>
        <s v="PHL-40017"/>
        <s v="PHL-40018"/>
        <s v="PHL-40019"/>
        <s v="PHL-40020"/>
        <s v="PHL-40021"/>
        <s v="PHL-40022"/>
        <s v="PHL-40023"/>
        <s v="PHL-40024"/>
        <s v="PHL-40025"/>
        <s v="PHL-40026"/>
        <s v="PHL-40027"/>
        <s v="PHL-40028"/>
        <s v="PHL-40029"/>
        <s v="PHL-40030"/>
        <s v="PHL-40031"/>
        <s v="PHL-40032"/>
        <s v="PHL-40033"/>
        <s v="PHL-40034"/>
        <s v="PHL-40035"/>
        <s v="PHL-40036"/>
        <s v="PHL-40037"/>
        <s v="PHL-40038"/>
        <s v="PHL-40039"/>
        <s v="PHL-40040"/>
        <s v="PHL-40041"/>
        <s v="PHL-40042"/>
        <s v="PHL-40043"/>
        <s v="PHL-40044"/>
        <s v="PHL-40045"/>
        <s v="PHL-40046"/>
        <s v="PHL-40047"/>
        <s v="PHL-40048"/>
        <s v="PHL-40049"/>
        <s v="PHL-40050"/>
        <s v="PHL-40051"/>
        <s v="PHL-40178"/>
        <s v="PHL-40179"/>
        <s v="PHL-40180"/>
        <s v="PHL-40201"/>
        <s v="PHL-39265"/>
        <s v="PHL-39271"/>
        <s v="PHL-39309"/>
        <s v="PHL-39311"/>
        <s v="PHL-40464"/>
        <s v="PHL-40832"/>
        <s v="PHL-40833"/>
        <s v="PHL-40834"/>
        <s v="PHL-40835"/>
        <s v="PHL-40836"/>
        <s v="PHL-40837"/>
        <s v="PHL-40838"/>
        <s v="PHL-40839"/>
        <s v="PHL-40840"/>
        <s v="PHL-41027"/>
        <s v="PHL-41052"/>
        <s v="PHL-41068"/>
        <s v="PHL-41069"/>
        <s v="PHL-41071"/>
        <s v="PHL-39453"/>
        <s v="PHL-39454"/>
        <s v="PHL-39480"/>
        <s v="PHL-39481"/>
        <s v="PHL-39447"/>
        <s v="PHL-39448"/>
        <s v="PHL-39449"/>
        <s v="PHL-39450"/>
        <s v="PHL-39452"/>
        <s v="PHL-39460"/>
        <s v="PHL-39462"/>
        <s v="PHL-39463"/>
        <s v="PHL-39464"/>
        <s v="PHL-39467"/>
        <s v="PHL-39468"/>
        <s v="PHL-39469"/>
        <s v="PHL-39470"/>
        <s v="PHL-39471"/>
        <s v="PHL-39473"/>
        <s v="PHL-39474"/>
        <s v="PHL-39475"/>
        <s v="PHL-39476"/>
        <s v="PHL-39477"/>
        <s v="PHL-39478"/>
        <s v="PHL-39482"/>
        <s v="PHL-39488"/>
        <s v="PHL-40052"/>
        <s v="PHL-40053"/>
        <s v="PHL-40054"/>
        <s v="PHL-40055"/>
        <s v="PHL-40056"/>
        <s v="PHL-40057"/>
        <s v="PHL-40058"/>
        <s v="PHL-40059"/>
        <s v="PHL-40060"/>
        <s v="PHL-40061"/>
        <s v="PHL-40062"/>
        <s v="PHL-40063"/>
        <s v="PHL-40064"/>
        <s v="PHL-40065"/>
        <s v="PHL-40066"/>
        <s v="PHL-40067"/>
        <s v="PHL-40068"/>
        <s v="PHL-40069"/>
        <s v="PHL-40070"/>
        <s v="PHL-40071"/>
        <s v="PHL-40072"/>
        <s v="PHL-40073"/>
        <s v="PHL-40074"/>
        <s v="PHL-40075"/>
        <s v="PHL-40076"/>
        <s v="PHL-40077"/>
        <s v="PHL-40078"/>
        <s v="PHL-40079"/>
        <s v="PHL-40080"/>
        <s v="PHL-40081"/>
        <s v="PHL-40082"/>
        <s v="PHL-40083"/>
        <s v="PHL-40084"/>
        <s v="PHL-40085"/>
        <s v="PHL-40086"/>
        <s v="PHL-40087"/>
        <s v="PHL-40088"/>
        <s v="PHL-40089"/>
        <s v="PHL-40090"/>
        <s v="PHL-40091"/>
        <s v="PHL-40092"/>
        <s v="PHL-40093"/>
        <s v="PHL-40094"/>
        <s v="PHL-40095"/>
        <s v="PHL-40189"/>
        <s v="PHL-40190"/>
        <s v="PHL-40191"/>
        <s v="PHL-40202"/>
        <s v="PHL-39451"/>
        <s v="PHL-39455"/>
        <s v="PHL-39456"/>
        <s v="PHL-39457"/>
        <s v="PHL-39458"/>
        <s v="PHL-39459"/>
        <s v="PHL-39461"/>
        <s v="PHL-39465"/>
        <s v="PHL-39466"/>
        <s v="PHL-39472"/>
        <s v="PHL-39479"/>
        <s v="PHL-39483"/>
        <s v="PHL-39484"/>
        <s v="PHL-39485"/>
        <s v="PHL-39486"/>
        <s v="PHL-39487"/>
        <s v="PHL-40465"/>
        <s v="PHL-40841"/>
        <s v="PHL-40842"/>
        <s v="PHL-40843"/>
        <s v="PHL-40844"/>
        <s v="PHL-41053"/>
        <s v="PHL-41060"/>
        <s v="PHL-41063"/>
        <s v="PHL-40713"/>
        <s v="PHL-40712"/>
        <s v="PHL-40714"/>
        <s v="PHL-40715"/>
        <s v="PHL-40716"/>
        <s v="PHL-40717"/>
        <s v="PHL-40718"/>
        <s v="PHL-40719"/>
        <s v="PHL-40720"/>
        <s v="PHL-40721"/>
        <s v="PHL-40723"/>
        <s v="PHL-40722"/>
        <s v="PHL-40724"/>
        <s v="PHL-40725"/>
        <s v="PHL-40726"/>
      </sharedItems>
    </cacheField>
    <cacheField name="PART" numFmtId="0">
      <sharedItems count="15">
        <s v="Cables"/>
        <s v="Fiber optic"/>
        <s v="LV/MV Cabin Others"/>
        <s v="Trenches and Cable Way"/>
        <s v="LV/MV Transformation Cabin"/>
        <s v="Others"/>
        <s v="PV Tracker system"/>
        <s v="LV/MV  Cabin for string inverter Assembly"/>
        <s v="Security System"/>
        <s v="Roads"/>
        <s v="String Inverter"/>
        <s v="LV/MV Transformation Cabin Others"/>
        <s v="Earthing system"/>
        <s v="Drainage System"/>
        <s v="Earthworks"/>
      </sharedItems>
    </cacheField>
    <cacheField name="CTO" numFmtId="0">
      <sharedItems containsMixedTypes="1" containsNumber="1" containsInteger="1" minValue="5" maxValue="10" count="7">
        <s v="CAJAS"/>
        <s v="GENERAL"/>
        <n v="5"/>
        <n v="8"/>
        <n v="9"/>
        <n v="10"/>
        <s v="SOCIAL"/>
      </sharedItems>
    </cacheField>
    <cacheField name="SC" numFmtId="0">
      <sharedItems count="18">
        <s v="CAJAS"/>
        <s v="GENERAL"/>
        <s v="SC20"/>
        <s v="SC21"/>
        <s v="SC22"/>
        <s v="SC23"/>
        <s v="SC24"/>
        <s v="SC25"/>
        <s v="SC26"/>
        <s v="SC27"/>
        <s v="SC28"/>
        <s v="SC29"/>
        <s v="SC30"/>
        <s v="SC31"/>
        <s v="SC32"/>
        <s v="SC33"/>
        <s v="SC34"/>
        <s v="SOCIAL"/>
      </sharedItems>
    </cacheField>
    <cacheField name="FUNCTIONAL_PART" numFmtId="0">
      <sharedItems containsBlank="1" count="712">
        <s v="Caja de empalme continua a la ITS24"/>
        <s v="caja de paso de la OC5 costado Sur de los CTOS 8-9-10 :"/>
        <s v="Caja de paso del costado norte de la OC5 de los CTOS 8-9-10"/>
        <s v="Caja de paso del costado norte de la OC5 de los CTOS 8-9-16"/>
        <s v="Caja de Empalme Sectioning Pit Cto 09 Lewis 6-13"/>
        <s v="Caja de Empalme Sectioning Pit Cto 09 Suc 20"/>
        <s v="Caja de Empalme Sectioning Pit Cto 09 Suc 21"/>
        <s v="Caja de Fusión FO Ctos (5-9) OC 9"/>
        <s v="Caja de Fusión FO Ctos (5-9) OC 10"/>
        <s v="CTO10_MT_145"/>
        <s v="Caja de paso del costado norte de la OC5 de los CTOS 8-9-11"/>
        <s v="Caja de paso del costado norte de la OC5 de los CTOS 8-9-13"/>
        <s v="Caja de paso del costado norte de la OC5 de los CTOS 8-9-14"/>
        <s v="Caja de Empalme Sectioning Pit Cto 09 Lewis 6-7"/>
        <s v="Caja de Empalme Sectioning Pit Cto 09 Lewis 6-8"/>
        <s v="Caja de Empalme Sectioning Pit Cto 09 Lewis 6-10"/>
        <s v="Caja de Empalme Sectioning Pit Cto 09 Lewis 6-11"/>
        <s v="MT CTO10_ (123) -Cajas de paso OC1 costado norte y sur:"/>
        <s v="MT CTO10_ (126)Cajas de paso OC1 costado norte y sur:"/>
        <s v="MT CTO10_(127)-Cajas de paso OC1 costado norte y sur:"/>
        <s v="MT CTO10_(131)Caja empalme Promigas 5 costado sur:"/>
        <s v="MT CTO10_(134)Caja de paso Promigas 5 costado norte"/>
        <s v="MT CTO10_(145)Caja de Empalme Sectioning Pit Cto 10 Lewis 6-7"/>
        <s v="MT CTO10_(148)Caja de Empalme Sectioning Pit Cto 10 Lewis 6-7"/>
        <s v="MT CTO10_(149)Caja de Empalme Sectioning Pit Cto 10 Lewis 6-7"/>
        <s v="MT CTO_(150)Caja de Empalme Sectioning Pit Cto 10 Lewis 6-7"/>
        <s v="MT CTO_(155)Caja de Empalme Sectioning Pit Cto 10 Lewis 6-7 -Norte"/>
        <s v="MT CTO10_(156)Caja de Empalme Sectioning Pit Cto 10 Lewis 6-7 -Norte"/>
        <s v="CTO10_MT_123"/>
        <s v="CTO10_MT_126"/>
        <s v="CTO10_MT_127"/>
        <s v="CTO10_MT_131"/>
        <s v="CTO10_MT_134"/>
        <s v="Caja de Empalme Sectioning Pit Cto 09 Suc 22"/>
        <s v="CTO10_MT_146"/>
        <s v="CTO10_MT_149"/>
        <s v="CTO10_MT_150"/>
        <s v="CTO10_MT_155"/>
        <s v="CTO10_MT_156"/>
        <s v="Caja de paso del costado norte de la OC5 de los CTOS 8-9-15"/>
        <s v="Caja de Empalme Sectioning Pit Cto 09 Lewis 6-12"/>
        <s v="MT CTO10_(143)Caja de Empalme Sectioning Pit Cto 10 Lewis 6-7"/>
        <s v="MT CTO10_(146)Caja de Empalme Sectioning Pit Cto 10 Lewis 6-7"/>
        <s v="CTO10_MT_143"/>
        <m/>
        <s v="Caja de empalme del CTO9 del SC20 en el cruce de promigas PR5 costado Sur"/>
        <s v="Caja de paso de MT de los circuitos 8-9-10 del SC20 (cruce PR5)"/>
        <s v="TRINA"/>
        <s v="Caja de paso del costado norte de la OC5 de los CTOS 8-9-12"/>
        <s v="Caja de Empalme Sectioning Pit Cto 09 Lewis 6-9"/>
        <s v="MT CTO10_(138)Caja de empalme cxto 10 SC24"/>
        <s v="CTO10_MT_138"/>
        <s v="MT CTO10_(129)Caja empalme cxto 10 SC26"/>
        <s v="CTO10_MT_129"/>
        <s v="SC28_(26)"/>
        <s v="SC28_(38)"/>
        <s v="SC28_(39)"/>
        <s v="SC28_(40)"/>
        <s v="SC28_(57)"/>
        <s v="SC28_(59)"/>
        <s v="SC28_(67)"/>
        <s v="SC28_(77)"/>
        <s v="SC28_(95)"/>
        <s v="SC28_(96)"/>
        <s v="SC28_(33)"/>
        <s v="SC28_(35)"/>
        <s v="SC28_(36)"/>
        <s v="SC28_(37)"/>
        <s v="SC28_(41)"/>
        <s v="SC28_(42)"/>
        <s v="SC28_(45)"/>
        <s v="SC28_(48)"/>
        <s v="SC28_(49)"/>
        <s v="SC28_(52)"/>
        <s v="SC28_(54)"/>
        <s v="SC28_(65)"/>
        <s v="SC28_(68)"/>
        <s v="SC28_(69)"/>
        <s v="SC28_(71)"/>
        <s v="SC28_(74)"/>
        <s v="SC28_(78)"/>
        <s v="SC28_(79)"/>
        <s v="SC28_(80)"/>
        <s v="SC28_(81)"/>
        <s v="SC28_(82)"/>
        <s v="SC28_(83)"/>
        <s v="SC28_(84)"/>
        <s v="SC28_(85)"/>
        <s v="SC28_(87)"/>
        <s v="SC28_(88)"/>
        <s v="SC28_(89)"/>
        <s v="SC28_(91)"/>
        <s v="SC28_(58)"/>
        <s v="SC28_(92)"/>
        <s v="SC28_(93)"/>
        <s v="SC28_(94)"/>
        <s v="SC28_COMM"/>
        <s v="SC29_(25)"/>
        <s v="SC29_(31)"/>
        <s v="SC29_(43)"/>
        <s v="SC29_(57)"/>
        <s v="SC29_(62)"/>
        <s v="SC29_(72)"/>
        <s v="SC29_(75)"/>
        <s v="SC29_(76)"/>
        <s v="SC29_(18)"/>
        <s v="SC29_(20)"/>
        <s v="SC29_(21)"/>
        <s v="SC29_(22)"/>
        <s v="SC29_(23)"/>
        <s v="SC29_(24)"/>
        <s v="SC29_(77)"/>
        <s v="SC29_(27)"/>
        <s v="SC29_(29)"/>
        <s v="SC29_(30)"/>
        <s v="SC29_(97)"/>
        <s v="SC29_(33)"/>
        <s v="SC29_(35)"/>
        <s v="SC29_(36)"/>
        <s v="SC29_(37)"/>
        <s v="SC29_(38)"/>
        <s v="SC29_(39)"/>
        <s v="SC29_(40)"/>
        <s v="SC29_(41)"/>
        <s v="SC29_(42)"/>
        <s v="SC29_(115)"/>
        <s v="SC29_(44)"/>
        <s v="SC29_(45)"/>
        <s v="SC29_(46)"/>
        <s v="SC29_(47)"/>
        <s v="SC29_(48)"/>
        <s v="SC29_(49)"/>
        <s v="SC29_(50)"/>
        <s v="SC29_(52)"/>
        <s v="SC29_(53)"/>
        <s v="SC29_(54)"/>
        <s v="SC29_(55)"/>
        <s v="SC29_(56)"/>
        <s v="SC29_(58)"/>
        <s v="SC29_(59)"/>
        <s v="SC29_(60)"/>
        <s v="SC29_(63)"/>
        <s v="SC29_(64)"/>
        <s v="SC29_(65)"/>
        <s v="SC29_(66)"/>
        <s v="SC29_(67)"/>
        <s v="SC29_(69)"/>
        <s v="SC29_(70)"/>
        <s v="SC29_(71)"/>
        <s v="SC29_(74)"/>
        <s v="SC29_(79)"/>
        <s v="SC29_(80)"/>
        <s v="SC29_(81)"/>
        <s v="SC29_(82)"/>
        <s v="SC29_(83)"/>
        <s v="SC29_(84)"/>
        <s v="SC29_(85)"/>
        <s v="SC29_(86)"/>
        <s v="SC29_(87)"/>
        <s v="SC29_(88)"/>
        <s v="SC29_(89)"/>
        <s v="SC29_(90)"/>
        <s v="SC29_(91)"/>
        <s v="SC29_(92)"/>
        <s v="SC29_(93)"/>
        <s v="SC29_(94)"/>
        <s v="SC29_(95)"/>
        <s v="SC29_(96)"/>
        <s v="SC29_(98)"/>
        <s v="SC29_(100)"/>
        <s v="SC29_(101)"/>
        <s v="SC29_(102)"/>
        <s v="SC29_(104)"/>
        <s v="SC29_(105)"/>
        <s v="SC29_(106)"/>
        <s v="SC29_(107)"/>
        <s v="SC29_(108)"/>
        <s v="SC29_(109)"/>
        <s v="SC29_(110)"/>
        <s v="SC29_(111)"/>
        <s v="SC29_(112)"/>
        <s v="SC29_(113)"/>
        <s v="SC29_(114)"/>
        <s v="SC29_(116)"/>
        <s v="SC29_(117)"/>
        <s v="SC29_118"/>
        <s v="SC29_COMM"/>
        <s v="SC29_(51)"/>
        <s v="SC29_(78)"/>
        <s v="SC29_(99)"/>
        <s v="SC30_(8)"/>
        <s v="SC30_(10)"/>
        <s v="SC30_(16)"/>
        <s v="SC30_(25)"/>
        <s v="SC30_(35)"/>
        <s v="SC30_(40)"/>
        <s v="SC30_(41)"/>
        <s v="SC30_(42)"/>
        <s v="SC30_(44)"/>
        <s v="SC30_(47)"/>
        <s v="SC30_(48)"/>
        <s v="SC30_(49)"/>
        <s v="SC30_(50)"/>
        <s v="SC30_(79)"/>
        <s v="SC30_(52)"/>
        <s v="SC30_(53)"/>
        <s v="SC30_(54)"/>
        <s v="SC30_(55)"/>
        <s v="SC30_(56)"/>
        <s v="SC30_(57)"/>
        <s v="SC30_(58)"/>
        <s v="SC30_(59)"/>
        <s v="SC30_(60)"/>
        <s v="SC30_(61)"/>
        <s v="SC30_(62)"/>
        <s v="SC30_(63)"/>
        <s v="SC30_(65)"/>
        <s v="SC30_(66)"/>
        <s v="SC30_(67)"/>
        <s v="SC30_(68)"/>
        <s v="SC30_(69)"/>
        <s v="SC30_(70)"/>
        <s v="SC30_(71)"/>
        <s v="SC30_(72)"/>
        <s v="SC30_(73)"/>
        <s v="SC30_(74)"/>
        <s v="SC30_(75)"/>
        <s v="SC30_(80)"/>
        <s v="SC30_(77)"/>
        <s v="SC30_(86)"/>
        <s v="SC30_(93)"/>
        <s v="SC30_(82)"/>
        <s v="SC30_(83)"/>
        <s v="SC30_(85)"/>
        <s v="SC30_(99)"/>
        <s v="SC30_(87)"/>
        <s v="SC30_(88)"/>
        <s v="SC30_(89)"/>
        <s v="SC30_(90)"/>
        <s v="SC30_(91)"/>
        <s v="SC30_(100)"/>
        <s v="SC30_(102)"/>
        <s v="SC30_(94)"/>
        <s v="SC30_(95)"/>
        <s v="SC30_(96)"/>
        <s v="SC30_(97)"/>
        <s v="SC30_(107)"/>
        <s v="SC30_(103)"/>
        <s v="SC30_(104)"/>
        <s v="SC30_(105)"/>
        <s v="SC30_(106)"/>
        <s v="SC30_(108)"/>
        <s v="SC30_(109)"/>
        <s v="SC30_(110)"/>
        <s v="SC30_(111)"/>
        <s v="SC30_(112)"/>
        <s v="SC30_(113)"/>
        <s v="SC30_(114)"/>
        <s v="SC30_(115)"/>
        <s v="SC30_(116)"/>
        <s v="SC30_(117)"/>
        <s v="SC30_(118)"/>
        <s v="SC30_(119)"/>
        <s v="SC30_(120)"/>
        <s v="SC30_(121)"/>
        <s v="SC30_(122)"/>
        <s v="SC30_(123)"/>
        <s v="SC30_(124)"/>
        <s v="SC30_(125)"/>
        <s v="SC30_(126)"/>
        <s v="SC30_(127)"/>
        <s v="SC30_128"/>
        <s v="SC30_COMM"/>
        <s v="SC30_(51)"/>
        <s v="SC30_(76)"/>
        <s v="SC30_(92)"/>
        <s v="SC30_(101)"/>
        <s v="SC06_oym_02"/>
        <s v="SC30_oym_01"/>
        <s v="SC31_(89)"/>
        <s v="SC31_(16)"/>
        <s v="SC31_(20)"/>
        <s v="SC31_(22)"/>
        <s v="SC31_(23)"/>
        <s v="SC31_(24)"/>
        <s v="SC31_(25)"/>
        <s v="SC31_(29)"/>
        <s v="SC31_(30)"/>
        <s v="SC31_(31)"/>
        <s v="SC31_(33)"/>
        <s v="SC31_(34)"/>
        <s v="SC31_(35)"/>
        <s v="SC31_(36)"/>
        <s v="SC31_(37)"/>
        <s v="SC31_(38)"/>
        <s v="SC31_(39)"/>
        <s v="SC31_(40)"/>
        <s v="SC31_(41)"/>
        <s v="SC31_(42)"/>
        <s v="SC31_(43)"/>
        <s v="SC31_(44)"/>
        <s v="SC31_(45)"/>
        <s v="SC31_(46)"/>
        <s v="SC31_(47)"/>
        <s v="SC31_(48)"/>
        <s v="SC31_(49)"/>
        <s v="SC31_(50)"/>
        <s v="SC31_(51)"/>
        <s v="SC31_(52)"/>
        <s v="SC31_(53)"/>
        <s v="SC31_(54)"/>
        <s v="SC31_(55)"/>
        <s v="SC31_(56)"/>
        <s v="SC31_(57)"/>
        <s v="SC31_(58)"/>
        <s v="SC31_(59)"/>
        <s v="SC31_(60)"/>
        <s v="SC31_(61)"/>
        <s v="SC31_(62)"/>
        <s v="SC31_(63)"/>
        <s v="SC31_(64)"/>
        <s v="SC31_(65)"/>
        <s v="SC31_(67)"/>
        <s v="SC31_(68)"/>
        <s v="SC31_(69)"/>
        <s v="SC31_(70)"/>
        <s v="SC31_(77)"/>
        <s v="SC31_(80)"/>
        <s v="SC31_(83)"/>
        <s v="SC31_(84)"/>
        <s v="SC31_(85)"/>
        <s v="SC31_(86)"/>
        <s v="SC31_(87)"/>
        <s v="SC31_(88)"/>
        <s v="SC31_(91)"/>
        <s v="SC31_(92)"/>
        <s v="SC31_(93)"/>
        <s v="SC31_(94)"/>
        <s v="SC31_(95)"/>
        <s v="SC31_(96)"/>
        <s v="SC31_(98)"/>
        <s v="SC31_(99)"/>
        <s v="SC31_(100)"/>
        <s v="SC31_(101)"/>
        <s v="SC31_(102)"/>
        <s v="SC31_(103)"/>
        <s v="SC31_(104)"/>
        <s v="SC31_(105)"/>
        <s v="SC31_(106)"/>
        <s v="SC31_(107)"/>
        <s v="SC31_(108)"/>
        <s v="SC31_(109)"/>
        <s v="SC31_(111)"/>
        <s v="SC31_(112)"/>
        <s v="SC31_(113)"/>
        <s v="SC31_(114)"/>
        <s v="SC31_(115)"/>
        <s v="SC31_(116)"/>
        <s v="SC31_117"/>
        <s v="SC31_COMM"/>
        <s v="SC31_(66)"/>
        <s v="SC31_(75)"/>
        <s v="SC31_(97)"/>
        <s v="SC31_(110)"/>
        <s v="SC32_(30)"/>
        <s v="SC32_(46)"/>
        <s v="SC32_(58)"/>
        <s v="SC32_(59)"/>
        <s v="MT CTO10_(141)Caja de Paso MT Cto 10 (SC32-SE) Costado Norte"/>
        <s v="SC32_COMM"/>
        <s v="SC32_(4)"/>
        <s v="SC32_(14)"/>
        <s v="SC32_(11)"/>
        <s v="SC32_(12)"/>
        <s v="SC32_(15)"/>
        <s v="SC32_(16)"/>
        <s v="SC32_(17)"/>
        <s v="SC32_(18)"/>
        <s v="SC32_(19)"/>
        <s v="SC32_(21)"/>
        <s v="SC32_(22)"/>
        <s v="SC32_(23)"/>
        <s v="SC32_(25)"/>
        <s v="SC32_(26)"/>
        <s v="SC32_(27)"/>
        <s v="SC32_(31)"/>
        <s v="SC32_(36)"/>
        <s v="SC32_(37)"/>
        <s v="SC32_(39)"/>
        <s v="SC32_(40)"/>
        <s v="SC32_(41)"/>
        <s v="SC32_(42)"/>
        <s v="SC32_(43)"/>
        <s v="SC32_(44)"/>
        <s v="SC32_(45)"/>
        <s v="SC32_(50)"/>
        <s v="SC32_(51)"/>
        <s v="SC32_(52)"/>
        <s v="SC32_(53)"/>
        <s v="SC32_(55)"/>
        <s v="SC32_(56)"/>
        <s v="SC32_(57)"/>
        <s v="SC32_(60)"/>
        <s v="SC32_(61)"/>
        <s v="SC32_(62)"/>
        <s v="SC32_(63)"/>
        <s v="SC32_(64)"/>
        <s v="SC32_(65)"/>
        <s v="SC32_(66)"/>
        <s v="SC32_(67)"/>
        <s v="SC32_(68)"/>
        <s v="SC32_(69)"/>
        <s v="SC32_(70)"/>
        <s v="SC32_4"/>
        <s v="SC32_13"/>
        <s v="SC32_14"/>
        <s v="SC32_11"/>
        <s v="SC32_12"/>
        <s v="SC32_15"/>
        <s v="SC32_16"/>
        <s v="SC32_17"/>
        <s v="SC32_18"/>
        <s v="SC32_19"/>
        <s v="SC32_21"/>
        <s v="SC32_22"/>
        <s v="SC32_23"/>
        <s v="SC32_25"/>
        <s v="SC32_26"/>
        <s v="SC32_27"/>
        <s v="SC32_28"/>
        <s v="SC32_30"/>
        <s v="SC32_31"/>
        <s v="SC32_32"/>
        <s v="SC32_36"/>
        <s v="SC32_37"/>
        <s v="SC32_38"/>
        <s v="SC32_39"/>
        <s v="SC32_40"/>
        <s v="SC32_41"/>
        <s v="SC32_42"/>
        <s v="SC32_43"/>
        <s v="SC32_44"/>
        <s v="SC32_45"/>
        <s v="SC32_46"/>
        <s v="SC32_47"/>
        <s v="SC32_48"/>
        <s v="SC32_49"/>
        <s v="SC32_50"/>
        <s v="SC32_51"/>
        <s v="SC32_52"/>
        <s v="SC32_53"/>
        <s v="SC32_55"/>
        <s v="SC32_56"/>
        <s v="SC32_57"/>
        <s v="SC32_58"/>
        <s v="SC32_59"/>
        <s v="SC32_60"/>
        <s v="SC32_61"/>
        <s v="SC32_62"/>
        <s v="SC32_63"/>
        <s v="SC32_64"/>
        <s v="SC32_65"/>
        <s v="SC32_66"/>
        <s v="SC32_67"/>
        <s v="SC32_68"/>
        <s v="SC32_69"/>
        <s v="SC32_70"/>
        <s v="SC32_(28)"/>
        <s v="SC32_(38)"/>
        <s v="SC32_(47)"/>
        <s v="SC32_(48)"/>
        <s v="SC32_(49)"/>
        <s v="MT CTO10_(139)Caja de Paso MT Cto 10 (SC32-SE) Costado Norte"/>
        <s v="MT CTO10_(140)Caja de Paso MT Cto 10 (SC32-SE) Costado Norte"/>
        <s v="CTO10_MT_139"/>
        <s v="CTO10_MT_140"/>
        <s v="CTO10_MT_141"/>
        <s v="SC33_(72)"/>
        <s v="SC33_(75)"/>
        <s v="SC33_(86)"/>
        <s v="SC33_(8)"/>
        <s v="SC33_(27)"/>
        <s v="SC33_(28)"/>
        <s v="SC33_(30)"/>
        <s v="SC33_(31)"/>
        <s v="SC33_(32)"/>
        <s v="SC33_(33)"/>
        <s v="SC33_(34)"/>
        <s v="SC33_(35)"/>
        <s v="SC33_(36)"/>
        <s v="SC33_(37)"/>
        <s v="SC33_(38)"/>
        <s v="SC33_(41)"/>
        <s v="SC33_(45)"/>
        <s v="SC33_(54)"/>
        <s v="SC33_(57)"/>
        <s v="SC33_(58)"/>
        <s v="SC33_(13)"/>
        <s v="SC33_(15)"/>
        <s v="SC33_(24)"/>
        <s v="SC33_(46)"/>
        <s v="SC33_(47)"/>
        <s v="SC33_(49)"/>
        <s v="SC33_(50)"/>
        <s v="SC33_(56)"/>
        <s v="SC33_(60)"/>
        <s v="SC33_(61)"/>
        <s v="SC33_(68)"/>
        <s v="SC33_(74)"/>
        <s v="SC33_(77)"/>
        <s v="SC33_(78)"/>
        <s v="SC33_(79)"/>
        <s v="SC33_(81)"/>
        <s v="SC33_(82)"/>
        <s v="SC33_(83)"/>
        <s v="SC33_(87)"/>
        <s v="SC33_(88)"/>
        <s v="SC33_(89)"/>
        <s v="SC33_(91)"/>
        <s v="SC33_(92)"/>
        <s v="SC33_(93)"/>
        <s v="SC33_(94)"/>
        <s v="SC33_(95)"/>
        <s v="SC33_(44)"/>
        <s v="SC33_(53)"/>
        <s v="SC33_(62)"/>
        <s v="SC33_(63)"/>
        <s v="SC33_(64)"/>
        <s v="SC33_(65)"/>
        <s v="SC33_(66)"/>
        <s v="SC33_(67)"/>
        <s v="SC33_(70)"/>
        <s v="SC33_(76)"/>
        <s v="SC33_(80)"/>
        <s v="SC33_(85)"/>
        <s v="SC33_(90)"/>
        <s v="SC33_(25)"/>
        <s v="SC33_(26)"/>
        <s v="SC33_(96)"/>
        <s v="SC33_(55)"/>
        <s v="SC33_(97)"/>
        <s v="SC33_(98)"/>
        <s v="SC33_(99)"/>
        <s v="SC33_(100)"/>
        <s v="SC33_(101)"/>
        <s v="SC33_(102)"/>
        <s v="SC33_8"/>
        <s v="SC33_23"/>
        <s v="SC33_13"/>
        <s v="SC33_15"/>
        <s v="SC33_24"/>
        <s v="SC33_25"/>
        <s v="SC33_26"/>
        <s v="SC33_27"/>
        <s v="SC33_28"/>
        <s v="SC33_30"/>
        <s v="SC33_31"/>
        <s v="SC33_32"/>
        <s v="SC33_33"/>
        <s v="SC33_34"/>
        <s v="SC33_35"/>
        <s v="SC33_36"/>
        <s v="SC33_37"/>
        <s v="SC33_38"/>
        <s v="SC33_39"/>
        <s v="SC33_41"/>
        <s v="SC33_44"/>
        <s v="SC33_45"/>
        <s v="SC33_46"/>
        <s v="SC33_47"/>
        <s v="SC33_49"/>
        <s v="SC33_50"/>
        <s v="SC33_53"/>
        <s v="SC33_54"/>
        <s v="SC33_55"/>
        <s v="SC33_56"/>
        <s v="SC33_57"/>
        <s v="SC33_58"/>
        <s v="SC33_59"/>
        <s v="SC33_60"/>
        <s v="SC33_61"/>
        <s v="SC33_62"/>
        <s v="SC33_63"/>
        <s v="SC33_64"/>
        <s v="SC33_65"/>
        <s v="SC33_66"/>
        <s v="SC33_67"/>
        <s v="SC33_68"/>
        <s v="SC33_69"/>
        <s v="SC33_70"/>
        <s v="SC33_72"/>
        <s v="SC33_73"/>
        <s v="SC33_74"/>
        <s v="SC33_75"/>
        <s v="SC33_76"/>
        <s v="SC33_77"/>
        <s v="SC33_78"/>
        <s v="SC33_79"/>
        <s v="SC33_80"/>
        <s v="SC33_81"/>
        <s v="SC33_82"/>
        <s v="SC33_83"/>
        <s v="SC33_85"/>
        <s v="SC33_86"/>
        <s v="SC33_87"/>
        <s v="SC33_88"/>
        <s v="SC33_89"/>
        <s v="SC33_90"/>
        <s v="SC33_91"/>
        <s v="SC33_92"/>
        <s v="SC33_93"/>
        <s v="SC33_94"/>
        <s v="SC33_95"/>
        <s v="SC33_96"/>
        <s v="SC33_97"/>
        <s v="SC33_98"/>
        <s v="SC33_99"/>
        <s v="SC33_100"/>
        <s v="SC33_101"/>
        <s v="SC33_102"/>
        <s v="sc33_t_1"/>
        <s v="SC33_(39)"/>
        <s v="SC33_(59)"/>
        <s v="SC33_(69)"/>
        <s v="SC33_(73)"/>
        <s v="SC34_(21)"/>
        <s v="SC34_(22)"/>
        <s v="SC34_(60)"/>
        <s v="SC34_(61)"/>
        <s v="SC34_ (8)"/>
        <s v="SC34_(10)"/>
        <s v="SC34_(17)"/>
        <s v="SC34_(18)"/>
        <s v="SC34_(20)"/>
        <s v="SC34_(31)"/>
        <s v="SC34_(33)"/>
        <s v="SC34_(34)"/>
        <s v="SC34_(35)"/>
        <s v="SC34_(39)"/>
        <s v="SC34_(42)"/>
        <s v="SC34_(43)"/>
        <s v="SC34_(44)"/>
        <s v="SC34_(46)"/>
        <s v="SC34_(51)"/>
        <s v="SC34_(52)"/>
        <s v="SC34_(53)"/>
        <s v="SC34_(55)"/>
        <s v="SC34_(57)"/>
        <s v="SC34_(58)"/>
        <s v="SC34_(62)"/>
        <s v="SC34_(70)"/>
        <s v="SC34_8"/>
        <s v="SC34_10"/>
        <s v="SC34_17"/>
        <s v="SC34_18"/>
        <s v="SC34_19"/>
        <s v="SC34_20"/>
        <s v="SC34_21"/>
        <s v="SC34_22"/>
        <s v="SC34_23"/>
        <s v="SC34_26"/>
        <s v="SC34_27"/>
        <s v="SC34_29"/>
        <s v="SC34_30"/>
        <s v="SC34_31"/>
        <s v="SC34_32"/>
        <s v="SC34_33"/>
        <s v="SC34_34"/>
        <s v="SC34_35"/>
        <s v="SC34_36"/>
        <s v="SC34_38"/>
        <s v="SC34_39"/>
        <s v="SC34_40"/>
        <s v="SC34_41"/>
        <s v="SC34_42"/>
        <s v="SC34_43"/>
        <s v="SC34_44"/>
        <s v="SC34_46"/>
        <s v="SC34_49"/>
        <s v="SC34_51"/>
        <s v="SC34_52"/>
        <s v="SC34_53"/>
        <s v="SC34_55"/>
        <s v="SC34_57"/>
        <s v="SC34_58"/>
        <s v="SC34_59"/>
        <s v="SC34_60"/>
        <s v="SC34_61"/>
        <s v="SC34_62"/>
        <s v="SC34_63"/>
        <s v="SC34_64"/>
        <s v="SC34_65"/>
        <s v="SC34_66"/>
        <s v="SC34_67"/>
        <s v="SC34_70"/>
        <s v="SC34_(19)"/>
        <s v="SC34_(23)"/>
        <s v="SC34_(26)"/>
        <s v="SC34_(27)"/>
        <s v="SC34_(29)"/>
        <s v="SC34_(30)"/>
        <s v="SC34_(32)"/>
        <s v="SC34_(36)"/>
        <s v="SC34_(38)"/>
        <s v="SC34_(49)"/>
        <s v="SC34_(59)"/>
        <s v="SC34_(63)"/>
        <s v="SC34_(64)"/>
        <s v="SC34_(65)"/>
        <s v="SC34_(66)"/>
        <s v="SC34_(67)"/>
        <s v="Sustainability"/>
      </sharedItems>
    </cacheField>
    <cacheField name="DESCRIPTION" numFmtId="0">
      <sharedItems longText="1" count="1137">
        <s v="Sellado ductos material impermeabilizante"/>
        <s v="Retoque de pintura en  tapas metalicas"/>
        <s v="Instalacion de tag y señalizacion RETIE"/>
        <s v="Retoque de pintura en tapas metalicas"/>
        <s v="Tapado de huecos de ingreso a caja. (Poliuretano)"/>
        <s v="Ubicación final de caja"/>
        <s v="Limpieza de cables MT"/>
        <s v="Aterrizar tapas de cajas"/>
        <s v="Reconformacion de terreno alrededor de la caja"/>
        <s v="Caja de Empalme Sectioning Pit Cto 10 Lewis 6-7  | Instalación TAG"/>
        <s v="Instalación TAG"/>
        <s v="orden y aseo"/>
        <s v="conformación de terreno"/>
        <s v="Marcacion de tapas de caja de fibra"/>
        <s v="⁠conformación de Terreno Cajas de Fusión FO"/>
        <s v="conformación de terreno Cajas de Empalme Sectioning Pit"/>
        <s v="Limpieza general"/>
        <s v="Adecuación del terreno"/>
        <s v="Cajas de paso OC1 costado norte y sur: | Instalación TAG"/>
        <s v="Cajas de paso OC1 costado norte y sur: | orden y aseo"/>
        <s v="Cajas de paso OC1 costado norte y sur: | conformación de terreno"/>
        <s v="Caja empalme Promigas 5 costado sur:  | conformación de terreno"/>
        <s v="Caja de paso Promigas 5 costado norte | orden y aseo"/>
        <s v="Corte de azas y resane de caja"/>
        <s v="Instalacion de monolitos"/>
        <s v="Caja de Empalme Sectioning Pit Cto 10 Lewis 6-7  | limpieza general, orden y aseo alrededor de la caja"/>
        <s v="Caja de Empalme Sectioning Pit Cto 10 Lewis 6-7  | ⁠conformación de Terreno Cajas de Fusión FO"/>
        <s v="Caja de Empalme Sectioning Pit Cto 10 Lewis 6-7  | conformación de terreno Cajas de Empalme Sectioning Pit"/>
        <s v="Caja de Empalme Sectioning Pit Cto 10 Lewis 6-7 -Norte | Limpieza general"/>
        <s v="Caja de Empalme Sectioning Pit Cto 10 Lewis 6-7 -Norte | Adecuación del terreno"/>
        <s v="Instalación de monolito"/>
        <s v="limpieza general, orden y aseo alrededor de la caja"/>
        <s v="Caja de Empalme Sectioning Pit Cto 10 Lewis 6-7  | Instalación de monolito"/>
        <s v="Pendiente para todas las cabinas la señalización de advertencia de la energía incidente, arco eléctrico, categoría del epp a utilizar y  distancia de seguridad. (general) en sc"/>
        <s v="evaluacion, aprobacion y entrega de Curvas I-V en 15 subcampos del parque zona norte"/>
        <s v="realizar y entregar informes de  Termografías con dron en 15 subcampos del norte"/>
        <s v="Reposicion de material prestado en etapa de comisionamiento correspondiente a piezas de trackers, cabinas y equipos| sc99_o&amp;M"/>
        <s v="Finalizacion de obras civiles y mecanicas asociadas al vallado perimetral a cargo de bop norte, incluye limpieza, retiro de materiales sobre vallado y correccion de oxidaciones mayores| sc99_o&amp;M"/>
        <s v="finalizacion de obras viales internas conforme a ingenieria del alcance del bop norte| sc99_o&amp;M"/>
        <s v="Pendiente instalacion de canal en U para division de tapas"/>
        <s v="Tapar zanja de MT del CTO09 que se cruza con la BT en el SC24."/>
        <s v="Se requiere realizar la adecuación del terreno al rededor de bases de inversores (General) ID1_SC20"/>
        <s v="Realizar el retiro de cartón en Marcos de paneles (General) ID3_SC20"/>
        <s v="Realizar la Limpieza de actuadores (General) ID4_SC20"/>
        <s v="Realizar peinado Cable Solar TR 045 ID15_SC20"/>
        <s v="Realizar la liberación del Torque en salida BT Inversores (General) ID2_SC20"/>
        <s v="Retiro de madera en salto de rana en cabezotes de tracker donde existe el paso de tubos HDPE con solar   MQR 061 ID7_SC20"/>
        <s v="Limpieza de caja de paso BT lado norte inv. (6,1,2,3,4 y 5.) ID9_SC20"/>
        <s v="Recortar Excesos Poliuretano Ducto Salto Trackers (General) ID10_SC20"/>
        <s v="Realizar limpieza de String Inverter (General)  ID11_SC20"/>
        <s v="Caja de paso de BT lado sur se debe realizar limpieza, Sellar ductería de reserva ( paso de inv7,8,9,10,11 y 12),  adecuar el área perimetral y arreglar aterrizaje de tapa. ID13_SC20"/>
        <s v="Realizar el retiro de plásticos en ductos HDPE (General) ID14_SC20"/>
        <s v="Realiza retiro de cintas de papel de tubo HDPE (General) ID19_SC20"/>
        <s v="General: limpieza de bases de String Inverter  ID20_SC20"/>
        <s v="Pendiente instalar Tag de identificación de inversores (General) ID21_SC20"/>
        <s v="Limpieza cunetas en el perímetro del SC ID22_SC20"/>
        <s v="Realizar limpieza de abrazaderas soporte casquilletes (General) ID23_SC20"/>
        <s v="Realizar limpieza de cable solar, presencia de barro en cableado (General) ID24_SC20"/>
        <s v="Realizar limpieza de cable, motor y estructura de actuador (General) ID25_SC20"/>
        <s v="Aplicación de Espuma Poliuretano Ductos Saltos de Hincas (General) ID26_SC20"/>
        <s v="Realizar instalación de tapones pendientes en MC4 (General) ID28_SC20"/>
        <s v="Retiro de material sobrante de excavación  ID29_SC20"/>
        <s v="Realizar relleno Excavación Abierta Cobre Expuesto TR 049 ID31_SC20"/>
        <s v="Realizar conexionado del String 20(-) en los inversores 02 y 03. ID32_SC20"/>
        <s v="Falta realizar limpieza y aplicación de  pintura en hincas (general) ID33_SC20"/>
        <s v="Realizar el Sellado de tubo soporte del sensor Snow ID34_SC20"/>
        <s v="Falta Multiseal en NCU  ID36_SC20"/>
        <s v="Falta instalar cuarto amarre plástico en ducto de cable solar en general y retirar sobrante de amarre plástico en general. ID37_SC20"/>
        <s v="Falta TAG NCU ID38_SC20"/>
        <s v="Adecuar y mejorar afloramientos en ductos HDPE, se encuentran tubos mal enterrados (General) ID39_SC20"/>
        <s v="Realizar limpieza de paneles anverso y reverso (General) ID40_SC20"/>
        <s v="realizar retiro de cinta de marcación provisional (General) ID43_SC20"/>
        <s v="Liberación de Torque SPT Inversores (General) ID44_SC20"/>
        <s v="Se debe enterrar adecuadamente ductería de cable solar sobre Tracker 064 ID45_SC20"/>
        <s v="Instalación Marquilla Riesgo Eléctrico Inversores (General) ID46_SC20"/>
        <s v="Sellado de ducto de la tierra Tracker en el inversor 02 ID47_SC20"/>
        <s v="Realizar la limpieza de ejes con alta suciedad y barro (General) ID48_SC20"/>
        <s v="Figurar cableado solar  en Tracker 068 mesa asociada al inversor 16. ID49_SC20"/>
        <s v="Profundizar tierra en el Tracker MRQ043. ID50_SC20"/>
        <s v="Recortar Puntas sonbrantes de las bridas (General) ID52_SC20"/>
        <s v="Conformación del terreno alrededor de la NCU ID53_SC20"/>
        <s v="Pendiente instalación de registros del Sistema de puesta a tierra perimetral del CT20. ID54_SC20"/>
        <s v="Realizar la instalación de diagramas unifilares en panel A y B  (General) ID55_SC20"/>
        <s v="Realizar la instalación de señalización vertical del SC (General) ID56_SC20"/>
        <s v="Torque en tornillos de anclaje de CT ID57_SC20"/>
        <s v="Gestión de residuos de aprovechamiento forestal en el SC y en las zonas donde no hay implantación, conforme a lo expuesto en la visitas de seguimiento ambiental. ID59_SC20"/>
        <s v="Construcción de terraplén alrededor de la cabina ID61_SC20"/>
        <s v="Instalación de Tapa Eje Tracker TR 055 ID63_SC20"/>
        <s v="Falta fusión conexionado de comunicación, potencia y sellado de ingreso de cable tierra en NCU ID64_SC20"/>
        <s v="Pendiente llegada de cableado de fibra y fuerza a tablero de comunicaciones. Además de base de concreto. ID69_SC20"/>
        <s v="Realizar orden y aseo al rededor del CT 20 ID70_SC20"/>
        <s v="Gestión de materiales sobrantes de excavación y construcción. CT20 ID71_SC20"/>
        <s v="Realizar la rocería  en el SC ID75_SC20"/>
        <s v="Realizar la instalación de señalización riesgo eléctrico en el CT y el SC. ID76_SC20"/>
        <s v="Pendiente Seriado y Peinado de Panel en TR 070 y TR 071 ID79_SC20"/>
        <s v="Adecuación general del terreno por ahuellamientos y montículos de tierra en todo el sc20 ID16_SC20"/>
        <s v="Pendiente realizar limpieza  general, retiro maderas, icopor, cajas de cartón y plásticos en todo el subcampo, RCD y demás materiales del subcampo ID18_SC20"/>
        <s v="pte correccion/instalacion  comm: Antena Rota en SC: 20 ncu: 15 MA0520-MQR017"/>
        <s v="pte correccion/instalacion  comm: Antena Rota en SC: 20 ncu: 15 MA0520-MQR049"/>
        <s v="pte correccion/instalacion  comm: Obstaculos (Impide movimiento) en SC: 20 ncu: 15 MA0520-MQR058"/>
        <s v="Bases en concreto cubierta por sedimento, no cumple distanciamiento mínimo de 60 cm, O&amp;M SC 20 general revision de todos los inversores| sc20_o&amp;M"/>
        <s v="Correccion de paneles averiados en subcampo 20| sc20_o&amp;M"/>
        <s v="Reconformar terreno : T053, 054, 058, 043. sc20| sc20_o&amp;M"/>
        <s v="Pendiente limpieza y pintura en hinca y otros componentes Del trackers (General) ID2_SC21"/>
        <s v="Pendiente limpieza de paneles en ambas caras, marcos y soportes, retiro de carton en soportes &#10;(General) ID7_SC21"/>
        <s v="Correccion de oxidaciones en tornillos en riel de soporte de inversores, aplicación de torque y marcacion en tornillos (General) ID11_SC21"/>
        <s v="Pendiente Instalación de &quot;Pollo de Concreto&quot; en Banco de Ductos del Afloramiento de la NCU, Estación METEO y CCTV ID49_SC21"/>
        <s v="Pendiente instalación Sensor de Inundabilidad Antena NCU 17 Suc 21 ID65_SC21"/>
        <s v="Recorte de excesos Espuma Poliuretano Ductos Salto Hincas (General) ID3_SC21"/>
        <s v="Recorte Excesos Espuma Poliuretano y Aplicación Multiseal Afloramiento BT Inversores (General) ID4_SC21"/>
        <s v="Pendiente sellado de ducto de cable solar sobre torquetubo (General) ID5_SC21"/>
        <s v="Pendiente Galvanizado de hincas MQR 062 y  MQR 105 ID6_SC21"/>
        <s v="Pendiente instalacion de multiseal en llegada a inversor de ductos solares (General) ID8_SC21"/>
        <s v="Pendiente instalacion de tag de identificacion en inversores (General) ID9_SC21"/>
        <s v="Pendiente instalacion de señalizacion de riesgo electrico en inversores ID10_SC21"/>
        <s v="Pendiente correccion de Hincas bajas MQR 082. ID12_SC21"/>
        <s v="Pendiente ajustar tuercas en paneles y marcacion de testigos de torque (General)&#10;Pendiente la marcación de torqueo soportes de omegas (General) ID14_SC21"/>
        <s v="Pendiente adecuación de terreno alrededor de Base de los Inversores (General) ID16_SC21"/>
        <s v="Pendiente Terminación estructura metálica de protección (Techo) de inversores externos a Trackers &#10;(2/13, 2/14, 2/15, 2/16) ID17_SC21"/>
        <s v="Pendiente construcción de la plataforma (Según Ingenieria) y vía de acceso a la Cabina CT. ID18_SC21"/>
        <s v="Pendiente retiro de tacos de madera en soporte de tuberia y conductores (General) ID19_SC21"/>
        <s v="Pendiente aplicar Espuma Poliuretano y Multiseal en Afloramiento de Latiguillo SPT Inversores e Hincas (General) ID21_SC21"/>
        <s v="Falta Instalar tapa del torquetubo del tracker 32 ID22_SC21"/>
        <s v="Pendiente corte sobrante de amarre plástico (General) ID23_SC21"/>
        <s v="Pendiente instalar 4 amarres de sujecion en bajantes de tubo solar en hincas (General)  ID24_SC21"/>
        <s v="Falta respetar la profundidad del Latiguillo SPT y Ductos Solares, se evidencia muy expuestos (General) ID25_SC21"/>
        <s v="Pendiente culminar marcación de trackers (General) ID26_SC21"/>
        <s v="Pendientre Limpieza Cable Solar TR 070 ID27_SC21"/>
        <s v="Se requiere correccion de altura en Actuador bajo 107, muy bajo con respecto al terreno ID28_SC21"/>
        <s v="Pendiente limpieza de inversores (General) ID30_SC21"/>
        <s v="Pendiente retiro de pintura en carcaza de Inversor String 07 ID31_SC21"/>
        <s v="Corregir sello en entrada de cableado BT en inversores (General) ID33_SC21"/>
        <s v="Limpieza Terminal MC4 Seriado Panel Solar TR 046 ID34_SC21"/>
        <s v="Falta demarcación de seguridad en ducto solar con protección amarilla en Tracker 102 ID35_SC21"/>
        <s v="Corregir apriete de SPT en hinca de todos inversores - se sugiere adicionar arandela entre tornillo y &#10;borna - condicion general del subcampo ID36_SC21"/>
        <s v="finalizar actividades de Excavaciones Abiertas de CCTV Vallado ID37_SC21"/>
        <s v="Corregir inclinacion de luminarias provisonales del SC21 ID38_SC21"/>
        <s v="Falta demarcación de seguridad en ducto solar con protección amarilla en Tracker 70 ID39_SC21"/>
        <s v="Pendiente instalación, Conexionado y Marquillado Cable de alimentación en NCU17 ID40_SC21"/>
        <s v="Pendiente Instalación, Conexión y Marquillado Cable FO. En NCU17 ID41_SC21"/>
        <s v="Pendiente Fusión FO en NCU17 ID42_SC21"/>
        <s v="Pendiente aplicación de Espuma Poliuretano y Multiseal en Banco de Ductos de Cable de alimentación&#10; y FO NCU17 ID43_SC21"/>
        <s v="Pendiente finalizacion de sistema comunicación en Cabina CT21 ID45_SC21"/>
        <s v="Se requiere aplicación de Masilla al Ingreso Triadas MT Celda G1. ID46_SC21"/>
        <s v="Pendiente instalación Cajas de Inspección del SPT de la Cabina CT 21. ID47_SC21"/>
        <s v="Pendiente demarcar Torqueo y recortar tornillos largos de los pernos en los anclajes de la CT. ID48_SC21"/>
        <s v="Se requiere Instalación de Espiral para Cables Expuestos al Ingreso/Salida del SACU y Tab Comunicaciones ID50_SC21"/>
        <s v="Pendiente aplicación de Espuma Poliuretano y Multiseal Afloramiento Banco de Ductos CCTV, NCU y CCTV ID51_SC21"/>
        <s v="Pendiente conexionado y Marquillado Tab SSAA ID52_SC21"/>
        <s v="Pendiente retiro y limpieza de puntos de sombra y acopios de materiales y equipos, cuando se finalicen las actividades.  ID53_SC21"/>
        <s v="Realizar la recolección y disposición de los residuos de menor tamaño que se encuentran dispersos en el SC (madera, plásticos, cartón, RCD...) y junto a las bases de los inversores (amarres, plásticos, accesorios, plástico en tubería, espuma, RCD..) ID54_SC21"/>
        <s v="Limpieza de todo material y residuos alrededor de CT, teniendo en cuenta que aún están ejecutando actividades ID55_SC21"/>
        <s v="Limpieza de residuos plásticos en el Subcampo 21 (General) ID58_SC21"/>
        <s v="Falta torque en SPT de hinca SI.21.06 ID59_SC21"/>
        <s v="Falta torque en SPT de hinca SI.21.05 ID60_SC21"/>
        <s v="Pendiente identificación con diagramas unifilares y ubicación de SI en puertas del Panel A y Panel B ID61_SC21"/>
        <s v="Pendiente entrega de Planos Redline de cambios de ruta de cableado solar, BT, MT, F.O, Trackers, Etc. ID62_SC21"/>
        <s v="Pendiente roceria general en el Subcampo 21  ID63_SC21"/>
        <s v="Pendiente instalación de señalización Vertical en el Subcampo 21 (General) ID64_SC21"/>
        <s v="Inversor 18&#10;STR 18 Y 20&#10;Tracker 63 y 64&#10;Módulos fisurados sc21 ID67_SC21"/>
        <s v="Inversor 2&#10;STR 19&#10;Tracker 40&#10;Módulo dañado sc21 ID66_SC21"/>
        <s v="Pendiente adecuacion de terrreno en todo el Subcampo 21 ID15_SC21"/>
        <s v="Retirar material remanente de excavación realizadas en el subcampo 21 (General) ID56_SC21"/>
        <s v="Gestionar los residuos de aprovechamiento forestal en el Subcampo 21 (General) ID57_SC21"/>
        <s v="pte correccion/instalacion  comm: Obstaculos (Impide movimiento) en SC: 21 ncu: 17 MA0521-MQR001"/>
        <s v="pte correccion/instalacion  comm: Obstaculos (Impide movimiento) en SC: 21 ncu: 17 MA0521-MQR002"/>
        <s v="pte correccion/instalacion  comm: String erroneo en SC: 21 ncu: 17 MA0521-MQR063"/>
        <s v="pte correccion/instalacion  comm: TCU Maestra en SC: 21 ncu: 17 MA0521-MQR070"/>
        <s v="pte correccion/instalacion  comm: TCU Master primero revisar String erroneo en SC: 21 ncu: 17 MA0521-MQR081"/>
        <s v="pte correccion/instalacion  comm: Actuador Eslava 8 en SC: 21 ncu: 17 MA0521-MQR083"/>
        <s v="pte correccion/instalacion  comm: Obstaculos (Impide movimiento) en SC: 21 ncu: 17 MA0521-MQR114"/>
        <s v="Correccion de paneles averiados en subcampo 21| sc21_o&amp;M"/>
        <s v="Pendiente adecuación de terreno alrededor del terreno de las cimentaciones de inversores General (sc22) ID9_SC22"/>
        <s v="Se requeire limpieza en hincas, Outer Lever, y torquetubos en general (sc22) ID13_SC22"/>
        <s v="Adecuar terreno de todo el sc22, retiro de monticulos de tierra, correccion de ahuellamiento, nivelacion de terreno, correccion de carcavas  (sc22) ID18_SC22"/>
        <s v="Reparar fisuras en base de concreto inversor trackers MA0522-MQR031 (sc22) ID26_SC22"/>
        <s v="Pendiente conformación de la plataforma y vía de acceso a la CT. ID36_SC22"/>
        <s v="Falta instalar cuarto amarre plástico en ducto de cable solar en general.  (sc22) ID4_SC22"/>
        <s v="Pendiente instalacion de tag de identificacion definitiva de tracker general (sc22) ID7_SC22"/>
        <s v="Realizar Torqueo y marcacion de los soportes de los SI, general (sc22) ID8_SC22"/>
        <s v="Pendiente sellado de ductos de Cable Solar en paso de hincas general (sc22) ID10_SC22"/>
        <s v="Pendiente instalacion tapas torque tubo entre trackers (sc22) ID11_SC22"/>
        <s v="Pendiente la finalizacion de obras de drenajes del sc 22 (sc22) ID23_SC22"/>
        <s v="Pendiente culminar marcacion de torque en estructuras de trackers (sc22) ID24_SC22"/>
        <s v="Corregir altura de Hincas bajas MQR 028. Terreno entre trackers alto, no cumplirá altura&#10;de módulos a 55°. (sc22) ID27_SC22"/>
        <s v="Falta caja de inspección de SPT alrededor de la cabina CT22. ID39_SC22"/>
        <s v="Pendiente completar cimentación y adecuacion terreno al rededor NCU ID41_SC22"/>
        <s v="Pendiente correccion de Pernos con oxidación en chanel de soporte de inversores aplicar galvanizado &#10;(general) ID43_SC22"/>
        <s v="Pendiente instalación de unifilar panel A y B. ID44_SC22"/>
        <s v="Se requiere retirar o Reubicar Puntos de Sombra que interfieren con Giro de Trackers ID47_SC22"/>
        <s v="Pendiente retirar Portabobinas /Balde Retro Excavadora  ID48_SC22"/>
        <s v="Se requeire colocar señalización de Materiales ( Bordillos CT) ID49_SC22"/>
        <s v="Pendiente limpieza de módulos en ambas caras, soportes y marcos de modulos (sc22) ID17_SC22"/>
        <s v="Pendiente limpieza y retiro de todos los elementos donde se cuenta con puntos de sombra y USP.  ID51_SC22"/>
        <s v="Sellar espacio entre placa e hinca en SI22 (sc22) ID21_SC22"/>
        <s v="Realizar la recolección y disposición de los residuos (Bolsas, tuberías, madera...) que se encuentran&#10; acopiados productos de la limpieza del SC, adicionalmente reforzar la recolección de residuos de menor tamaño dispersos en todo el subcampo (zunchos, accesorios de tornilleria-tapas, amarres, plásticos...), retiro de señalizaciones deterioradas (cinta de seguridad, estacas) se resalta que simultánea a la caminata, la cuadrilla ambiental realizó recolección de residuos dispersos de menor tamaño. ID28_SC22"/>
        <s v="Corregir afloramiento de cable de baja tension en hincas, se requiere instalar proteccion (sc22) ID32_SC22"/>
        <s v="Se requeire correccion de Tapa del tanque rota, pendiente limpieza de tanque porque se lleno de lodo e instalación del cuello de ganso y prueba de estanqueidad (sc22) ID34_SC22"/>
        <s v="Se requiere pintar hincas tras desprendimiento de pintura durante limpieza en hincas (General) ID38_SC22"/>
        <s v="Se requiere sellar entrada de la SPT en base NCU ID42_SC22"/>
        <s v="En la ACO3 se requiere Limpieza y manejo de sedimentos en el cauce, retiro de los residuos (plásticos, &#10;remanente de material pétreo, AF, RCD) y elementos usados para delimitar y proteger el área al finalizar las actividades constructivas. ID45_SC22"/>
        <s v="se requeire finalizar la Gestión de residuos de aprovechamiento forestal en el SC y en las zonas donde no hay implantación, conforme a lo expuesto en la visitas de seguimiento ambiental. ID46_SC22"/>
        <s v="Pendiente Realizar orden y aseo al rededor del CT (Recolección y gestión de residuos dispersos), delimitaciones deterioradas (cinta de seguridad y estacas)&#10;- gestión de materiales, herramientas, accesorios de maquinaria&#10;- gestión de materiales sobrantes de excavación y construcción.&#10;                                                                                                                                                                                                                                                                Teniendo en cuenta que aún se adelantan actividades, al finalizar se debe Realizar el retiro de carpas, USP y herramientas de trabajo, garantizando que el área quede libre de residuos. ID50_SC22"/>
        <s v="Pendiente Gestión de materiales sobrantes de construcción (pétreo, sobre D50tamaños, placas de protección) ID52_SC22"/>
        <s v="Se requiere gestión de materiales sobrantes de excavación : en el SC y junto al vallado. ID53_SC22"/>
        <s v="Se requiere limpieza y recolección de RCD junto a NCU y vallado, así como en las zapatas de las hinchas con inversores. ID54_SC22"/>
        <s v="reposicion de antenas partidas en TCU ID57_SC22"/>
        <s v="pte correccion/instalacion  comm: Sin instalacion TCU Maestra en SC: 22 ncu: 14 MA0522-MQR008"/>
        <s v="pte correccion/instalacion  comm: Sin instalacion TCU Maestra en SC: 22 ncu: 14 MA0522-MQR009"/>
        <s v="pte correccion/instalacion  comm: Sin instalacion TCU Maestra en SC: 22 ncu: 14 MA0522-MQR010"/>
        <s v="pte correccion/instalacion  comm: Sin instalacion TCU Maestra en SC: 22 ncu: 14 MA0522-MQR011"/>
        <s v="pte correccion/instalacion  comm: Antena Rota en SC: 22 ncu: 14 MA0522-MQR012"/>
        <s v="pte correccion/instalacion  comm: Sin instalacion TCU Maestra en SC: 22 ncu: 14 MA0522-MQR020"/>
        <s v="pte correccion/instalacion  comm: Sin instalacion TCU Maestra en SC: 22 ncu: 14 MA0522-MQR021"/>
        <s v="pte correccion/instalacion  comm: Sin instalacion TCU Maestra en SC: 22 ncu: 14 MA0522-MQR022"/>
        <s v="pte correccion/instalacion  comm: Sin instalacion TCU Maestra en SC: 22 ncu: 14 MA0522-MQR023"/>
        <s v="pte correccion/instalacion  comm: Sin instalacion TCU Maestra en SC: 22 ncu: 14 MA0522-MQR024"/>
        <s v="pte correccion/instalacion  comm: Antena Rota en SC: 22 ncu: 14 MA0522-MQR025"/>
        <s v="pte correccion/instalacion  comm: Antena Rota en SC: 22 ncu: 14 MA0522-MQR026"/>
        <s v="pte correccion/instalacion  comm: Antena Rota en SC: 22 ncu: 14 MA0522-MQR027"/>
        <s v="pte correccion/instalacion  comm: Antena Rota en SC: 22 ncu: 14 MA0522-MQR029"/>
        <s v="pte correccion/instalacion  comm: Antena Rota en SC: 22 ncu: 14 MA0522-MQR030"/>
        <s v="pte correccion/instalacion  comm: String erroneo en SC: 22 ncu: 14 MA0522-MQR031"/>
        <s v="pte correccion/instalacion  comm: String erroneo en SC: 22 ncu: 14 MA0522-MQR032"/>
        <s v="pte correccion/instalacion  comm: Obstaculos (Impide movimiento) en SC: 22 ncu: 14 MA0522-MQR038"/>
        <s v="pte correccion/instalacion  comm: Antena Rota en SC: 22 ncu: 14 MA0522-MQR040"/>
        <s v="pte correccion/instalacion  comm: Cables Esclava 7 y 8 en SC: 22 ncu: 14 MA0522-MQR042"/>
        <s v="pte correccion/instalacion  comm: Cables Esclava 7 y 8 en SC: 22 ncu: 14 MA0522-MQR051"/>
        <s v="pte correccion/instalacion  comm: Cables Esclava 7 y 8 en SC: 22 ncu: 14 MA0522-MQR052"/>
        <s v="pte correccion/instalacion  comm: Cables Esclava 7 y 8 en SC: 22 ncu: 14 MA0522-MQR053"/>
        <s v="pte correccion/instalacion  comm: Cables Esclava 7 y 8 en SC: 22 ncu: 14 MA0522-MQR054"/>
        <s v="pte correccion/instalacion  comm: Cables Esclava 7 y 8 en SC: 22 ncu: 14 MA0522-MQR055"/>
        <s v="pte correccion/instalacion  comm: Sin instalacion TCU Maestra en SC: 22 ncu: 14 MA0522-MQR058"/>
        <s v="pte correccion/instalacion  comm: Sin instalacion TCU Maestra en SC: 22 ncu: 14 MA0522-MQR059"/>
        <s v="pte correccion/instalacion  comm: Sin instalacion TCU Maestra en SC: 22 ncu: 14 MA0522-MQR060"/>
        <s v="pte correccion/instalacion  comm: Sin instalacion TCU Maestra en SC: 22 ncu: 14 MA0522-MQR061"/>
        <s v="pte correccion/instalacion  comm: Sin instalacion TCU Maestra en SC: 22 ncu: 14 MA0522-MQR062"/>
        <s v="pte correccion/instalacion  comm: Sin instalacion TCU Maestra en SC: 22 ncu: 14 MA0522-MQR063"/>
        <s v="pte correccion/instalacion  comm: Sin instalacion TCU Maestra en SC: 22 ncu: 14 MA0522-MQR064"/>
        <s v="pte correccion/instalacion  comm: Sin instalacion TCU Maestra en SC: 22 ncu: 14 MA0522-MQR065"/>
        <s v="pte correccion/instalacion  comm: Sin instalacion TCU Maestra en SC: 22 ncu: 14 MA0522-MQR066"/>
        <s v="pte correccion/instalacion  comm: String erroneo en SC: 22 ncu: 14 MA0522-MQR067"/>
        <s v="pte correccion/instalacion  comm: Antena Rota en SC: 22 ncu: 14 MA0522-MQR069"/>
        <s v="pte correccion/instalacion  comm: Antena Rota en SC: 22 ncu: 14 MA0522-MQR070"/>
        <s v="pte correccion/instalacion  comm: Cables Esclava 7 y 8 en SC: 22 ncu: 14 MA0522-MQR084"/>
        <s v="pte correccion/instalacion  comm: Cables Esclava 7 y 8 en SC: 22 ncu: 14 MA0522-MQR085"/>
        <s v="pte correccion/instalacion  comm: Cables Esclava 7 y 8 en SC: 22 ncu: 14 MA0522-MQR086"/>
        <s v="pte correccion/instalacion  comm: Cables Esclava 7 y 8 en SC: 22 ncu: 14 MA0522-MQR087"/>
        <s v="pte correccion/instalacion  comm: Cables Esclava 7 y 8 en SC: 22 ncu: 14 MA0522-MQR088"/>
        <s v="pte correccion/instalacion  comm: Cables Esclava 7 y 8 en SC: 22 ncu: 14 MA0522-MQR089"/>
        <s v="pte correccion/instalacion  comm: Sin instalacion TCU Maestra en SC: 22 ncu: 14 MA0522-MQR090"/>
        <s v="pte correccion/instalacion  comm: Sin instalacion TCU Maestra en SC: 22 ncu: 14 MA0522-MQR091"/>
        <s v="pte correccion/instalacion  comm: Sin instalacion TCU Maestra en SC: 22 ncu: 14 MA0522-MQR092"/>
        <s v="pte correccion/instalacion  comm: Sin instalacion TCU Maestra en SC: 22 ncu: 14 MA0522-MQR093"/>
        <s v="pte correccion/instalacion  comm: Sin instalacion TCU Maestra en SC: 22 ncu: 14 MA0522-MQR094"/>
        <s v="pte correccion/instalacion  comm: sin instalacion cables hacia master y esclava 7 en SC: 22 ncu: 14 MA0522-MQR095"/>
        <s v="pte correccion/instalacion  comm: Antena Rota en SC: 22 ncu: 14 MA0522-MQR096"/>
        <s v="pte correccion/instalacion  comm: Antena Rota en SC: 22 ncu: 14 MA0522-MQR097"/>
        <s v="pte correccion/instalacion  comm: Antena Rota en SC: 22 ncu: 14 MA0522-MQR098"/>
        <s v="pte correccion/instalacion  comm: Antena Rota en SC: 22 ncu: 14 MA0522-MQR099"/>
        <s v="pte correccion/instalacion  comm: Antena Rota/Instalacion erronea TCU Maestra en SC: 22 ncu: 14 MA0522-MQR100"/>
        <s v="pte correccion/instalacion  comm: Antena Rota en SC: 22 ncu: 14 MA0522-MQR101"/>
        <s v="pte correccion/instalacion  comm: Antena Rota en SC: 22 ncu: 14 MA0522-MQR102"/>
        <s v="pte correccion/instalacion  comm: Antena Rota en SC: 22 ncu: 14 MA0522-MQR105"/>
        <s v="pte correccion/instalacion  comm: sin instalacion cables hacia master y esclava en SC: 22 ncu: 14 MA0522-MQR111"/>
        <s v="reposicion de Hurto bateria NCU 14 SC 22| sc22_o&amp;M"/>
        <s v="Falta relleno en concreto (Socavación) en base de hinca de inversores (General) ID10_SC23"/>
        <s v="Pendiente limpieza de omegas, ejes e hincas (General) ID11_SC23"/>
        <s v="Pendiente adecuación y nivelacion de terreno alrededor de inversores para evitar empozamientos (General) ID22_SC23"/>
        <s v="Se requiere limpieza de módulos ambas caras del cristal, ademas de limpieza de marco de modulos ID25_SC23"/>
        <s v="Pendiente instalación de tapa y cuello de ganso del tanque de aceite. Además verificar limpieza y lodos por dentro. ID38_SC23"/>
        <s v="Pendiente culminar la vía de acceso a la Cabina (CT) según ingenieria aprobada.  ID39_SC23"/>
        <s v="Pendiente base de concreto (Pollito) de ductos de cable en SACU de la Cabina 23 ID40_SC23"/>
        <s v="Penddiente en el Inversor 22 arreglar detalles de pintura en la base, punto de oxidación, limpieza, cubrir orificios en la base &#10;y arreglar esquina del techo afectada. ID53_SC23"/>
        <s v="Se requiere conformacion de terreno general en todo el subcampo, corrrecion de ahuellamientos, monticulos de tierra, carcavas y realizar nivelacion de terreno ID2_SC23"/>
        <s v="Pendiente instalación Tag de identificación definitiva de inversores en SC23 (General) ID3_SC23"/>
        <s v="Pendiente marcacion de torque en soportes de inversores (General) ID4_SC23"/>
        <s v="Realizar roceria en todo el SC23 ID14_SC23"/>
        <s v="Se requiere instalación de cuarta amarra en ductos solares de las Hincas (General) ID20_SC23"/>
        <s v="Correccion de oxidacion en bordes de chanel de soporte de inversores (General) ID26_SC23"/>
        <s v="Pendiente recortar sobrante de amarre plástico en (General) ID29_SC23"/>
        <s v="Se requiere aplicar grouting a la base del mástil de la NCU. 23 ID33_SC23"/>
        <s v="Pendiente instalación de arquetas inspección SPT de alrededor de Cabina CT23. ID35_SC23"/>
        <s v="Pendiente limpieza y retiro de lodos dentro del tanque de aceite ID37_SC23"/>
        <s v="Falta instalacion de tapas de torquetubos en trackers (General) ID18_SC23"/>
        <s v="Se requiere realizar la recolección y disposición de los residuos  (Bolsas, tuberías, madera...) que se encuentran acopiados productos de la limpieza del SC, adicionalmente reforzar la recolección de residuos de menor tamaño dispersos en todo el subcampo (zunchos, accesorios de tornilleria-tapas, amarres, plásticos), se resalta que simultánea a la caminata, la cuadrilla ambiental realizó recolección de residuos dispersos de menor tamaño. ID41_SC23"/>
        <s v="Pendiente gestión de materiales sobrantes de construcción, retiro y gestión de sobre tamaños. ID42_SC23"/>
        <s v="Terminar limpieza de cunetas (retiro de sedimentos) ID46_SC23"/>
        <s v="Pendiente retiro de Material de RCD en todo el Subcampo, incluyendo las áreas al rededor de la Cabina 23 ID49_SC23"/>
        <s v="Se debe retirar carpas, baños y dejar el área limpia y libre de residuos ID50_SC23"/>
        <s v="Pendiente instalacion de multiseal en llegada Cable baja Tensión (BT) de inversores (General) ID51_SC23"/>
        <s v="Pendiente aplicación de espuma Multiseal en ductos cable solar llegada a inversores (General) ID52_SC23"/>
        <s v="Pendiente protección de los hombros de la cuneta con geotextil y revegetalizacion. ID34_SC23"/>
        <s v="Se requiere Culminar los trabajos de cimentación en cabina, según ingenieria aprobada. ID36_SC23"/>
        <s v="pte correccion/instalacion  comm: Esclava 7 y 8 en SC: 23 ncu: 13 MA0523-MQR024"/>
        <s v="pte correccion/instalacion  comm: String erroneo en SC: 23 ncu: 13 MA0523-MQR049"/>
        <s v="pte correccion/instalacion  comm: TCU Maestra en SC: 23 ncu: 13 MA0523-MQR052"/>
        <s v="pte correccion/instalacion  comm: String erroneo en SC: 23 ncu: 13 MA0523-MQR058"/>
        <s v="pte correccion/instalacion  comm: Motor escalva 8 en SC: 23 ncu: 13 MA0523-MQR060"/>
        <s v="pte correccion/instalacion  comm: String erroneo en SC: 23 ncu: 13 MA0523-MQR079"/>
        <s v="pte correccion/instalacion  comm: TCU Maestra en SC: 23 ncu: 13 MA0523-MQR084"/>
        <s v="pte correccion/instalacion  comm: String erroneo en SC: 23 ncu: 13 MA0523-MQR091"/>
        <s v="Correccion de paneles averiados en subcampo  23| sc23_o&amp;M"/>
        <s v="Conformación de plataforma y acceso vehicular en área del CT 24 | sc24_22"/>
        <s v="corregir Pandeo en caja de FO diagonal a la ITS24 | sc24_24"/>
        <s v="Finalizar zanja y conexión de ductos de comunicaciónes general. &#10;Nota: Se debe generar red line con el recorrido e intersección de los ductos de CCTV, NCU, METEO, en SC24 | sc24_28"/>
        <s v="General: Falta perfilacion, Nivelación y sello de baches en terreno | sc24_53"/>
        <s v="Garantizar estabilidad de los taludes de la OC 5, costados sur y norte | sc24_113"/>
        <s v="TC 24: Construir acceso vial hacia la cabina | sc24_118"/>
        <s v="conformación de terreno Cajas de Empalme - Paso"/>
        <s v="Caja de empalme cxto 10 SC24 | conformación de terreno Cajas de Empalme - Paso"/>
        <s v="para el sc24 corregir sugecion de  cajas de fibra óptica para anillos de comunicación, actualmente pegadas con cinta doble cara"/>
        <s v="Finalizar obras de Banco de Ductos BT Cruce Vial. | sc24_1"/>
        <s v="Alinear marquillas y cintas d colores RETIE inv 22 SC24 | sc24_2"/>
        <s v="Flata Instalación SPT en las tapas de las Cajas BT OC5 | sc24_3"/>
        <s v="Falta impermiabilizar entrada de ductos de las  BT oc05 Cajas | sc24_4"/>
        <s v="Sellar ductos pendientes de las cajas BT OC5 | sc24_5"/>
        <s v="Riel Chanel presenta oxidación en el string inverter 11 | sc24_7"/>
        <s v="Falta Instalar Cintas de colores RETIE  en las cajas BT OC5 | sc24_8"/>
        <s v="Entre trackers MQR 056 Y 055: Recolección y retiro de residuos de tierra y roca | sc24_10"/>
        <s v="Falta finalizar pollo en concreto de comunicaciones tc 24 | sc24_12"/>
        <s v="Aplicación de poliuretano en prensaestopa de SACU. | sc24_14"/>
        <s v="Falta marcaciónen pernos de fijación de inversores SC24 (general) | sc24_19"/>
        <s v="Falta marcación de Testigo SPT inversores SC24 (general) | sc24_21"/>
        <s v="Falta finalizacion de drenajes en SC24 y alrededores (General) | sc24_29"/>
        <s v="Falta Rocería (General) | sc24_30"/>
        <s v="Falta acoplar el sello de ingreso de BT en la String Inversor 04 | sc24_33"/>
        <s v="Finalizar obras de excavacion en el subcampo sc24 | sc24_37"/>
        <s v="Aplicación Espuma Poliuretano Ducto Solar Inversor 14 | sc24_40"/>
        <s v="Mejorar acabado Afloramiento BT Inversor 2/14 | sc24_44"/>
        <s v="Instalación de señales en Tapas cajas de paso BT  Cajas de Paso BT OC 05 Costado Norte | sc24_46"/>
        <s v="Pendiente instalacion (Tag, Tensión y Ctos) cajas de paso BT Cajas de Paso BT (General) | sc24_47"/>
        <s v="Pendiente instalacion de TAG de cajas de paso BT Cajas de Paso BT (General) | sc24_48"/>
        <s v="Falta recorte y acabado Ducto SPT Hincas Inversor 13 | sc24_49"/>
        <s v="Mejorar Afloramiento SPT del Inversor 13 (Presenta afectacion en sello) | sc24_55"/>
        <s v="Inv 20 SC24 reemplazo de cintas de colores se están decolorando | sc24_56"/>
        <s v="Finalizar obras de CCTV en sc24 | sc24_58"/>
        <s v="Mejorar acabado Afloramiento BT Inversor 2/13 | sc24_62"/>
        <s v="Mejorar acabado Afloramiento BT Inversor 2/15 | sc24_63"/>
        <s v="Mejorar acabado Hormigonado Base Hincas en Inversores General. | sc24_66"/>
        <s v="Orden y aseo cajas BT OC5 | sc24_67"/>
        <s v="Paisajismo y finalizacion de nivelacion de terrreno en área de cajas en el cruce con la OC-05. | sc24_68"/>
        <s v="Pendiente instalacion de Tapas cajas BT OC5 | sc24_70"/>
        <s v="Pendiente senalizacion inversor SI - general | sc24_71"/>
        <s v="Limpieza y retiro de sedimentos y recoleccion residuos en cunetas. Sc24 | sc24_85"/>
        <s v="NCU  en frente del tracker MQR 40: Aplicar grout de nivelación en pernos de la base | sc24_86"/>
        <s v="Pendiente conectar spt lado BT TC24 | sc24_87"/>
        <s v="Sellado de ductos en BT TC24 (General) | sc24_91"/>
        <s v="Pendiente instalación base en concreto en String Inverter SI12 | sc24_93"/>
        <s v="Celda G1 TC24 Ajustar SPT pantallas | sc24_95"/>
        <s v="Celda G1 TC24 Reemplazar termoencogible en spt está roto | sc24_97"/>
        <s v="Falta Relleno y Compactación en Afloramiento Pasos de Mesas En Subcampo (General) | sc24_108"/>
        <s v="Retirar montículo de tierra entre trackers MQR39 y MQR40 | sc24_109"/>
        <s v="Instalar amarre y remplazar lazo en la entrada del cable solar en los tracker 12 y 13. | sc24_110"/>
        <s v="Retirar Plástico si 2/14 | sc24_111"/>
        <s v="Retiro residuos de tierra en el cauce, costados sur y norte de la OC 5, para garantizar el recorrido del cauce | sc24_114"/>
        <s v="Garantizar estabilidad y terminación del vial en la OC 5, debido a desprendimiento de los hombros o bordes en sc24 | sc24_115"/>
        <s v="Retirar residuos tubería corrugada, en zona del tanque de aceites | sc24_116"/>
        <s v="Retirar/acomodar soporte ductos BT SI04 | sc24_117"/>
        <s v="Limpieza y recolección de RCD junto a inversores y cunetas en sc24 | sc24_119"/>
        <s v="Retiro acopio de residuos de tierra en sc24 | sc24_120"/>
        <s v="OC5: limpieza, manejo de sedimentos, garantizar el flujo cauce, protección de taludes, y obra de acuerdo a lo establecido en la L.A | sc24_122"/>
        <s v="Terminación tubo HDPE en la parte inferior del cableado de BT ingreso a TC. | sc24_123"/>
        <s v="Sellado ductos SPT en hinca y corte tubo PVC al ras de piso (General) | sc24_125"/>
        <s v="General testigos de torque en tierras de TC. | sc24_126"/>
        <s v="Instalacion de señalizacion retie en caja de fo en diagonal a la its24 | sc24_127"/>
        <s v="Hacen falta diagramas unifilares en TC. | sc24_130"/>
        <s v="Entrega de Planos Redline de los Grupos Funcionales MT, BT, SOLAR, F.O, SPT, CABINA, TRACKERS (SI APLICAN) | sc24_131"/>
        <s v="NC096 Arreglo inadecuado del ingreso del cable BT Cabina 24 | sc24_132"/>
        <s v="Limpieza Módulos Solares (General) | sc24_23"/>
        <s v="Instalación de Monolito Cajas de Paso BT OC 05 Costado Norte | sc24_39"/>
        <s v="General : Retoque de pintura, donde se observa desprendimiento del galvanizado | sc24_42"/>
        <s v="General: Galvanizado pernos que sujetan los módulos(Paneles) en sc24 | sc24_45"/>
        <s v="General: Limpieza de hincas cubiertas de tierra | sc24_51"/>
        <s v="Gestión de residuos de aprovechamiento forestal (vallado y entre tracker). Sc24 | sc24_57"/>
        <s v="SC24_MODULO DAÑADO SI. 07 String 15 traker 48"/>
        <s v="SC24_MODULO DAÑADO SI.10 String 01 traker 32"/>
        <s v="SC24_MODULO DAÑADO SI.12 String 16 traker 16"/>
        <s v="pte correccion/instalacion  comm: Obstaculo (Impide movimiento) en SC: 24 ncu: 11 MA0824-MQR012"/>
        <s v="pte correccion/instalacion  comm: Esclava 8 en SC: 24 ncu: 11 MA0824-MQR018"/>
        <s v="pte correccion/instalacion  comm: Antena Rota en SC: 24 ncu: 12 MA0824-MQR074"/>
        <s v="Bases en concreto cubierta por sedimento, no cumple distanciamiento mínimo de 60 cm, O&amp;M SC 24 general revision de todos los inversores| sc24_o&amp;M"/>
        <s v="Correccion de paneles averiados en subcampo  24| sc24_o&amp;M"/>
        <s v="En mesas del SC24, la 081, 082 y 096 se observa spt de las hincas sin torquear o sin testigos de torque.| sc24_o&amp;M"/>
        <s v="Correccion de falla de aislamiento solar en string 15 PV 22 de la SI.24.06 sc 24 O&amp;M| sc24_o&amp;M"/>
        <s v="para el sc25 corregir sugecion de  cajas de fibra óptica para anillos de comunicación, actualmente pegadas con cinta doble cara"/>
        <s v="instalacion de tapas en torquetubos del subcampo general | SC25_4"/>
        <s v="SC 25 - General: Perfilar y nivelar terreno para sello de baches o huecos dejados por maquinaria y equipo, evitando zonas inundables | SC25_5"/>
        <s v="SC 25 - General: Limpieza estructura (incluye hincas, ejes de rotación, omegas soportes,, actuadores, etc) | SC25_7"/>
        <s v="Aplicación Anticorrosivo y pintura en Riel Channel Base Inversores General | SC25_13"/>
        <s v="Realizar adecuacion de cable solar en llegada de inversor, garantizando retiro de amarres no necesarios, MA0825-MQR069 | SC25_15"/>
        <s v="General: Marquillado definitivo de los trackers | SC25_16"/>
        <s v="Adecuar terreno y tapar zanjas TR 110 | SC25_18"/>
        <s v="Retiro de baldes de Minicargador en el subcampo | SC25_20"/>
        <s v="Instalación de Placa info Inversores General (se instala placa provisional) | SC25_24"/>
        <s v="Adecuación de terreno para drenaje del área. | SC25_25"/>
        <s v="Falta una cuarta amarra en tracker para ductos solares ( general). | SC25_26"/>
        <s v="Terminar de perfilar, reconformar y compactar terreno, contiguo al cerramiento perimetral  (cerca a los MQR  041, 010, 009, 008, 097, 006, 005, 004, 003) | SC25_32"/>
        <s v="Perfilar y sellar zona  entre trackers con presencia de carcavas | SC25_34"/>
        <s v="finalizar todas las excavaciones y adecuaciones de terreno civil alrededor del ct | SC25_35"/>
        <s v="General: Retirar plástico Ducto Afloramiento BT Inversores | SC25_37"/>
        <s v="Limpiar tubo hdpe en Salto de Hinca TR023 | SC25_38"/>
        <s v="Hinca Baja TR 052 | SC25_39"/>
        <s v="NCU: Aplicar grout de nivelación zona pernos de la base en concreto. Realizar lleno compactado alrededor de la base. Asegurar la superficie de la base para evitar empozamiento de agua (canal) | SC25_40"/>
        <s v="Realizar correcto Anclaje de la CT con pernos adecuados, actualmente tiene pernos cortos y la tuerca queda mal sujetada. | SC25_41"/>
        <s v="TC 25: Reconstruir el terraplén o plataforma con material de base granular, por capas, con compactacion respectiva y toma de densidades (no se acepta material alterado o contaminado) | SC25_42"/>
        <s v="Boquilla del tanque de aceites y cuello de ganso inclinados. Enderezar e instalar señalizacion vertical | SC25_43"/>
        <s v="Falta Instalación de Tapa en Tablero Servicios Auxiliares | SC25_44"/>
        <s v="Instalación Cajas Inspección SPT CT | SC25_45"/>
        <s v="Construir vía de acceso a la TC | SC25_47"/>
        <s v="Aplicación de Poliuretano en Ducto Afloramiento MT en CT | SC25_48"/>
        <s v="Limpieza y retiro de sedimentos y recoleccion residuos delimitación en cunetas. | SC25_54"/>
        <s v="garantizar instalacion de Termoencogible en los terminales de tierra que van entre las mesas | SC25_57"/>
        <s v="Adecuación de terreno NCU10 | SC25_58"/>
        <s v="Identificación con diagramas unifilares y ubicación de SI en puertas del panel A y panel B | SC25_60"/>
        <s v="garantizar entrega de Red lines de cambios de ruta de cableado solar, BT y MT | SC25_62"/>
        <s v="Limpieza general estructuras de soporte de paneles | SC25_8"/>
        <s v="Limpieza general de paneles con presencia de carton | SC25_9"/>
        <s v="Corte de Puntas de amarres General | SC25_19"/>
        <s v="SC25_ SOLAR HURTO Inversor 04 PV06 TODOS LOS STRINGS"/>
        <s v="General: Realizar lleno con compactacion manual, alrededor de las bases de los inversores | SC25_28"/>
        <s v="Adecuación de terreno entre tracker 82 y 83 | SC25_29"/>
        <s v="Instalación Pollo Banco de Ductos Afloramiento Comunicaciones | SC25_46"/>
        <s v="Gestión de materiales sobrantes de excavación. | SC25_51"/>
        <s v="Gestión de residuos de aprovechamiento forestal cerca al vallado y en el SC. | SC25_53"/>
        <s v="pte correccion/instalacion  comm: String erroneo en SC: 25 ncu: 10 MA0825-MQR032"/>
        <s v="pte correccion/instalacion  comm: String erroneo en SC: 25 ncu: 10 MA0825-MQR092"/>
        <s v="Bases en concreto cubierta por sedimento, no cumple distanciamiento mínimo de 60 cm, O&amp;M SC 25 general revision de todos los inversores| sc25_o&amp;M"/>
        <s v="correcion de Batería de la estacion metereologica se encuentra suelta sc25| sc25_o&amp;M"/>
        <s v="Pendiente marcación de torque en tornillos Trackers TR 52 Hinca 2 NS | sc26_23"/>
        <s v="Pendiente Lleno con compactacion manual alrededor de la base de la NCU | sc26_32"/>
        <s v="Se requiere construir terraplén o plataforma de la TC26, con base granular (no se acepta material alterado o contaminado), colocar bordillos y grava | sc26_47"/>
        <s v="Caja empalme cxto 10 SC26 | orden y aseo"/>
        <s v="para el sc26 corregir sugecion de  cajas de fibra óptica para anillos de comunicación, actualmente pegadas con cinta doble cara"/>
        <s v="Pendiente multiseal en afloramiento ductos BT en Inversores (General) | sc26_8"/>
        <s v="Falta instalar cuarto amarre plástico en ducto de cable solar en el tracker 26 y 27 | sc26_9"/>
        <s v="Se evidencia Tornillos de riel en inversores presentan oxidación, (General) | sc26_10"/>
        <s v="Pendiente instalar termoencogible del sistema SPT del Inversor 9 | sc26_11"/>
        <s v="Pendiente conexionado alimentación TCU (General) | sc26_12"/>
        <s v="Pendiente sellado con espuma en ductos salto de hinca (General) | sc26_15"/>
        <s v="Pendiente limpieza y lavado de modulos (incluye marcos o bordes) (General) | sc26_16"/>
        <s v="Aplicar espuma poliuretano y Multiseal en ducto de la tierra en el tracker 28 | sc26_17"/>
        <s v="Se evidencia riel en inversores presentan oxidación aplciar galvanizado (General) | sc26_19"/>
        <s v="Se requiere Cortar tubo y aplicar sello en SPT de la hinca en Inversor SI01 | sc26_20"/>
        <s v="Pendiente Maración de torque latiguillo SPT para hincas - (General). | sc26_24"/>
        <s v="Falta sellar ductos en SPT de las String Inverter SI (General) | sc26_26"/>
        <s v="Pendiente Marcacion definitiva de los trackers (General) | sc26_27"/>
        <s v="Aplicar grouting de nivelacion en zona de pernos de la NCU. | sc26_30"/>
        <s v="Generar drenaje en la superficie del concreto de la NCU | sc26_31"/>
        <s v="Instalar placa característica y señalización retie en los inversores en (General), se instala  señalizacion provisional, se requiere instalacion de señalizacion definitiva | sc26_36"/>
        <s v="Pendiente colocar señalización de Seguridad en las áreas del subcampo 26 (General) | sc26_39"/>
        <s v="Se requiere nivelacion de terreno general del subcampo, correccion de ahuellamiento y finalizacion de obras civiles en el subcampo | sc26_41"/>
        <s v="Adecuar posicionamiento del tanque de aceites (aplome) para que el cuello de ganso quede vertical | sc26_42"/>
        <s v="Adecuar terreno alrededor del tanque de la Cabina | sc26_43"/>
        <s v="Pendiente señalizacion vertical del tanque de aceites de la Cabina | sc26_45"/>
        <s v="Pendiente resanar viga de cimentación de la TC 26, presenta averia | sc26_49"/>
        <s v="Falta instalar tapas de auxiliares en Cabinas 26 | sc26_51"/>
        <s v="Corregir peinado de cable solar en puntos intermedios tracker 110 (Sector con 3 circuitos) | sc26_52"/>
        <s v="Pendiente instalación de Caja SPT y validación de conexionado en el Cabina CT26. | sc26_53"/>
        <s v="Finalizar vallado correspondioente a seccion en cercania al Subcampo 26 SC26 | sc26_57"/>
        <s v="Pendiente instalar de tabla de conexiones de BT panel A y B en el Cabina CT26. | sc26_58"/>
        <s v="Pendiente conformacion de cimentación de cuneta al rededor de la Cabina CT 26 | sc26_61"/>
        <s v="Se requiera limpieza de drenajes que se encuentran en cercania al Subcampo 26 | sc26_62"/>
        <s v="Pendiente adecuación de ducto en el ingreso de cable MT en el CT26 | sc26_63"/>
        <s v="Pendiente instalación de identificación con diagramas unifilares y ubicación de SI en puertas del panel A y panel B | sc26_64"/>
        <s v="Pendiente presentar Red line de cambios de ruta de cableado Solar, BT y MT, ubicación Trackers | sc26_65"/>
        <s v="⁠Pendiente sello debajo de cabina del Subcampo 26 para evitar ingreso de animales | sc26_66"/>
        <s v="Pendiente Liberar torque BT y SPT en inversor 1/01 | sc26_67"/>
        <s v="Pendiente liberar torque BT en los panel por cable  Inversor 1/01 pendiente por Liberación de Torque BT | sc26_68"/>
        <s v="Se requiere nivelar, reconformar y compactar el terreno, debido a baches o huecos dejados por telehandlers y maquinaria (General). | sc26_1"/>
        <s v="Pendiente limpieza de estructura (hincas, soportes, omegas, torquetubos) (General). | sc26_3"/>
        <s v="Se requiere en el Trackers MQR 026 en la hinca 9 aplicar pintura Galvanizada en la hinca por desgaste | sc26_5"/>
        <s v="Reparar daño en estructura de hinca, Afectación hinca 3 S-N Trackers TR 50 | sc26_6"/>
        <s v="Pendiente retiro y limpieza de residuos de construccion, madera y desechos en el subcampo 26 (General) | sc26_18"/>
        <s v="Instalar tapa en torque tubo en el trackers (General) | sc26_21"/>
        <s v="Pendiente profundizar ducto de cable solar MA0826-,MQR016 | sc26_22"/>
        <s v="Desencofrar bases de inversores y realizar lleno con compactacion manual alrededor de los mismos (General) | sc26_25"/>
        <s v="Pendiente construir vial de acceso a la TC 26 | sc26_46"/>
        <s v="Corregir acabados de los concretos en las bases CCTV | sc26_54"/>
        <s v="pte correccion/instalacion  comm: Obstaculo (Impide movimiento) en SC: 26 ncu: 9 MA0826-MQR026"/>
        <s v="pte correccion/instalacion  comm: Obstaculo (Impide movimiento) en SC: 26 ncu: 9 MA0826-MQR070"/>
        <s v="pte correccion/instalacion  comm: Obstaculo (Impide movimiento) en SC: 26 ncu: 9 MA0826-MQR089"/>
        <s v="pte correccion/instalacion  comm: Obstaculo (Impide movimiento) en SC: 26 ncu: 9 MA0826-MQR092"/>
        <s v="Correccion en CT26 Falta poner tapa frontal al tablero de control UPS  en sc26"/>
        <s v="Bases en concreto cubierta por sedimento, no cumple distanciamiento mínimo de 60 cm, O&amp;M SC 26 general revision de todos los inversores| sc26_o&amp;M"/>
        <s v="Correccion de paneles averiados en subcampo 26| sc26_o&amp;M"/>
        <s v="Falta instalar tapa frontal del trablero de SSAA tc 26| sc26_o&amp;M"/>
        <s v="Adecuación del terreno al  alrededor de la ct | SC27_2"/>
        <s v="Terminación de cuneta costado Norte cerca del ct | SC27_5"/>
        <s v="General: Mejorar el acabado y compactacion de terrreno alrededor de las bases de los inversores | SC27_30"/>
        <s v="Retiro de carton en cara frontal de modulos del sc27, presencia de carton y tierra. | SC27_37"/>
        <s v="para el sc27 corregir sugecion de  cajas de fibra óptica para anillos de comunicación, actualmente pegadas con cinta doble cara"/>
        <s v="Aplicación de Multiseal en ductos solares, BT | SC27_1"/>
        <s v="Aplicación de espuma poliuretano en ducto SPT en general | SC27_3"/>
        <s v="Aplicación de Multiseal Banco de Ducto Solar | SC27_4"/>
        <s v="General: Rocería | SC27_6"/>
        <s v="Peinado y figurado Cable Antena TCU Masters | SC27_8"/>
        <s v="Inversor 05 corregir puntos de oxidación en riel Chanel | SC27_11"/>
        <s v="MQR 58 hinca 4: Retiro terrón de tierra en alma de la hinca | SC27_14"/>
        <s v="Realizar corte sobrante de amarres plásticos en ducto de cable solar en general. | SC27_16"/>
        <s v="Aplicación Anticorrosivo Riel Channel Base Inversor 04 | SC27_17"/>
        <s v="Retirar trozos de madera en ductos solar en general que fueron usados en la etapa de construccion | SC27_19"/>
        <s v="Realizar Terramiento Latiguillo SPT Hinca TR014 | SC27_22"/>
        <s v="Reforzar Amarre (Bridado) Cable Solar Eje Trackers 031 | SC27_23"/>
        <s v="Instalación Marquilla Riesgo Eléctrico Inversores (General) | SC27_24"/>
        <s v="Pendiente recortar ducto spt y aplicar espuma hinca inversores - general | SC27_26"/>
        <s v="Instalación Marquilla (Tag) Inversores (General), se requiere marquilla definitiva | SC27_27"/>
        <s v="Realizar Limpieza Cable Solar TR030 | SC27_28"/>
        <s v="limpieza general del subcampo, retiro de materiales sobrantes, cables, maderas, troncos, raices, monticulos de tierra | SC27_32"/>
        <s v="Realizar Limpieza Inversores, presentan manchas de tierra y de grasa en base y frente | SC27_33"/>
        <s v="Limpieza de conector bimetálico SPT hinca uno tracker 89 | SC27_35"/>
        <s v="Retirar Plástico Ducto Afloramiento Salida BT Inversores (General) | SC27_39"/>
        <s v="ejecucion de marca de apriete (torque) en tierra de hinca del inversor MSE15 | SC27_41"/>
        <s v="Realizar limpieza de ductos cable solar, String Inverter y inversor en general | SC27_42"/>
        <s v="retirar acopios de tierra del subcampo general | SC27_43"/>
        <s v="inversor 8 instalar termoecongible de manera adecuada y corte de ducto PVC de la tierra del inversor. | SC27_44"/>
        <s v="Instalación Diagrama Unifilar BT Panel A - B | SC27_45"/>
        <s v="Retirar tronco de madera en ducto solar en salto de tracker 067 y 053 | SC27_46"/>
        <s v="Realizar marca de apriete (torque) en tierra de hinca inversor MSE16 (General) | SC27_47"/>
        <s v="Instalación Tapa Tablero SSAA CT | SC27_48"/>
        <s v="Instalación de Masilla Prensaestopas SACU - Tab Comicaciones e Ingreso CT | SC27_49"/>
        <s v="Pendiente marcas de torque en caja controladora de NCU | SC27_50"/>
        <s v="Pendiente grouting en NCU, marcas de torque caja controladora | SC27_51"/>
        <s v="Se requiere protección de material granular en acopio en cercania de subcampo 27 | SC27_53"/>
        <s v="realizar cubierta de tierra en reserva en tubo NCU | SC27_54"/>
        <s v="Pendiente instalar 4 pozo spt malla.perimetral cabína | SC27_55"/>
        <s v="garantizar correcta orientacion de la caja de la NCU conforme al diseño de ingenieria | SC27_56"/>
        <s v="Instalar señalizacion vertical tanque de aceites | SC27_59"/>
        <s v="Retiro sedimento de la cuneta en concreto | SC27_60"/>
        <s v="Terminar de reconformar terraplén para evitar ingreso roedores alrededor de CT | SC27_61"/>
        <s v="Recorte de exceso de espuma poliuretano en ducto salto de tracker. GENERAL | SC27_62"/>
        <s v="Falta instalar cuarto amarre plástico en ducto de cable solar en general. | SC27_64"/>
        <s v="Terminar de colocar en la corona del terraplén  la grava y  bordillos perimetrales.. | SC27_65"/>
        <s v="Limpieza general cabina SC27 | SC27_66"/>
        <s v="Entrega de Red Line de cambios de ruta de cableado solar, BT, MT, F.O, Ubicación de Trackers, SPT. | SC27_67"/>
        <s v="⁠Sello debajo de cabina para evitar ingreso de animales | SC27_68"/>
        <s v="correccion de falla en cableado ac en inversor 14 del sc27, pendiente torqueo de cableado ac en inversor y cabina | SC27_69"/>
        <s v="- Falta waterproof en INV 02 PV20 | SC27_70"/>
        <s v="- Falta waterproof en INV 03 PV 19 y 20 | SC27_71"/>
        <s v="- INV 18 sin testigo torque hinca | SC27_72"/>
        <s v="- INV 17 sin testigo torque hinca | SC27_73"/>
        <s v="- INV 08 sin testigo torque hinca | SC27_74"/>
        <s v="- SPT sin torque en INV 06 | SC27_75"/>
        <s v="- SPT sin torque en INV 05 | SC27_76"/>
        <s v="General: Limpieza estructura  (incluye hincas, soportes, omegas, torquetubos) | SC27_9"/>
        <s v="Limpieza de modulos y marcos de Módulos FV (General) | SC27_13"/>
        <s v="General: Retoque galvanizado en hincas oxidadas y everiadas por golpes | SC27_18"/>
        <s v="correcion de hinca baja MQR106 y 107 - Al extremo del tracker | SC27_31"/>
        <s v="General: Terminar decodificar el terreno, correccion de carcavas, nivelacion de terreno conforme a ingenieria, Posterior a los nuevos movimientos de tierras garantizar la distancia de 50 cm mínimo tanto al ESTE como al OESTE desde el terreno natural a los paneles en zona plana y de 32,5 cm mínimo con la máxima pendiente de 15°. (Movimientos de Tierra que impliquen retirar montículos de tierra, corregir cárcavas, corregir hincas altas, rellenar huecos por retiro de tocones). | SC27_38"/>
        <s v="Instalación de Pollo en Concreto Banco de Ducto Comunicaciones | SC27_52"/>
        <s v="Perfilar y nivelar terreno, por donde pasa el cableado de CCTV | SC27_57"/>
        <s v="Mejorar la entrega final en tierra de la cuneta  para que circule el agua por debajo de la malla del cerramiento | SC27_58"/>
        <s v="pte correccion/instalacion  comm: Obstaculo (Impide movimiento) en SC: 27 ncu: 8 MA0827-MQR018"/>
        <s v="pte correccion/instalacion  comm: Obstaculo (Impide movimiento) en SC: 27 ncu: 8 MA0827-MQR062"/>
        <s v="pte correccion/instalacion  comm: Obstaculo (Impide movimiento) en SC: 27 ncu: 8 MA0827-MQR077"/>
        <s v="pte correccion/instalacion  comm: Actuador Esclava 7 en SC: 27 ncu: 8 MA0827-MQR078"/>
        <s v="pte correccion/instalacion  comm: Obstaculo (Impide movimiento) en SC: 27 ncu: 8 MA0827-MQR099"/>
        <s v="Bases en concreto cubierta por sedimento, no cumple distanciamiento mínimo de 60 cm, O&amp;M SC 27 general revision de todos los inversores| sc27_o&amp;M"/>
        <s v="Correccion de paneles averiados en subcampo 27| sc27_o&amp;M"/>
        <s v="Garantizar el cierre uniforme que evita el ingreso de animales al punto de conexión  en BT."/>
        <s v="Identificación del compartimiento de BT"/>
        <s v="Nomenclatura operativa de BT en breaker"/>
        <s v="Identificación del TAG de la NCU."/>
        <s v="Instalación de placa característica en inversores"/>
        <s v="Instalación de la señalizacion RETIE en inversores"/>
        <s v="Realizar el cambio de los esparragos que no cumplen con la distancia mínima por fuera de la tuerca."/>
        <s v="Identificación de celdas de MT con nomenclatura operativa."/>
        <s v="CCTV"/>
        <s v="Instalacion de sensores de temperatura"/>
        <s v="Remates y acabados del concreto de la cimentacion de la CT-28."/>
        <s v="Conformación de la plataforma, paisajismo y drenajes del área de la CT-28."/>
        <s v="Instalación del cuello de ganso del tanque de fluidos de la CT-28."/>
        <s v="Construcción vial de acceso  a la CT-28"/>
        <s v="Desencofrado y lleno alrededor de la base de la estación meteo.."/>
        <s v="Nivelación de terreno general  del SC-28"/>
        <s v="Identificación de tracker"/>
        <s v="Se identifica material que obstruye movimiento de tracker"/>
        <s v="Hinca inversor MSE 20: Altura de hinca a acá ado de concreto 2,08 m. No cumple"/>
        <s v="Hincas bajas por arrastre de material"/>
        <s v="Cárcavas afectan altura de hincas"/>
        <s v="Inversor MSE 01: Realizar resane al concreto de la base"/>
        <s v="Inversor MSE  14: Realizar resane a base del concreto, en afloramiento del cable"/>
        <s v="Conformación para control de carcavas SC-28."/>
        <s v="Se identifican Hincas que no cumplen con la altura debido al movimiento de tierra"/>
        <s v="Se identifica acercamientos con el suelo debido a movimientos de tierra  y desprendimiento de matrial"/>
        <s v="Es necesario recolección de residuos de plástico, cartón, madera que se encuentran dispersos en el área."/>
        <s v="Material de excavación mezclado con residuos plásticos (tuberia), adicionalmente se observa material petreo en el área."/>
        <s v="Disponer adecuadamente.RCD, plástico y material de excavación"/>
        <s v="La madera usada en la estructura, esta debe retirarse y hacer disposición adecuada."/>
        <s v="Revisar en el SC en general entre los trackers, ya que se observan residuos plásticos asi como RCD."/>
        <s v="Limpieza general. Residuos de Icopor, y residuos de delimitación (manila, cinta peligro) el cual se encuentra en áreas ya conformadas."/>
        <s v="Cuenta con acopio temporal de residuos de madera, este espacio debe estar delimitado, señalizado, en orden y aseo. Adicionalmente cuando se realice el respectivo desmantelamiento y retiro total del acopio, el área debe entregarse limpia."/>
        <s v="Falta de señalización y/o delimitación teniendo en cuenta las pruebas que se estén ejecutando"/>
        <s v="Caja de empalme sin tapa"/>
        <s v="SPT del cerramiento del CT expuesto"/>
        <s v="Ajustar señalizaciónes instaladas"/>
        <s v="No se evidencia señalización"/>
        <s v="Inundamiento por lluvias"/>
        <s v="limpieza de módulos."/>
        <s v="Roceria"/>
        <s v="Cables esclavas =T14"/>
        <s v="Cable esclava 8=T33"/>
        <s v="Battery =T38"/>
        <s v="Obstaculo =T38 y 39"/>
        <s v="para el sc28 corregir sugecion de  cajas de fibra óptica para anillos de comunicación, actualmente pegadas con cinta doble cara"/>
        <s v="Bases en concreto cubierta por sedimento, no cumple distanciamiento mínimo de 60 cm, O&amp;M SC 28  general revision de todos los inversores| sc28_o&amp;M"/>
        <s v="Correccion de paneles averiados en subcampo 28| sc28_o&amp;M"/>
        <s v="Construir vía de acceso a la TC"/>
        <s v="Adecuación del terreno adyacente al acabado de cabina"/>
        <s v="Presentar aval de ingeniería sobre el proceso de prolongación de la tierra en pantalla"/>
        <s v="General: Sello de carcsvas"/>
        <s v="Adecuación general del terreno evitando empozamientos"/>
        <s v="General: Lleno compactado alrededor de las bases de los inversores"/>
        <s v="General: Limpieza en elementos de estructura"/>
        <s v="Hinca con base de concreto cubierta por material de arrastre pendiente corte del terreno y garantizar descole Tracker 60 Hinca 1"/>
        <s v="Aterrizar la Cabina por MT."/>
        <s v="Reforzar la instalación de los ductos de BT."/>
        <s v="CT: Conformar la plataforma"/>
        <s v="Finalizar conexionado de malla de la cabina e instalación de cajas."/>
        <s v="Instalacion de nomenclatura operativa de BT en breaker"/>
        <s v="Revisar de manera general limpieza galvanizados estructuras"/>
        <s v="Resanar borde concreto viga de cimentación de la TC"/>
        <s v="Construcción del terraplén y acabado en la Cabina."/>
        <s v="Señalizar tanque de aceites y colocar cuello de ganso"/>
        <s v="No se observa señales de torqueo de manera general en todo en todo en su campo en soporte de omegas"/>
        <s v="Terminar de colocar pernos en pared base de la TC"/>
        <s v="Señalización del tanque de trampa de aceite"/>
        <s v="Instalar nomenclatura operativa en celdas de MT."/>
        <s v="Anclaje TC manera general SC29, faltan pernos de platina a cabina e instalación de una platina"/>
        <s v="Pendiente aplicacion de masilla sellaste en SACU"/>
        <s v="Conformación taludes y plataforma al rededor TC SC29"/>
        <s v="garantizar la protección del cable de MT."/>
        <s v="Señalizar, delimitar y cubrir material de construcción (arena) y retirar excedentes cuando finalicen actividades."/>
        <s v="Dar manejo al material de excavación que se encuentra junto al CT, una vez finalicen las actividades."/>
        <s v="Lavado de paneles"/>
        <s v="Desencofrar base de la Estacion Metereologica, realizar lleno compactado a su alrededor y colocar grout en la base de los pernos"/>
        <s v="Instalar planos unifilares de MT, BT y SSAA."/>
        <s v="Terminar de realizar lleno entre las vigas de la TC"/>
        <s v="Lleno compactado alrededor de la caja MT, e instalar tapa"/>
        <s v="Instalar tag de cabina definitivo y plano de ubicación de string inverter"/>
        <s v="Escalera caja MT debe ser varilla 5/8&quot; e impermeabilizar caja"/>
        <s v="Dar manejo al material sobrante de excavación que se encuentra junto a la estación meteorológica del subcampo 29"/>
        <s v="Pendiente aplicacion de galvanizado en puntos de corte de riel tablero de comunicaciones"/>
        <s v="Instalación de señalizacion RETIE  en cabina"/>
        <s v="Señalización vertical de identificación de SC"/>
        <s v="Falta instalar marquilla de las Líneas MT en Celda G2 de transformación."/>
        <s v="Garantizar sello debajo de cabina para acceso de animales"/>
        <s v="General: Marcacion de torqueo"/>
        <s v="Retiro y gestión de residuos de madera, plástico, RCD y residuos ordinarios que se encuentran por el inversor 22 / Tracker 86."/>
        <s v="Identificación de SI e instalación riesgo eléctrico, general"/>
        <s v="Pendiente figurado antena TCU master - general"/>
        <s v="Sello de ductos ingreso cable solar, general"/>
        <s v="General: Colocar marcacion definitiva de los Trackers"/>
        <s v="Sello ductos en bajante de agrupación de cable solar, general"/>
        <s v="Retirar mampara del tracker no colgar nada de los mismos"/>
        <s v="Realizar limpieza general, recolección de residuos y retiro de parte de hinca por tracker 58."/>
        <s v="MQR 086 hinca 4; Limpieza de la hinca"/>
        <s v="Inversor MSE 22: Sellar fisuras en el concreto de la base, sellar hueco en el centro de la hinca"/>
        <s v="Sedimentacion placa concreto String Inverter T60"/>
        <s v="Identificación de hincas"/>
        <s v="Revisar instalacion tolerancia soporte a ras extremo torque tubos T61 hinca1"/>
        <s v="Pendiente aplicacion de multiseal y mejorar el sellado alrededor del.cable AC string inverter. Pl general"/>
        <s v="Inversor MSE 11: Sellar fisuras en el acabado de la base del concreto"/>
        <s v="Pendiente adecuacion SPT ST21"/>
        <s v="General: Nivelar y reconformar el terreno del Subcampo"/>
        <s v="Inversor MSE 10: Retirar plástico parte inferior de la hinca, retirar rebaba del concreto"/>
        <s v="Inversor MSE 009: Retirar plástico en la base devla hinca, completar sellado del concreto"/>
        <s v="Realizar limpieza general, recolección y gestión de residuos y retiro de materiales sobrantes, gestión de RAEE, entre los trackers 80-82."/>
        <s v="Construcción del drenaje"/>
        <s v="General Inversores:: Retirar plástico en las bases de las hincas y sellar con concreto huecos en alrededorde la hinca, sellar fisuras en los acabados de concreto"/>
        <s v="Roceria del subcampo"/>
        <s v="Garantizar 4 puntos de amarres especialmente en el centro del cu ducto, general"/>
        <s v="Eliminar rebaba riel chanel ST11"/>
        <s v="Placa cubierta de sedimentos tracker 60 inca 1 dl"/>
        <s v="Retiro de poli sombra tracker 28 inca 7"/>
        <s v="Retiro de panel roto tracker 24"/>
        <s v="Presencia de cárcavas tracker 23 incas 6-8"/>
        <s v="Colocación de concreto de segunda etapa"/>
        <s v="Mejorar llegada de ductos solar en la Si"/>
        <s v="Instalación termoencogible en spt, general"/>
        <s v="Instalar identificación de la NCU correspondiente"/>
        <s v="Sin riel Chanel para soporte de ductos en SI 5, 6 y 7"/>
        <s v="Realizar limpieza general, recolección y gestión de residuos plásticos, cartón y residuos de aprovechamiento forestal por tracker 71"/>
        <s v="Instalar marquillas de fibra óptica."/>
        <s v="Aterrizar el cerramiento perimetral del SC29"/>
        <s v="Cambiar la cinta de las lineas L2 en los strings Invertir, ya perdió el color original."/>
        <s v="Instalar señalizacion del cerramiento perimetral del S29."/>
        <s v="falta de delimitación alrededor del CT"/>
        <s v="falta de señalización a la caja de concreto ubicada a un costado del CT, en su efecto instalar tapa de la misma"/>
        <s v="zanjas o excavaciones menores sin ningún clase de señalización"/>
        <s v="SPT del CT, los cables expuestos, los torones de los cables desilachados que pueden generar lesiones en las personas"/>
        <s v="La instalación señalización informativa riesgo electrico en el SC"/>
        <s v="Limpieza de malla perimetral"/>
        <s v="Terminar alcance de cctv"/>
        <s v="Pendiente base para los extintores"/>
        <s v="Obstaculo =T50,T31"/>
        <s v="Retiro y gestión de residuos de madera, zunchos metálicos y restos de tubería que se encuentran dispersos."/>
        <s v="Corrección de hincas bajas,plicación de las medidas del Plan de manejo de erosión y drenajes"/>
        <s v="Sellar los orificios de la NCU"/>
        <s v="para el sc29 corregir sugecion de  cajas de fibra óptica para anillos de comunicación, actualmente pegadas con cinta doble cara"/>
        <s v="SC29_SOLAR HURTO  Inversor 03 PV 09 string 07 esta desconectado y mal marquillado en una punta indica string 5 y en la otra punta que llega al inversor dice string 07  (sc29)"/>
        <s v="SC29_PANEL DAÑADO  inversor 12 string 15 se observa panel desprendido en el suelo (sc29)"/>
        <s v="SC29_PANEL DAÑADO se encuentra encuentra panel desprendido en el TR 22 string 4"/>
        <s v="SC29  SI.29.21 CORRECCION DE base del inversor con un nivel aproximado del 50% de sedimentos ocasionados por arrastre de material, incumpliendo la distancia mÍnima de 60 cm respecto a la base de concreto"/>
        <s v="pte correccion/instalacion  comm: Obstaculo (Impide movimiento) en SC: 29 ncu: 6 MA0929-MQR100"/>
        <s v="pte correccion/instalacion  comm: Obstaculo (Impide movimiento) en SC: 29 ncu: 6 MA0929-MQR103"/>
        <s v="pte correccion/instalacion  comm: Obstaculo (Impide movimiento) en SC: 29 ncu: 6 MA0929-MQR106"/>
        <s v="PL Suc 29. - Instalación Platina de Sujeción CT e instalación Tornillos Platina de Sujeción CT 29."/>
        <s v="Bases en concreto cubierta por sedimento, no cumple distanciamiento mínimo de 60 cm, O&amp;M SC 29  general revision de todos los inversores| sc29_o&amp;M"/>
        <s v="Correccion de paneles averiados en subcampo 29| sc29_o&amp;M"/>
        <s v="Correccion de cable puesta a tierra en hinca de Tracker 004 partida. Y  hinca de Tracker 037 partida. Sc 29 O&amp;M| sc29_o&amp;M"/>
        <s v="Tapa caja de empalme al frente del CT 29 con manija suelta, caja mt, sc 29 o&amp;M| sc29_o&amp;M"/>
        <s v="General : Finalizar conexionado TCU Principal y auxiliar. (Actividad conexionado se realiza según indicaciones de trinaen sitio)"/>
        <s v="Figurar cableado antena comunicaciones (Solo figurado de cable)"/>
        <s v="General Falta tendido y figurado de cable de conexión entre TCB (Actividad conexionado se realiza según  indicaciones de trinaen sitio)"/>
        <s v="Instalación cajas de inspección de SPT"/>
        <s v="Falta tag de NCU"/>
        <s v="Inversor # 16: Sin Techo"/>
        <s v="Inversor # 12: Sin Techo"/>
        <s v="Figurado de cable de modulos"/>
        <s v="Inversor 12 y 16 : Construir base en concreto"/>
        <s v="Corregir empate ducteria cable solar inversor 10"/>
        <s v="Profundizar, mejorar salida de ducteria solar mesa MQR087"/>
        <s v="Inversor 22 limpieza de manchas de concreto en coraza y cables"/>
        <s v="Pendiente seriar y amarrar circuitos en el lado de la “Tracker al lado del SC32”"/>
        <s v="Adecuación del terreno alrededor de las hincas sector oeste vecino al SC32, no se puede dejar ese material ahí"/>
        <s v="Cubrir cables BT con ductos hasta tope con CT"/>
        <s v="Pendiente tapas cajas de paso por BT y MT en OC1"/>
        <s v="Instalacion de arquetas perimetral en CT"/>
        <s v="Falta instalacion de alarmas luminicas en CT"/>
        <s v="Falta tag en gabinete de comunicaciones"/>
        <s v="Falta tag en SACU"/>
        <s v="Falta verificar altura de modulo al terreno cuando gire el tracker (distancia no adecuada)"/>
        <s v="Retiro de montículo de tierra tracker 44"/>
        <s v="Nivelación terreno lado “costado del SC32”"/>
        <s v="General: se presenta oxidación en tapas de extremo de tracker"/>
        <s v="NCU: Colocar grouting"/>
        <s v="NCU: Realizar lleno compactado alrededor de la cimentación"/>
        <s v="MSE  015: Realizar lleno alrededor de la base, retirar pladtoco parte inferior, sellar huevo en el centro de la hinca"/>
        <s v="Inversor 17 se debe cortar el terreno alrededor y adecuar la salida de agua para cumplir con los 70 cm al terreno"/>
        <s v="MQR  43 hinca 7: Hinca baja 1,75 m."/>
        <s v="General: Reconformar y nivelar terreno en el subcampo"/>
        <s v="MSE 16: Nivelación terreno alrededor de soporte inversor"/>
        <s v="Retiro de cartón en Marcos de paneles"/>
        <s v="Inversor # 16: Construir base en concreto"/>
        <s v="Hinca con altura de 1,80  MQR 028"/>
        <s v="Limpieza de paneles, Se debe verificar el retiro de cartón en paneles"/>
        <s v="General:Limpieza decestructua y de hincas"/>
        <s v="MQR 45 hinca 9: Retirar roca"/>
        <s v="Inversor 19 igual observación para el cumplimiento de los 70 cm"/>
        <s v="General: Colocar marquilla de identificación de los trackers"/>
        <s v="Conformacion del terreno. Correccion de carcavas MQR061. Prioritario"/>
        <s v="Pendiente nivelación terreno alrededor del inversor 01. Se evidencia punto de inundable"/>
        <s v="Roceria para evitar enredaderas en las hincas"/>
        <s v="Inversor 22 igual observación del corte de terreno y adecuación"/>
        <s v="Colocar tapa  torque tubo tracker 63"/>
        <s v="Inversor MSE  07: Reparar concrero para la base, realizar lleno compactado a su alrededor, sellar fisuras"/>
        <s v="Inversor 21  corte del terreno y limpieza de coraza y solar por manchas de concreto"/>
        <s v="Terminación de cunetas"/>
        <s v="Corregir carcavas sector MQR080 a MQR074"/>
        <s v="Construcción de terraplén y acabado civil en cabina"/>
        <s v="Adecuación del terreno en la zona de cabina para evitar empozamiientos"/>
        <s v="MQR  018 hinca 1: Terreno con depresión y empozamiento de agua. Nivelar terreno"/>
        <s v="General: Realizar llenos compactado alrededor de las bases de los inversores, retirar plastico en la parte inferior de las hincas,  sellar huecos con concreto y sellar fisuras en el concreto"/>
        <s v="Correccion de carcavas MQR051-52"/>
        <s v="Falta concreto de segunda etapa y la regata o canal que viene por diseño en todas las bases de los mástiles NCU"/>
        <s v="MQR 84 entre hincas 2 y 3: Borde de modulo golpeado. Reparar o cambia"/>
        <s v="Mejorar terminación entre hinca y loza. Inversor 06"/>
        <s v="General: Validar altura entre terreno y soporte del actuador"/>
        <s v="Inversor MSE 09: Construir base para inversor e instalar techo"/>
        <s v="Instalar cuello de ganso al tanque de aceites, delimitar y señalizar el tanque de aceites"/>
        <s v="Conformar el terraplén alrededor de la TC"/>
        <s v="Terminar de realizar lleno entre las vigas de cimentación de la TC, costados norte y sur"/>
        <s v="Instalar pernos en los patines de la TC"/>
        <s v="Retirar escombros alrededor de cimentacion de NCU"/>
        <s v="Zona de tracker oeste es decir vecina al 32, retiro de paneles dañados limpieza general sobre tapamos de piedras residuos de plástico"/>
        <s v="Limpieza de terreno. MQR104"/>
        <s v="Realizar limpieza general en todo el subcampo, recolección y gestión de residuos plásticos, cartón, madera, zunchos metálicos, que se encuentran dispersos."/>
        <s v="Gestión de material de construcción (arena), delimitación, señalización y cubrimiento mientras esté temporalmente acopiado"/>
        <s v="Gestión de material de excavación, señalización y delimitación, recolección de material sobrante cuando finalicen actividades"/>
        <s v="Recolección y gestión de RCD"/>
        <s v="Gestión de material de construcción y de excavación."/>
        <s v="Gestión de RCD en inversor No.22"/>
        <s v="Recolección y gestión de residuos de montaje mecanico dispersos"/>
        <s v="Gestión de RAEE"/>
        <s v="Realizar gestión de material de excavación ubicado por el CT"/>
        <s v="Gestión de material de construcción por CT (delimitar, señalizar y cubrir) y gestión de excedentes"/>
        <s v="Recolección y gestión de residuos dispersos alrededor del CT"/>
        <s v="Retiro y gestión de polisombra en estación meteorológica"/>
        <s v="CT sin señalización o delimitación"/>
        <s v="no se encuentra señalizado tanque de aguas aceitosas"/>
        <s v="tener en cuenta la instalación señalización informativa riesgo eléctrico en el SC"/>
        <s v="Obstaculos=T24,T28, T44, T47,T78,T105"/>
        <s v="Antena Rota T77"/>
        <s v="String =T62,T63"/>
        <s v="General: Asegurar 4 puntos de anclaje del ducto solar"/>
        <s v="Inversor 18 debe cortarse el terreno alrededor de la base del concreto para que cumpla los 80 cm al nivel del terreno, y garantizar el escurrimiento de alguna manera"/>
        <s v="Definir medida preventiva para recoger agua de escorrentia antes de la cabina, se sugiere viga corona"/>
        <s v="MQR 17 entre hincas 1 y 2: Terreno con depresión y empozamiento de agua. Nivelar terreno"/>
        <s v="Se observa hinca con el spt desconectada; requiere la conexión.&#10;Trak 057, SC30."/>
        <s v="para el sc30 corregir sugecion de  cajas de fibra óptica para anillos de comunicación, actualmente pegadas con cinta doble cara"/>
        <s v="SI.30.09 trak 062 string 08, se observa modulo roto, requiere cambio."/>
        <s v="- Cambiar Tornillo de Conexión Latiguillo SPT CT Lado BT (Presenta Oxidación). Sc30 transformer cabin"/>
        <s v="- ⁠Torque y Testigo Conexión Latiguillo SPT Lado BT CT 30."/>
        <s v="- Instalación Platina de Sujeción CT 30."/>
        <s v="Aplicación de Espuma Poliuretano y Multiseal Afloramiento Banco de Ductos Potencia y FO CT30."/>
        <s v="Bases en concreto cubierta por sedimento, no cumple distanciamiento mínimo de 60 cm, O&amp;M SC 30  general revision de todos los inversores| sc30_o&amp;M"/>
        <s v="Correccion de paneles averiados en subcampo 30| sc30_o&amp;M"/>
        <s v="En el tracker 86 se observan empalmes con conectores MC4 en todo el cableado solar, no se permite en cable solar nuevo el uso de MC4 para ejecutar empalmes dado que e un punto de falla adicional SI.30.09| sc30_o&amp;M"/>
        <s v="Instalar tapa en torque tubos general"/>
        <s v="Instalación de cajas de registros para SPT de cabina"/>
        <s v="Presentar Planos red line (Si aplica)"/>
        <s v="Instalar Techos en Inversores Externos a los Trackers."/>
        <s v="Pendiente Planes de Acción y Cierre de la NC069 (Por Mal Corte de Aislamiento Cable BT Cabina CT 31)"/>
        <s v="Pendiente Planes de Acción y Cierre de la NC065 (Por Daño Cable BT inversor 15 SC31)"/>
        <s v="Pendiente Cierre de la NC053 (Por Hincas de Trackers Bajas en SI Subcampo 31)"/>
        <s v="Pendiente sellado  ductos solar y BT con Espuma de poliuretano -en estrustura"/>
        <s v="Pendiente sellado  ductos solar y BT con Espuma de poliuretan en Inversor"/>
        <s v="General: Pendiente conexionado y figurado de cable   de TCU ("/>
        <s v="Pendiente Figurado cable de antena"/>
        <s v="Instalar  tapones para MC4 descubiertos"/>
        <s v="Cobre expuesto SPT en   its 31 tracker 71"/>
        <s v="Todos los inversores pendientes de tag y marcación RETIE"/>
        <s v="Terreno Alto en tracker 6"/>
        <s v="Pernos cortos y sin reservas para anclaje de inversor 20"/>
        <s v="Oxidación en pernos en montaje inversores  general"/>
        <s v="Soporte de inversores con oxido, general"/>
        <s v="Limpieza general en Inversores"/>
        <s v="Inv 9 suelto riel  Channel , cortar pvc de tierra  y sellar"/>
        <s v="Inversor # 11 cambiar pasador riel channel"/>
        <s v="Inversor #1, retirar madera"/>
        <s v="Amarres de cable y tubería solar en inversor"/>
        <s v="Instalación alarmas visibles SACU"/>
        <s v="Sin tapó la alimentación dél gato hidráulico en el tracker 65 y 44."/>
        <s v="La tierra de los inversores no se encuentra instalada de forma centrada"/>
        <s v="Retiro de material ( Torque tubos ) debajo de tracker 66"/>
        <s v="Realizar roceria"/>
        <s v="Sellado de juntas de cunetas de acuerdo a especificacion, máx cada 12m."/>
        <s v="Limpieza de hincas y estructura en general"/>
        <s v="Relleno del respaldo de aletas de las cunetas."/>
        <s v="General omegas sobre tapas extremos, corregir y como observación en general en el SC (Verificar Todo el Subcampo)"/>
        <s v="General: Limpieza y lavado de módulos"/>
        <s v="Reconformaciòn de terreno para control de carcavas."/>
        <s v="General: Retiro nido avispas"/>
        <s v="Vaciar bases en concreto para los inversores MSE 17, 18, 19, 20, 21,22"/>
        <s v="SC 31 corregír ubicación de pletinas de frenos tracker 67,68,69, 71,72 y  general"/>
        <s v="Inversor 7 MQR 77: Realizar conexión hinca a torquetubo tierra en hinca 1"/>
        <s v="Realizar marcacion definitiva de los trackers"/>
        <s v="Nivelación y retiro de sobrantes de excavación, en general"/>
        <s v="Retiro de rocas área inversores 8-10"/>
        <s v="MQR 109 hinca 2: Hinca baja. Regularizar el terreno"/>
        <s v="MQR 086 Hinca 1: Retirar roca y residuos de madera"/>
        <s v="Pendiente la Instalaciòn del tanque de aguas aceitosas CT 31."/>
        <s v="Conformación de área perimetral, paisajismo y lavado final con grava, Área CT 31."/>
        <s v="Construcción de acceso vial a la CT 31"/>
        <s v="MQR 085 hinca 6: Hinca baja. Regularizar terreno (1,94 m)"/>
        <s v="Revisar traqueo inca 2 Sur Norte tracker"/>
        <s v="Retiro de roca escombros tracker 83 inca 7 Sur Norte"/>
        <s v="SC 31 tracker 66 hincas bajas"/>
        <s v="SC 31 tracker 68 Cambiar tapa extremo por golpe"/>
        <s v="SC 31 tracker 69 corregír pletinas de freno"/>
        <s v="Retirar lazos en torque tubos"/>
        <s v="SC 31 pendiente en general galvanizado en el extremo de los lever"/>
        <s v="Corrección altura de Hincas tracker 75 Y 76"/>
        <s v="Seguir instalando las tarjetas rojas del seriado de cables."/>
        <s v="Instalar delimitación al rededor del CT."/>
        <s v="Instalar adecuadamente la señalización en la excavación del tanque de aguas aceitosas."/>
        <s v="cerrado se confirma cierre"/>
        <s v="se confirma cierre"/>
        <s v="Punto de lavado de canaleta de mixer, junto a jaguey N1. Acondicionar el área para evitar derrames de lechada residuos de concreto"/>
        <s v="Retiro de geotextil junto a tracker"/>
        <s v="realizar limpieza y retiro de excedentes de material petreo, los cuales no se encuentren en uso en los frente de obra"/>
        <s v="retirar tablas, material de excavación al terminar la actividad de fundida de las bases de los inversores, mantener las medidas de manejo para evitar derrames de concreto"/>
        <s v="Realizar la recolección y disposición adecuada de los residuos de menor tamaño de plástico que se encuentran entre los tracker, correspondientes a retazos de cable y amarres."/>
        <s v="Certificados de fusión de fibra óptica"/>
        <s v="Etiquetado o marcación de identificación de elementos (tracker) (Si aplica)"/>
        <s v="Revisar torque hinca 4SN T102"/>
        <s v="Instalar tapa extremo de Torquetubos (General)"/>
        <s v="Obstaculos=T98,T101,T102,T106"/>
        <s v="String= T1,T7, T36, T60"/>
        <s v="Cambio TCU Esclava 8 =T64"/>
        <s v="MQR  108 hinca 1: Hinca baja. Regularizar el terreno"/>
        <s v="Puntos susceptible inundación en cada uno Sur Norte 81"/>
        <s v="Cuando se realice el desmantelamiento del respectivo acopio, realizar limpieza y recolección de todos los residuos generados en este"/>
        <s v="Zodme, esta área debe cumplir con lo establecido en el PMA y la LA, asi como los diseños validados por el área ambiental de Enel"/>
        <s v="para el sc31 corregir sugecion de  cajas de fibra óptica para anillos de comunicación, actualmente pegadas con cinta doble cara"/>
        <s v="pte correccion/instalacion  comm: String erroneo en SC: 31 ncu: 4 MA0931-MQR017"/>
        <s v="pte correccion/instalacion  comm: TCU Master en SC: 31 ncu: 4 MA0931-MQR033"/>
        <s v="pte correccion/instalacion  comm: String erroneo en SC: 31 ncu: 4 MA0931-MQR036"/>
        <s v="pte correccion/instalacion  comm: String erroneo en SC: 31 ncu: 4 MA0931-MQR060"/>
        <s v="pte correccion/instalacion  comm: Obstaculo (Impide movimiento) en SC: 31 ncu: 4 MA0931-MQR098"/>
        <s v="pte correccion/instalacion  comm: Obstaculo (Impide movimiento) en SC: 31 ncu: 4 MA0931-MQR101"/>
        <s v="pte correccion/instalacion  comm: Obstaculo (Impide movimiento) en SC: 31 ncu: 4 MA0931-MQR102"/>
        <s v="pte correccion/instalacion  comm: Obstaculo (Impide movimiento) en SC: 31 ncu: 4 MA0931-MQR106"/>
        <s v="pte correccion/instalacion  comm: Obstaculo (Impide movimiento) en SC: 31 ncu: 4 MA0931-MQR107"/>
        <s v="Bases en concreto cubierta por sedimento, no cumple distanciamiento mínimo de 60 cm, se requiere correccion para evitar sedimentos e inundaciones en los inversores, O&amp;M SC 31  general revision de todos los inversores| sc31_o&amp;M"/>
        <s v="Correccion de paneles averiados en subcampo 31| sc31_o&amp;M"/>
        <s v="General: Remarcar torqueo, donde se haya borrado"/>
        <s v="Conformación del terreno acostado de la ct"/>
        <s v="Faltan líneas de torqueo soportes de omegas tracker 37 al 31"/>
        <s v="Faltan líneas de torqueo en anclajes motorizada tracker 36"/>
        <s v="conformación de terreno Cajas de Empalme - Paso."/>
        <s v="Obstaculos=T20 al T23, T31,T48,T74,T102"/>
        <s v="String =T34"/>
        <s v="Cambio TCU Esclava 7=T104"/>
        <s v="Cable Esclava 7 =T104"/>
        <s v="Conectar los terminales de MT y macar testigos de torque"/>
        <s v="Identificacion del SC"/>
        <s v="Pendiente señalizacion de inversores"/>
        <s v="Pendiente señalizacion de Riesgo electrico en el SC"/>
        <s v="Instalar nomenclatura operativa de las celdas de MT"/>
        <s v="Instalacion Cajas del SPT. En CT32"/>
        <s v="Marquillado Cajas del SPT. En CT32"/>
        <s v="Instalar nomenclatura operativa en breaker de BT"/>
        <s v="Identificar compartimiento de BT"/>
        <s v="Instalar coraza en cable de potencia en la SACU y en el  gabinete de comunicaciónes"/>
        <s v="Instalar coraza en cable de potencia gabinete de comunicaciónes"/>
        <s v="Instalar en cabina los diagramas unifilares de BT y SSAA"/>
        <s v="Instalar Tag de NCU"/>
        <s v="Instalar coraza en cable de potencia NCU"/>
        <s v="Instalar coraza en cable de comunicación de la NCU"/>
        <s v="Pendiente testigo torque inv 18"/>
        <s v="Pendiente tapa torque tubo tracker 68, 69, 41,73 inv 4"/>
        <s v="Identificar inversores y símbolos retie ( general) SC32"/>
        <s v="Peinado de cable solar"/>
        <s v="Construir vial de acceso a la TC"/>
        <s v="Instalación de pernos platina de anclaje costado oriental y occidental de la CT"/>
        <s v="Construir terraplén de la TC"/>
        <s v="Terminar de realizar los llenos entre las vigas de la TC"/>
        <s v="Aplicar grout de Nivelación para los pernos de soporte de la NCU"/>
        <s v="Retiro madera de encofrado y Realizar lleno compactado alrededor de la base de la NCU"/>
        <s v="General: Realizar lleno compactado alrededor de las bases de los inversores"/>
        <s v="Retiro de tierra excedente entre trackers 21 al 25"/>
        <s v="Retiroa cumulacion tierra entre tracker 23 y 22"/>
        <s v="General: Colocar marquilla definitiva de referenciacion del Tracker"/>
        <s v="Corrección de líneas de torqueo tracker 26"/>
        <s v="General: Rellenar con concreto o grout, los vacíos que hay en las bases de inversores, en centro de las hincas"/>
        <s v="General: Rocería"/>
        <s v="General: Limpieza y lavado de módulos y marcos"/>
        <s v="Retiro moticulo de tierra tracker 34, 33 y 32"/>
        <s v="Instalar Cuello de ganzo en tanque de aceite"/>
        <s v="Limpieza general alrededor de CT, retiro de residuos plásticos, RCD de menor tamaño, tornilleria, placas de protección, entre otros."/>
        <s v="Revisión y retiro de RCD del SC, tener presente que aún se estan ejecutando actividades con concreto, deben implementarse las medidas de manejo ambiental correspondientes."/>
        <s v="Realizar limpieza general del SC, se identifican residuos plásticos (amarres, zunchos, tapas, accesorios, bolsas, delimitación, espuma sellante, etc), madera de estibas y carretes, cartón. Disponer adecuadamente."/>
        <s v="Se identifica excavación abierta sin señalizar, junto con residuos de delimitación y agua empozada."/>
        <s v="Retiro de accesorios olvidados en el SC, realizar revisión general."/>
        <s v="Pendiente KIT para trabajos electricos en las CT"/>
        <s v="Instalar coraza en cable de potencia"/>
        <s v="Aterrizar el cerramiento perimetral"/>
        <s v="Entrega de planos As Built"/>
        <s v="Mejorar perfilado el terreno inverter tracker 41y 42"/>
        <s v="Nivelar,  reconformar y compactar terrenos para sellar huellas dejadas por maquinaria y telehandlers (paisajismo)"/>
        <s v="Abollamiento en el terreno costado Oriental tracker 44"/>
        <s v="Inversores: Limpieza general alrededor de las bases, retiro de RCD, residuos plásticos (cinta de peligro, retazos de cinta, accesorios, amarres, espuma sellante) entre otros."/>
        <s v="Retiro y disposición adecuada de las formaletas usadas para la fundida de las bases"/>
        <s v="Mantener las medidas de manejo ambiental en los puntos de sombra y cuando se realice el retiro de esto, es necesaria la limpieza de las zonas."/>
        <s v="Material de excavación, implementar la medida de manejo ambiental correspondiente (conformación o disposición ZODME)"/>
        <s v="SI.32.08&#9;MA1032.MSE08.T009 S06 módulo #12 y #15 fisurado"/>
        <s v="SI.32.09&#9;MA1032.MSE09.T005 S02 módulo #23 fisurado"/>
        <s v="SI.32.15&#9;MA1032.MSE15.T105.S11 Módulo #7 y #14 fisurado"/>
        <s v="SI.32.05&#9;MA1032.MSE05.T056.S03 modulo #23 partido"/>
        <s v="SI.32.19&#9;Se evidencia modulo roto, SI.32.19 TR 65 #18 Y 24"/>
        <s v="SI.32.19&#9;string 18 modulo roto. Traker 069"/>
        <s v="para el sc32 corregir sugecion de  cajas de fibra óptica para anillos de comunicación, actualmente pegadas con cinta doble cara"/>
        <s v="Caja de Paso MT Cto 10 (SC32-SE) Costado Norte | Instalación de monolito"/>
        <s v="Caja de Paso MT Cto 10 (SC32-SE) Costado Norte | limpieza general, orden y aseo alrededor de la caja"/>
        <s v="Caja de Paso MT Cto 10 (SC32-SE) Costado Norte | conformación de terreno Cajas de Empalme - Paso."/>
        <s v="pte correccion/instalacion  comm: TCU Maestra en SC: 32 ncu: 2 MA1032-MQR007"/>
        <s v="pte correccion/instalacion  comm: TCU Maestra en SC: 32 ncu: 2 MA1032-MQR034"/>
        <s v="pte correccion/instalacion  comm: Obstaculo (Impide movimiento) en SC: 32 ncu: 2 MA1032-MQR109"/>
        <s v="Instalación Terminal Latiguillo SPT Antena NCU. Suc 32:"/>
        <s v="Conexionado, Toque y Testigo Terminal Latiguillo SPT  Antena NCU. Suc 32:"/>
        <s v="correccion de amarres faltantes en: eje de tracker 019-021-022-023-024-025-035,045 y en ductos de hdep  Tracker 021-022-025-029-030-034. sc32| sc32_o&amp;M"/>
        <s v="General:  SC 33 falta marca de torque en omegas y lever"/>
        <s v="General: Testigo Torqueo anclajes actuadoras"/>
        <s v="Tapa costado norte de tracker 103"/>
        <s v="Pendiente instalar marquillas en breaker"/>
        <s v="Pendiente instalación caja inspección SPT perimetral de TC33"/>
        <s v="Terminar de colocar pernos para la base de la cabina"/>
        <s v="Instalación de nomenclatura operativa en celdas de MT"/>
        <s v="Instalación del unifilar de BT, MT y SSAA"/>
        <s v="Instalación del Tag de cabina"/>
        <s v="Pendiente sellado de ingresos SACU"/>
        <s v="Pendiente sellado de ingresos tablero de comunicaciones"/>
        <s v="Instalar plano unifilar y de comunicaciónes en el gabinete de comunicaciónes"/>
        <s v="Instalar ducto para protección del conductor de MT en la parte inferior de las celdas"/>
        <s v="Instalar la identificación del compartimiento de BT"/>
        <s v="Identificación de gabinete de comunicaciónes en cabina"/>
        <s v="General: Pendiente cierre de string"/>
        <s v="General: Mejorar peinado cable antena de comunicaciones TCU. Falta bucle.o gota."/>
        <s v="Limpieza termocontraible en cable AC string inverters 02"/>
        <s v="General: Torqueo soportes de string inverter tracker"/>
        <s v="Testigo Torqueo soportes String inverter Tr61"/>
        <s v="General: en los 22 inversores: Adecuacion de terreno retirando los moticulos de tierra acopiados"/>
        <s v="General: en los 22 inversores : Adecuar zona alrededor para que no se inunde"/>
        <s v="En S.I 1, S.I 12,  S.I 18, S.I 19, S.I 20, Adecuación terreno alrededor de la SI llevando a NTN debido a que la base se encuentra por debajo 10 cms"/>
        <s v="General: sellar las  TCU"/>
        <s v="General: garantizar 4 puntos de sujeción del ducto hdpe (se observan en algunas hincas solo 2 amarres)"/>
        <s v="General: en los 22 inversores:  sello con concreto en ductos HDPE"/>
        <s v="General: adecuar y garantizar el enterramiento indicado por ingenieria de los ductos hdpe de bajante solar"/>
        <s v="Garantizar que se dejen 15 cm  de caida libre del cable antes de hacer algun giro o amarre conforme a lo indicado en el manual huawei"/>
        <s v="Mejorar Curva bridado en ingreso a SI  que roza con el riel chanel en SI 03, SI 02, SI 20"/>
        <s v="Limpiar rebabas de concreto en el riel chanel  S.I 15  S.I 18"/>
        <s v="Dejar libre la zona de actuadores, despejandola de vegetacion"/>
        <s v="General: SC 33 realizar limpieza y galvanizado en los lever"/>
        <s v="General: SC 33 realizar apertura de pines  inferior y superior"/>
        <s v="SC 33 Recojer materiales sobrantes"/>
        <s v="Testigo de torqueo hinca 3 norte sur tracker 105"/>
        <s v="General: SC 33 limpieza de cartón  en módulos"/>
        <s v="Retiro de madero como separador cables en hinca 1 norte sur tracker 105"/>
        <s v="Limpieza tracker 27"/>
        <s v="General: SC 33 limpieza y galvanizado en estructura"/>
        <s v="General: Instalar marquilla de referencia en los trackers ( nombre del tracker)"/>
        <s v="Tracker 68 y 69: Instalar tapa a torquetubo"/>
        <s v="General:Limpieza  modulos presencia cartón en modulos"/>
        <s v="Retiro de elementos que puedan afectar los papeles debajo de ellos. A nível general. (TR92)"/>
        <s v="Limpeza de marcos de modulos"/>
        <s v="Testigo Torqueo soportes cabezales hinca 1 TR 57"/>
        <s v="Testigo De torqueo hinca 5 trácker 56"/>
        <s v="Rellenar zanja TR110  entre hincas 4 -5"/>
        <s v="SC 33 retiro de material de excavación TR 06"/>
        <s v="Conformación de terreno alrededor de la cabina"/>
        <s v="Colocar cuello de ganso al tanque de aceites"/>
        <s v="Construir terraplén en TC,  de acuerdo a plano"/>
        <s v="Construir vial de acceso TC 33, de acuerdo a plano"/>
        <s v="Estación Meteo Colocar grout de Nivelación a pernos de la base"/>
        <s v="General: Realizar rocería"/>
        <s v="Conformación de terreno y relleno de grouting en NCU"/>
        <s v="Base inversor MSE 17: Mejorar el acabado del concreto"/>
        <s v="General: Retiro del plástico en afloramientos de tubería, en las Bases de los inversores"/>
        <s v="NCU diagonal al tracker MQR 107: Aplicar grout a zona de pernos de la base. &#10;Desencofrar base en concreto; llenar y compactar alrededor de la base ."/>
        <s v="General: Limpieza de cunetas"/>
        <s v="No se evidencian señalización de riego electrónico en inversores"/>
        <s v="Pendiente instalar Señalización retie en cabina"/>
        <s v="CT sin delimitación en general y señalizar"/>
        <s v="General: en los 22 inversores :  Retiro de material sobre base, orden y aseo del área (retiro de plásticos)"/>
        <s v="Realizar la recolección y disposición de los residuos que se encuentran acopiados y dispersos en el subcampo (cartón, plástico, restos de tubería...), se resalta que simultánea a la caminata se encontraba cuadrilla ambiental realizando recolección de residuos dispersos de menor tamaño"/>
        <s v="Limpieza y recolección de RCD que se encuentran en las zapatas de los tracker con inversores"/>
        <s v="Gestión de materiales sobrantes de excavación"/>
        <s v="Gestión de materiales sobrantes de construcción"/>
        <s v="Gestión de residuos de aprovechamiento forestal que se encuentran en el área perimetral del subcampo 33"/>
        <s v="Limpieza y retiro de sedimentos y recolección de residuos evidenciados en tramos de las cunetas de manejo de aguas de escorrentía superficial."/>
        <s v="Entrega de red line SC 33"/>
        <s v="Pendiente realizar la cimentación de los ductos de comunicación y SSAA en la cabina"/>
        <s v="Aterrizar cerramiento perimetral"/>
        <s v="General: Nivelar, reconformar y compactar el terreno para sellar baches o huecos dejados por telehandlers y maquinaria"/>
        <s v="General: Retirar plásticos de las hincas que contienen los inversores y sellar con grout los espacios donde aflora la tubería"/>
        <s v="SI.33.01 Se evidencia vandalizado.&#10;Fueron cortadas todas las string de llegada al inversor."/>
        <s v="SI.33.02 vandalizado todas las strings de llegada al inversor están cortadas."/>
        <s v="se requiere retiro de monticulos de madera y/o relleno qué se interponer al movimiento de los traker 019 y 074 en sc33"/>
        <s v="para el sc33 corregir sugecion de  cajas de fibra óptica para anillos de comunicación, actualmente pegadas con cinta doble cara"/>
        <s v="SC33 montículo de tierra y residuos de poda, bajo el tracker, MQR-019"/>
        <s v="pte correccion/instalacion  comm: String erroneo en SC: 33 ncu: 1 MA1033-MQR011"/>
        <s v="pte correccion/instalacion  comm: Obstaculo (Impide movimiento) en SC: 33 ncu: 1 MA1033-MQR019"/>
        <s v="pte correccion/instalacion  comm: Obstaculo (Impide movimiento) en SC: 33 ncu: 1 MA1033-MQR051"/>
        <s v="pte correccion/instalacion  comm: Obstaculo (Impide movimiento) en SC: 33 ncu: 1 MA1033-MQR052"/>
        <s v="pte correccion/instalacion  comm: Obstaculo (Impide movimiento) en SC: 33 ncu: 1 MA1033-MQR057"/>
        <s v="pte correccion/instalacion  comm: Obstaculo (Impide movimiento) en SC: 33 ncu: 1 MA1033-MQR060"/>
        <s v="pte correccion/instalacion  comm: Obstaculo (Impide movimiento) en SC: 33 ncu: 1 MA1033-MQR074"/>
        <s v="pte correccion/instalacion  comm: Obstaculo (Impide movimiento) en SC: 33 ncu: 1 MA1033-MQR075"/>
        <s v="pte correccion/instalacion  comm: Obstaculo (Impide movimiento) en SC: 33 ncu: 1 MA1033-MQR092"/>
        <s v="Retirar Residuos de Pegamento Por Instalación de Stickers Y Nomenclatura CT. En sc33 punto electrico"/>
        <s v="Correccion de paneles averiados en subcampo 33| sc33_o&amp;M"/>
        <s v="PV03 Se evidencia conectado pero NO esta marcando corrientes, se evidencia que en el PV 10 Está conectado el String 3; el PV 4 donde debería estar el String 3 está libre, indeterminado SI.33.18 sc 33| sc33_o&amp;M"/>
        <s v="Realizar control de erosion en subcampos zona norte,  hasta finalizacion de revegetalizacion y estabilizacion por parte del bop| sc99_o&amp;M"/>
        <s v="Se evidencia falta de marquillado en los SI cableado solar, falta aplicar espumas resistentes a alta temperatura inverters SI.33.15, SI.33.14, SI.33.01| sc33_o&amp;M"/>
        <s v="Figurado Cable Antena TCU general"/>
        <s v="Adecuación general del terreno por ahuellamientos y material sobrante de excavación"/>
        <s v="Falta retirar componentes sobrantes de la SACU  y entregar a logistica enel."/>
        <s v="Falta terminar ajustes en cuadro de comunicaciones"/>
        <s v="General: Falta marcación de inversores en campo"/>
        <s v="instalar señalización de reisgo Eléctrico en el SC"/>
        <s v="General: SC 34 Limpieza general de Tracker"/>
        <s v="General: Marcacion definitiva de los trackers"/>
        <s v="Limpieza de cunetas"/>
        <s v="Instalación de 4 amarres en los  Ductos Solares"/>
        <s v="Mejorar Acabado Cable Alimentación TCU General"/>
        <s v="SC 34 falta concreto Secundario en NCU 3 y 39 , con pendiente del 5% como indica el plano"/>
        <s v="Sellar fisura base de concreto MSE 01 MSE 20"/>
        <s v="Ductos expuestos llegada NCU 039"/>
        <s v="Aplicación de cortafuegos en SACU de CT34"/>
        <s v="Presentar protocolos de verticalidad de las 2 NCU"/>
        <s v="Instalación Cajas de Inspección Malla SPT CT"/>
        <s v="INV.34.11 TR110.S20 presencia panel de abejas"/>
        <s v="Aplicación de multiseal en prensa estopas del tablero SACU CT34"/>
        <s v="General: Falta marquillado en breaker de inversores AC CT34 Panel B"/>
        <s v="Falta retocar todas las estructuras metalicas de los soportes de techos de SI"/>
        <s v="Retirar masilla en ducto HDPE de la entrada del cable de alimentacion a la NCU"/>
        <s v="Pendiente colocar tapa y bandeja en SSAA de cabina"/>
        <s v="Falta instalar unifilar en BT"/>
        <s v="Falta marquillado en breaker de inversores AC CT34 Panel B"/>
        <s v="instalar señalización de reisgo MAURICIO PARDO VALBUENA en el SC"/>
        <s v="General adecuación hombros de cunetas"/>
        <s v="Limpieza Panel Solar General inlcuido los marcos"/>
        <s v="General: SC 34 Galvanizado de Hincas"/>
        <s v="Lleno sobre zanja CCTV debe completarse a nivel de terreno dejar una capa de 20 cm sobre las para suplí asentamientos por no compactar (general)"/>
        <s v="General:SC 34 Limpieza de ejes"/>
        <s v="SC 34 alinear soportes de TCU TR 18 y 17"/>
        <s v="General:  completar lleno Alrededor de zapata"/>
        <s v="Adecuación del terreno aldedor de la cimentación de la NCU 39 dejando escurrimiento hacia afuera"/>
        <s v="Cambiar posición latiguillo tierra TR 75 a TR 90,"/>
        <s v="Pendiente sellado perforaciones del mástil NCU03 y 39"/>
        <s v="Aplicación Anticorrosivo Riel Channel Base Sensor Pitranometro"/>
        <s v="CT 34: Terminar de conformar terraplén, toma ensayo a última capa, instalar bordillos y grava"/>
        <s v="Falta pollo en concreto en las llegadas de cable de comununicaciones a la CT"/>
        <s v="Continuar con la jornada de recolección y disposición de los residuos de menor tamaño que se encuentran dispersos en el subcampo (zunchos, manilas, cinta de seguridad, estacas, madera...), se resalta que simultánea a la caminata se encontraba cuadrilla ambiental realizando recolección de residuos dispersos"/>
        <s v="Limpieza y recolección de RCD que se encuentran en las zapatas de los tracker con inversores, NCU y acopiados al borde del vial"/>
        <s v="Continuar con el retiro y gestión de residuos de aprovechamiento forestal que se encuentran en el área de vallado y dispersos en el SC"/>
        <s v="Gestión y retiro de llantas, accesorios de maquinaria y Rosa Bustos Duques, hierro"/>
        <s v=": SI 34.06 traker 082 string 09  panel averiado"/>
        <s v="SI 34.08 traker 080. string 12 panel averiado"/>
        <s v="cambio  de 35 modulos dañados en sc34, SI.34.01 STR 12 md1&#10;SI.34.02 STR 11 md1&#10;SI.34.05 STR 13 md1&#10;SI.34.08 STR 12 md1&#10;SI.34.12 STR 09 md1&#10;SI.34.17 STR 12 md1&#10;SI.34.19 STR 04,09,10 md3&#10;SI.34.20 STR 17 md1&#10;SI.34.22 STR 04 md1&#10;SI.34.06 STR 09 md1&#10;SI.34.06 STR 14 md1&#10;SI.34.09 STR 15 md1&#10;SI.34.07 STR 10 md1&#10;SI.34.11 STR 04 md1&#10;SI.34.11 STR 19 md1&#10;SI.34.22 STR 07 md1&#10;SI.34.19 STR 16 md3&#10;SI.34.19 STR 05 md1&#10;SI.34.19 STR 08 md1&#10;SI.34.19 STR 06 md1&#10;SI.34.18 STR 16 md1&#10;SI.34.18 STR 13 md1&#10;SI.34.18 STR 01 md1&#10;SI.34.17 STR 06 md1&#10;SI.34.17 STR 16 md1&#10;SI.34.04 STR 14 md1&#10;SI.34.03 STR 03 md1&#10;SI.34.03 STR 09 md2&#10;SI.34.02 STR 13 md1&#10;SI.34.02 STR 06 md1"/>
        <s v="para el sc34 corregir sugecion de  cajas de fibra óptica para anillos de comunicación, actualmente pegadas con cinta doble cara"/>
        <s v="Gestión y retiro de llantas, accesorios de maquinaria y mecánicos, hierro"/>
        <s v="SC34_PANEL DAÑADO SI.34.05 Srt 13 panel quemado y Str 01 aislamiento (sc34)"/>
        <s v="pte correccion/instalacion  comm: Obstaculo (Impide movimiento) en SC: 34 ncu: 3 MA1034-MQR035"/>
        <s v="pte correccion/instalacion  comm: Obstaculo (Impide movimiento) en SC: 34 ncu: 3 MA1034-MQR037"/>
        <s v="pte correccion/instalacion  comm: Obstaculo (Impide movimiento) en SC: 34 ncu: 3 MA1034-MQR046"/>
        <s v="pte correccion/instalacion  comm: Esclava 7 en SC: 34 ncu: 39 MA1034-MQR091"/>
        <s v="Correccion de paneles averiados en subcampo 34| sc34_o&amp;M"/>
        <s v="Correccion de SPT desconectada en la hinca del tracker 050 y  hinca del tracker 057| sc34_o&amp;M"/>
        <s v="Estabilización de red de drenajes en SC 34, construcción de descoles para evacuación de agua| sc34_o&amp;M"/>
        <s v="Visita guiada de cierre con actores clave (autoridades y comunidad) para validar el área intervenida y confirmar el 100% de condiciones finales del proyecto.| en cumplimiento de: ANEXO W1 - OBLIGACIONES DE LICENCIA AMBIENTAL SOSTENIBILIDAD"/>
        <s v="Reuniones de socialización de cierre de la etapa constructiva en Usiacurí y Sabanalarga, con autoridades locales, comunidades del AI, propietarios vecinos y propietarios de los predios donde se realiza la intervención.| en cumplimiento de: ANEXO W1 - OBLIGACIONES DE LICENCIA AMBIENTAL SOSTENIBILIDAD"/>
        <s v="Cierre del 100% de las PQRSDF (Actualmente se tienen 6 en total: 5 en gestión y 1 abierta). Sin embargo, se deben atender todas las que se generen en la posteridad hasta el cierre total del proyecto. | en cumplimiento de: ANEXO W1 - OBLIGACIONES DE LICENCIA AMBIENTAL SOSTENIBILIDAD"/>
        <s v="Ejecución de 1 recorrido final de verificación de infraestructura vial con autoridades y comunidad de Isabel López, levantando actas y garantizando la ejecución del 100% de las reparaciones atribuibles al proyecto  en la vía Isabel López - Usiacurí. | en cumplimiento de: ANEXO W1 - OBLIGACIONES DE LICENCIA AMBIENTAL SOSTENIBILIDAD"/>
        <s v="Cierre de 217 actas de vecindad (207 viviendas aferentes a vía Isabel López - Usiacurí, 5 correspondientes a predios vecinos y 5 relacionadas con infraestructura comunitaria) asegurando documentación completa, legibilidad y entrega de copias a los titulares.| en cumplimiento de: ANEXO W1 - OBLIGACIONES DE LICENCIA AMBIENTAL SOSTENIBILIDAD"/>
        <s v="Gestionar el cierre del punto de atención a la comunidad, incluyendo la entrega de soportes finales de operación y la obtención del paz y salvo correspondiente (100%) que certifique la finalización adecuada del servicio.| en cumplimiento de: ANEXO W1 - OBLIGACIONES DE LICENCIA AMBIENTAL SOSTENIBILIDAD"/>
        <s v="Informe final de la implementación del PMT y cierre con autoridades competentes (esto incluye el retiro del 100% de los elementos de señalización y control de tránsito implementados durante el proyecto).| en cumplimiento de: ANEXO W1 - OBLIGACIONES DE LICENCIA AMBIENTAL SOSTENIBILIDAD"/>
        <s v="Entrega de 2 tanques de almacenamiento de agua a comunidad priorizada en el marco de la estrategia de sitio de construcción sostenible.| en cumplimiento de: ANEXO H y BoQ SOSTENIBILIDAD"/>
        <s v="Entrega 2 desfibriladores externos automáticos (DEA) y realizar la capacitación básica en primeros auxilios a los beneficiarios. | en cumplimiento de: ANEXO H y BoQ SOSTENIBILIDAD"/>
        <s v="Soportes de ejecución de las actividades de Sitio de Construcción Sostenible establecidas en BoQ y en propuesta aprobada. | en cumplimiento de: ANEXO H y BoQ SOSTENIBILIDAD"/>
        <s v="Realizar reunión final de Comité de Empleo y Seguimiento, comunicando formalmente la finalización del 100% de las actividades constructivas y el cierre de la vinculación laboral asociada al proyecto.| en cumplimiento de: ANEXO H SOSTENIBILIDAD"/>
        <s v="Entregar 1 dossier social final que incluya el 100% de soportes correspondientes. | en cumplimiento de: ANEXO H SOSTENIBILIDAD"/>
        <s v="Entrega de bases de datos completas (100%) de personal contratado y bienes &amp; servicios asociados al proyecto hasta el cierre de las actividades constructivas.| en cumplimiento de: ANEXO H SOSTENIBILIDAD"/>
        <s v="Actualización del record book (formulario de relacionamiento) con las actividades de cierre de la etapa constructiva.| en cumplimiento de: ANEXO H SOSTENIBILIDAD"/>
        <s v="Paz y salvo por concepto de adquisición de todo tipo de servicios que se dieron en ocasión de su presencia y la de sus contratistas en el sector.| en cumplimiento de: ANEXO H SOSTENIBILIDAD"/>
      </sharedItems>
    </cacheField>
    <cacheField name="DETECTOR_ROLE" numFmtId="0">
      <sharedItems count="10">
        <s v="Electrical Specialist"/>
        <s v="Civil Specialist"/>
        <s v="Project HSE&amp;Q support"/>
        <s v="Site Manager"/>
        <s v="Environmental Discipline"/>
        <s v="Commissioning Manager"/>
        <s v="O&amp;M"/>
        <s v="Mechanical Discipline"/>
        <s v="Quality Assurance Engineer"/>
        <s v="Sustainability Manager"/>
      </sharedItems>
    </cacheField>
    <cacheField name="SUPPLIER NOTES" numFmtId="0">
      <sharedItems containsBlank="1" count="85">
        <s v="Pendiente validacion de enel"/>
        <m/>
        <s v="No aplica no esta en la ingenieria aprobada"/>
        <s v="-"/>
        <s v="Limpieza de modulos"/>
        <s v="se confirma cierre desde el area ambiental"/>
        <s v="Regularizacion de terreno"/>
        <s v="Suministro TRINA ENEL"/>
        <s v="Suministro JINKO ENEL"/>
        <s v="cerrado se confirma entrega de planos redline"/>
        <s v="se confirma cierre"/>
        <s v="Limpieza de estructura mecanica"/>
        <s v="No aplica (sin sentido el punto)"/>
        <s v="Cerramiento perimetral"/>
        <s v="Se realiza cambio de espárragos en inversores que no cumplen con la distancia mínima "/>
        <s v="Acabada la cimentación del CT"/>
        <s v="Instalación de cuello de ganso del tanque de aguas aceitosas ITS 028"/>
        <s v="se finalizan actividades"/>
        <s v="No hay impedimentos para el traqueo del ITS 028."/>
        <s v="SPT del cerramiento del CT ya no se encuentra expuesto."/>
        <s v="SE CONFIRMA CIERRE"/>
        <s v="Entrega de rocería"/>
        <s v="PHL-39185&#10;"/>
        <s v="Conexión de cable"/>
        <s v="Retiro de Obstaculos"/>
        <s v="se confirma solucion O&amp;M"/>
        <s v="Cerrado confirmado"/>
        <s v="cerrado confirma ito"/>
        <s v="se cofirma cierre"/>
        <s v="Retiro de panel roto"/>
        <s v="se confirma cierer"/>
        <s v="se confirma cierre&#10;"/>
        <s v="Retiro de obstáculos"/>
        <s v="Se realiza sellado de los orificios"/>
        <s v="Figurado de cable TCB"/>
        <s v="Instalación de tapas BT y MT en AOC 01"/>
        <s v="Retiro de rocas"/>
        <s v="Retiro de monticulo"/>
        <s v="Corrección tapas con oxido"/>
        <s v="Corrección del altura"/>
        <s v="Limpieza general de hincas y estructura"/>
        <s v="Se envia evidencia para el cierre del punto"/>
        <s v="Mejora de terminación concreto - hinca"/>
        <s v="Base de concreto y techos de inversores en hincas externas listo"/>
        <s v="SE CONFIRMA CIERRE DESDE AREA AMBEINTAL"/>
        <s v="Polisombra retirada"/>
        <s v="cerrado confirma ito&#10;"/>
        <s v="cerrado confirna ito&#10;"/>
        <s v="String conectados"/>
        <s v="No aplica solictar cierre a ENEL"/>
        <s v="Entrega de planos Redline y devolución firmados"/>
        <s v="Instalación de techos"/>
        <s v="No conformidades cerradas"/>
        <s v="se confirma cierre de nc"/>
        <s v="Terreno adecuado"/>
        <s v="Retirar madera"/>
        <s v="Conectados todos los actuadores"/>
        <s v="Tierra de inversores instalada según comentarios de enel"/>
        <s v="Se retiro material del tracker 66"/>
        <s v="Retiro nidos de avispas"/>
        <s v="protocolo de vaciado de bases de inversores"/>
        <s v="Corrección de pletinas de freno"/>
        <s v="Retiro de tocas de inversores"/>
        <s v="Altura de hinca corregida"/>
        <s v="Retiro de roca y residuos"/>
        <s v="Paisajismo del ct"/>
        <s v="Corrección de altura"/>
        <s v="Retiro de escombros"/>
        <s v="Corrección de hincas bajas"/>
        <s v="Cambio de tapa"/>
        <s v="Retirar lazos en torque tubos"/>
        <s v="Se realiza retiro de tierra para cumplir con altura"/>
        <s v="Instalación completa de las tarjetas rojas"/>
        <s v="Delimitación del CT"/>
        <s v="Punto de lavado de mixer disuelto"/>
        <s v="Retiro de Geotextil"/>
        <s v="SE CONFIRMA CIERRE DESDE AREA AMBIENTAL"/>
        <s v="se confirma cierre por el area ambiental"/>
        <s v="Certificados FO"/>
        <s v="Corrección de inundación"/>
        <s v="se confirma cierre por aprte ambiental"/>
        <s v="SE CONFIRMA CIERRE "/>
        <s v="se confirma cierre por parte de area ambiental"/>
        <s v="cerrado se confrima cierre"/>
        <s v="se confrima cierre"/>
      </sharedItems>
    </cacheField>
    <cacheField name="CLOSING NOTES" numFmtId="0">
      <sharedItems containsBlank="1" count="38">
        <m/>
        <s v="Farid consolido en cierre"/>
        <s v="-"/>
        <s v="se confirma cierre desde el area ambiental"/>
        <s v="cerrado se confirma entrega de planos redline"/>
        <s v="se confirma cierre"/>
        <s v="se finalizan actividades"/>
        <s v="SE CONFIRMA CIERRE"/>
        <s v="PHL-39185&#10;"/>
        <s v="se confirma solucion O&amp;M"/>
        <s v="se confirma cierre "/>
        <s v="cerrado confirma ito"/>
        <s v="cerrado se confirma cierre en iup"/>
        <s v="se confirma cierre&#10;"/>
        <s v="se confirma cierre de actividaes"/>
        <s v="se finalizan actividades confirma oskar supervisor tecnico ito enel"/>
        <s v="cerrado confirma oskar sup electrico"/>
        <s v="se confirma cierre adriana naranjo ito enel"/>
        <s v="se confirma cierre adriana maria naranjo"/>
        <s v="se cofnirma cierre adriana maria naranjo"/>
        <s v="se cofnriam cierre"/>
        <s v="PHL-38682 se confirma cierre"/>
        <s v="cerrado confirm aadriana naranjo"/>
        <s v="SE CONFIRMA CIERRE DESDE AREA AMBEINTAL"/>
        <s v="cerrado"/>
        <s v="se confirma cierre por adriana, se solucionan problemas de obstaculos"/>
        <s v="se repara antena"/>
        <s v="cerrado se confirma fin de actividades"/>
        <s v="se confirma cierre de nc"/>
        <s v="se confirma cierre de actividades"/>
        <s v="SE CONFIRMA CIERRE DESDE AREA AMBIENTAL"/>
        <s v="se confirma cierre por el area ambiental"/>
        <s v="se confirma cierre por aprte ambiental"/>
        <s v="SE CONFIRMA CIERRE "/>
        <s v="se confirma cierre por parte de area ambiental"/>
        <s v="cerrado se confrima cierre"/>
        <s v="se cofnirma cierre"/>
        <s v="se confrima cierre"/>
      </sharedItems>
    </cacheField>
    <cacheField name="STATUS ELECNOR" numFmtId="0">
      <sharedItems count="4">
        <s v="CL"/>
        <s v="OP"/>
        <s v="DTD"/>
        <s v="PF"/>
      </sharedItems>
    </cacheField>
    <cacheField name="STATUS IUP" numFmtId="0">
      <sharedItems count="2">
        <s v="CERRADO"/>
        <s v="ABIERTO"/>
      </sharedItems>
    </cacheField>
    <cacheField name="CLOSING DATE ENEL" numFmtId="14">
      <sharedItems containsNonDate="0" containsDate="1" containsString="0" containsBlank="1" minDate="2026-05-12T00:00:00" maxDate="2026-10-10T00:00:00" count="31">
        <d v="2026-10-08T00:00:00"/>
        <m/>
        <d v="2026-09-28T00:00:00"/>
        <d v="2026-09-23T00:00:00"/>
        <d v="2026-10-05T00:00:00"/>
        <d v="2026-10-09T00:00:00"/>
        <d v="2026-07-28T00:00:00"/>
        <d v="2026-07-16T00:00:00"/>
        <d v="2026-09-29T00:00:00"/>
        <d v="2026-07-15T00:00:00"/>
        <d v="2026-07-30T00:00:00"/>
        <d v="2026-10-10T00:00:00"/>
        <d v="2026-07-24T00:00:00"/>
        <d v="2026-07-23T00:00:00"/>
        <d v="2026-07-09T00:00:00"/>
        <d v="2026-05-12T00:00:00"/>
        <d v="2026-07-07T00:00:00"/>
        <d v="2026-07-08T00:00:00"/>
        <d v="2026-07-29T00:00:00"/>
        <d v="2026-07-10T00:00:00"/>
        <d v="2026-07-17T00:00:00"/>
        <d v="2026-09-17T00:00:00"/>
        <d v="2026-05-26T00:00:00"/>
        <d v="2026-07-19T00:00:00"/>
        <d v="2026-09-25T00:00:00"/>
        <d v="2026-05-14T00:00:00"/>
        <d v="2026-06-01T00:00:00"/>
        <d v="2026-06-03T00:00:00"/>
        <d v="2026-05-13T00:00:00"/>
        <d v="2026-07-27T00:00:00"/>
        <d v="2026-06-24T00:00:00"/>
      </sharedItems>
    </cacheField>
    <cacheField name="CLOSING DATE - ELECNOR" numFmtId="14">
      <sharedItems containsNonDate="0" containsDate="1" containsString="0" containsBlank="1" minDate="2026-04-24T00:00:00" maxDate="2026-07-30T00:00:00" count="29">
        <m/>
        <d v="2026-04-25T00:00:00"/>
        <d v="2026-07-28T00:00:00"/>
        <d v="2026-07-16T00:00:00"/>
        <d v="2026-07-15T00:00:00"/>
        <d v="2026-07-30T00:00:00"/>
        <d v="2026-07-24T00:00:00"/>
        <d v="2026-07-23T00:00:00"/>
        <d v="2026-07-09T00:00:00"/>
        <d v="2026-07-27T00:00:00"/>
        <d v="2026-05-19T00:00:00"/>
        <d v="2026-04-28T00:00:00"/>
        <d v="2026-05-12T00:00:00"/>
        <d v="2026-07-07T00:00:00"/>
        <d v="2026-07-29T00:00:00"/>
        <d v="2026-05-11T00:00:00"/>
        <d v="2026-07-10T00:00:00"/>
        <d v="2026-07-19T00:00:00"/>
        <d v="2026-07-08T00:00:00"/>
        <d v="2026-07-17T00:00:00"/>
        <d v="2026-05-26T00:00:00"/>
        <d v="2026-04-27T00:00:00"/>
        <d v="2026-04-24T00:00:00"/>
        <d v="2026-04-29T00:00:00"/>
        <d v="2026-05-14T00:00:00"/>
        <d v="2026-06-01T00:00:00"/>
        <d v="2026-06-03T00:00:00"/>
        <d v="2026-06-24T00:00:00"/>
        <d v="2026-05-13T00:00:00"/>
      </sharedItems>
    </cacheField>
    <cacheField name="CIRCUITO" numFmtId="0">
      <sharedItems count="5">
        <s v="Otros"/>
        <s v="CTO 5"/>
        <s v="CTO 8"/>
        <s v="CTO 9"/>
        <s v="CTO 10"/>
      </sharedItems>
    </cacheField>
    <cacheField name="ESTADO" numFmtId="0">
      <sharedItems count="3">
        <s v="CERRADO"/>
        <s v="PTE Validar Enel"/>
        <s v="ABIERTO"/>
      </sharedItems>
    </cacheField>
    <cacheField name="DETALLE ESTADO" numFmtId="0">
      <sharedItems count="6">
        <s v="Cerrados IUP"/>
        <s v="Pendiente cierre ENEL"/>
        <s v="Monolitos"/>
        <s v="Varios"/>
        <s v="Suministros"/>
        <s v="Social"/>
      </sharedItems>
    </cacheField>
    <cacheField name="EXTERNO" numFmtId="0">
      <sharedItems count="6">
        <s v=""/>
        <s v="Trina Commissioning"/>
        <s v="Trina O&amp;M"/>
        <s v="O&amp;M"/>
        <s v="Trina Electric"/>
        <s v="SOCIAL"/>
      </sharedItems>
    </cacheField>
  </cacheFields>
</pivotCacheDefinition>
</file>

<file path=xl/pivotCache/pivotCacheRecords1.xml><?xml version="1.0" encoding="utf-8"?>
<pivotCacheRecords xmlns="http://schemas.openxmlformats.org/spreadsheetml/2006/main" xmlns:r="http://schemas.openxmlformats.org/officeDocument/2006/relationships" count="1363">
  <r>
    <x v="0"/>
    <x v="0"/>
    <x v="0"/>
    <x v="0"/>
    <x v="0"/>
    <x v="0"/>
    <x v="0"/>
    <x v="0"/>
    <x v="0"/>
    <x v="0"/>
    <x v="0"/>
    <x v="0"/>
    <x v="0"/>
    <x v="0"/>
    <x v="0"/>
    <x v="0"/>
    <x v="0"/>
  </r>
  <r>
    <x v="1"/>
    <x v="0"/>
    <x v="0"/>
    <x v="0"/>
    <x v="0"/>
    <x v="1"/>
    <x v="1"/>
    <x v="0"/>
    <x v="0"/>
    <x v="1"/>
    <x v="1"/>
    <x v="1"/>
    <x v="0"/>
    <x v="0"/>
    <x v="1"/>
    <x v="1"/>
    <x v="0"/>
  </r>
  <r>
    <x v="2"/>
    <x v="0"/>
    <x v="0"/>
    <x v="0"/>
    <x v="1"/>
    <x v="0"/>
    <x v="0"/>
    <x v="0"/>
    <x v="0"/>
    <x v="0"/>
    <x v="0"/>
    <x v="0"/>
    <x v="0"/>
    <x v="0"/>
    <x v="0"/>
    <x v="0"/>
    <x v="0"/>
  </r>
  <r>
    <x v="3"/>
    <x v="0"/>
    <x v="0"/>
    <x v="0"/>
    <x v="2"/>
    <x v="0"/>
    <x v="0"/>
    <x v="0"/>
    <x v="0"/>
    <x v="0"/>
    <x v="0"/>
    <x v="0"/>
    <x v="0"/>
    <x v="0"/>
    <x v="0"/>
    <x v="0"/>
    <x v="0"/>
  </r>
  <r>
    <x v="4"/>
    <x v="0"/>
    <x v="0"/>
    <x v="0"/>
    <x v="3"/>
    <x v="1"/>
    <x v="1"/>
    <x v="0"/>
    <x v="0"/>
    <x v="1"/>
    <x v="1"/>
    <x v="1"/>
    <x v="0"/>
    <x v="0"/>
    <x v="1"/>
    <x v="1"/>
    <x v="0"/>
  </r>
  <r>
    <x v="5"/>
    <x v="0"/>
    <x v="0"/>
    <x v="0"/>
    <x v="4"/>
    <x v="1"/>
    <x v="1"/>
    <x v="0"/>
    <x v="0"/>
    <x v="1"/>
    <x v="1"/>
    <x v="1"/>
    <x v="0"/>
    <x v="0"/>
    <x v="1"/>
    <x v="1"/>
    <x v="0"/>
  </r>
  <r>
    <x v="6"/>
    <x v="0"/>
    <x v="0"/>
    <x v="0"/>
    <x v="5"/>
    <x v="2"/>
    <x v="2"/>
    <x v="1"/>
    <x v="0"/>
    <x v="0"/>
    <x v="0"/>
    <x v="1"/>
    <x v="1"/>
    <x v="0"/>
    <x v="0"/>
    <x v="0"/>
    <x v="0"/>
  </r>
  <r>
    <x v="7"/>
    <x v="0"/>
    <x v="0"/>
    <x v="0"/>
    <x v="6"/>
    <x v="3"/>
    <x v="1"/>
    <x v="1"/>
    <x v="0"/>
    <x v="0"/>
    <x v="0"/>
    <x v="1"/>
    <x v="1"/>
    <x v="0"/>
    <x v="0"/>
    <x v="0"/>
    <x v="0"/>
  </r>
  <r>
    <x v="8"/>
    <x v="1"/>
    <x v="0"/>
    <x v="0"/>
    <x v="7"/>
    <x v="4"/>
    <x v="0"/>
    <x v="1"/>
    <x v="0"/>
    <x v="0"/>
    <x v="0"/>
    <x v="2"/>
    <x v="1"/>
    <x v="0"/>
    <x v="0"/>
    <x v="0"/>
    <x v="0"/>
  </r>
  <r>
    <x v="9"/>
    <x v="1"/>
    <x v="0"/>
    <x v="0"/>
    <x v="8"/>
    <x v="5"/>
    <x v="0"/>
    <x v="1"/>
    <x v="0"/>
    <x v="0"/>
    <x v="0"/>
    <x v="2"/>
    <x v="1"/>
    <x v="0"/>
    <x v="0"/>
    <x v="0"/>
    <x v="0"/>
  </r>
  <r>
    <x v="10"/>
    <x v="0"/>
    <x v="0"/>
    <x v="0"/>
    <x v="0"/>
    <x v="6"/>
    <x v="0"/>
    <x v="1"/>
    <x v="0"/>
    <x v="0"/>
    <x v="0"/>
    <x v="1"/>
    <x v="0"/>
    <x v="0"/>
    <x v="0"/>
    <x v="0"/>
    <x v="0"/>
  </r>
  <r>
    <x v="11"/>
    <x v="0"/>
    <x v="0"/>
    <x v="0"/>
    <x v="0"/>
    <x v="7"/>
    <x v="0"/>
    <x v="1"/>
    <x v="0"/>
    <x v="0"/>
    <x v="0"/>
    <x v="1"/>
    <x v="0"/>
    <x v="0"/>
    <x v="0"/>
    <x v="0"/>
    <x v="0"/>
  </r>
  <r>
    <x v="12"/>
    <x v="0"/>
    <x v="0"/>
    <x v="0"/>
    <x v="0"/>
    <x v="8"/>
    <x v="1"/>
    <x v="1"/>
    <x v="0"/>
    <x v="0"/>
    <x v="0"/>
    <x v="1"/>
    <x v="0"/>
    <x v="0"/>
    <x v="0"/>
    <x v="0"/>
    <x v="0"/>
  </r>
  <r>
    <x v="13"/>
    <x v="0"/>
    <x v="0"/>
    <x v="0"/>
    <x v="0"/>
    <x v="2"/>
    <x v="2"/>
    <x v="1"/>
    <x v="0"/>
    <x v="0"/>
    <x v="0"/>
    <x v="1"/>
    <x v="0"/>
    <x v="0"/>
    <x v="0"/>
    <x v="0"/>
    <x v="0"/>
  </r>
  <r>
    <x v="14"/>
    <x v="0"/>
    <x v="0"/>
    <x v="0"/>
    <x v="1"/>
    <x v="6"/>
    <x v="0"/>
    <x v="1"/>
    <x v="0"/>
    <x v="0"/>
    <x v="0"/>
    <x v="1"/>
    <x v="0"/>
    <x v="0"/>
    <x v="0"/>
    <x v="0"/>
    <x v="0"/>
  </r>
  <r>
    <x v="15"/>
    <x v="0"/>
    <x v="0"/>
    <x v="0"/>
    <x v="1"/>
    <x v="7"/>
    <x v="0"/>
    <x v="1"/>
    <x v="0"/>
    <x v="0"/>
    <x v="0"/>
    <x v="1"/>
    <x v="0"/>
    <x v="0"/>
    <x v="0"/>
    <x v="0"/>
    <x v="0"/>
  </r>
  <r>
    <x v="16"/>
    <x v="2"/>
    <x v="0"/>
    <x v="0"/>
    <x v="9"/>
    <x v="9"/>
    <x v="3"/>
    <x v="0"/>
    <x v="0"/>
    <x v="0"/>
    <x v="0"/>
    <x v="0"/>
    <x v="0"/>
    <x v="0"/>
    <x v="0"/>
    <x v="0"/>
    <x v="0"/>
  </r>
  <r>
    <x v="17"/>
    <x v="0"/>
    <x v="0"/>
    <x v="0"/>
    <x v="1"/>
    <x v="8"/>
    <x v="1"/>
    <x v="1"/>
    <x v="0"/>
    <x v="0"/>
    <x v="0"/>
    <x v="1"/>
    <x v="0"/>
    <x v="0"/>
    <x v="0"/>
    <x v="0"/>
    <x v="0"/>
  </r>
  <r>
    <x v="18"/>
    <x v="0"/>
    <x v="0"/>
    <x v="0"/>
    <x v="1"/>
    <x v="1"/>
    <x v="1"/>
    <x v="1"/>
    <x v="1"/>
    <x v="0"/>
    <x v="0"/>
    <x v="3"/>
    <x v="0"/>
    <x v="0"/>
    <x v="0"/>
    <x v="0"/>
    <x v="0"/>
  </r>
  <r>
    <x v="19"/>
    <x v="0"/>
    <x v="0"/>
    <x v="0"/>
    <x v="10"/>
    <x v="6"/>
    <x v="0"/>
    <x v="1"/>
    <x v="0"/>
    <x v="0"/>
    <x v="0"/>
    <x v="1"/>
    <x v="0"/>
    <x v="0"/>
    <x v="0"/>
    <x v="0"/>
    <x v="0"/>
  </r>
  <r>
    <x v="20"/>
    <x v="0"/>
    <x v="0"/>
    <x v="0"/>
    <x v="11"/>
    <x v="7"/>
    <x v="0"/>
    <x v="1"/>
    <x v="0"/>
    <x v="0"/>
    <x v="0"/>
    <x v="1"/>
    <x v="0"/>
    <x v="0"/>
    <x v="0"/>
    <x v="0"/>
    <x v="0"/>
  </r>
  <r>
    <x v="21"/>
    <x v="0"/>
    <x v="0"/>
    <x v="0"/>
    <x v="12"/>
    <x v="8"/>
    <x v="1"/>
    <x v="1"/>
    <x v="0"/>
    <x v="0"/>
    <x v="0"/>
    <x v="1"/>
    <x v="0"/>
    <x v="0"/>
    <x v="0"/>
    <x v="0"/>
    <x v="0"/>
  </r>
  <r>
    <x v="22"/>
    <x v="0"/>
    <x v="0"/>
    <x v="0"/>
    <x v="13"/>
    <x v="0"/>
    <x v="0"/>
    <x v="1"/>
    <x v="0"/>
    <x v="0"/>
    <x v="0"/>
    <x v="1"/>
    <x v="0"/>
    <x v="0"/>
    <x v="0"/>
    <x v="0"/>
    <x v="0"/>
  </r>
  <r>
    <x v="23"/>
    <x v="0"/>
    <x v="0"/>
    <x v="0"/>
    <x v="14"/>
    <x v="6"/>
    <x v="0"/>
    <x v="1"/>
    <x v="0"/>
    <x v="0"/>
    <x v="0"/>
    <x v="1"/>
    <x v="0"/>
    <x v="0"/>
    <x v="0"/>
    <x v="0"/>
    <x v="0"/>
  </r>
  <r>
    <x v="24"/>
    <x v="0"/>
    <x v="0"/>
    <x v="0"/>
    <x v="15"/>
    <x v="7"/>
    <x v="0"/>
    <x v="1"/>
    <x v="0"/>
    <x v="0"/>
    <x v="0"/>
    <x v="1"/>
    <x v="0"/>
    <x v="0"/>
    <x v="0"/>
    <x v="0"/>
    <x v="0"/>
  </r>
  <r>
    <x v="25"/>
    <x v="0"/>
    <x v="0"/>
    <x v="0"/>
    <x v="16"/>
    <x v="8"/>
    <x v="1"/>
    <x v="1"/>
    <x v="0"/>
    <x v="0"/>
    <x v="0"/>
    <x v="1"/>
    <x v="0"/>
    <x v="0"/>
    <x v="0"/>
    <x v="0"/>
    <x v="0"/>
  </r>
  <r>
    <x v="26"/>
    <x v="3"/>
    <x v="0"/>
    <x v="0"/>
    <x v="17"/>
    <x v="10"/>
    <x v="0"/>
    <x v="1"/>
    <x v="0"/>
    <x v="0"/>
    <x v="0"/>
    <x v="1"/>
    <x v="0"/>
    <x v="0"/>
    <x v="0"/>
    <x v="0"/>
    <x v="0"/>
  </r>
  <r>
    <x v="27"/>
    <x v="3"/>
    <x v="0"/>
    <x v="0"/>
    <x v="18"/>
    <x v="11"/>
    <x v="4"/>
    <x v="1"/>
    <x v="0"/>
    <x v="0"/>
    <x v="0"/>
    <x v="1"/>
    <x v="0"/>
    <x v="0"/>
    <x v="0"/>
    <x v="0"/>
    <x v="0"/>
  </r>
  <r>
    <x v="28"/>
    <x v="3"/>
    <x v="0"/>
    <x v="0"/>
    <x v="19"/>
    <x v="12"/>
    <x v="1"/>
    <x v="1"/>
    <x v="0"/>
    <x v="0"/>
    <x v="0"/>
    <x v="1"/>
    <x v="0"/>
    <x v="0"/>
    <x v="0"/>
    <x v="0"/>
    <x v="0"/>
  </r>
  <r>
    <x v="29"/>
    <x v="3"/>
    <x v="0"/>
    <x v="0"/>
    <x v="20"/>
    <x v="12"/>
    <x v="1"/>
    <x v="1"/>
    <x v="0"/>
    <x v="0"/>
    <x v="0"/>
    <x v="1"/>
    <x v="0"/>
    <x v="0"/>
    <x v="0"/>
    <x v="0"/>
    <x v="0"/>
  </r>
  <r>
    <x v="30"/>
    <x v="3"/>
    <x v="0"/>
    <x v="0"/>
    <x v="21"/>
    <x v="11"/>
    <x v="4"/>
    <x v="1"/>
    <x v="0"/>
    <x v="0"/>
    <x v="0"/>
    <x v="1"/>
    <x v="0"/>
    <x v="0"/>
    <x v="0"/>
    <x v="0"/>
    <x v="0"/>
  </r>
  <r>
    <x v="31"/>
    <x v="3"/>
    <x v="0"/>
    <x v="0"/>
    <x v="22"/>
    <x v="10"/>
    <x v="0"/>
    <x v="1"/>
    <x v="0"/>
    <x v="0"/>
    <x v="0"/>
    <x v="2"/>
    <x v="0"/>
    <x v="0"/>
    <x v="0"/>
    <x v="0"/>
    <x v="0"/>
  </r>
  <r>
    <x v="32"/>
    <x v="3"/>
    <x v="0"/>
    <x v="0"/>
    <x v="23"/>
    <x v="13"/>
    <x v="0"/>
    <x v="1"/>
    <x v="0"/>
    <x v="0"/>
    <x v="0"/>
    <x v="1"/>
    <x v="0"/>
    <x v="0"/>
    <x v="0"/>
    <x v="0"/>
    <x v="0"/>
  </r>
  <r>
    <x v="33"/>
    <x v="3"/>
    <x v="0"/>
    <x v="0"/>
    <x v="24"/>
    <x v="14"/>
    <x v="1"/>
    <x v="1"/>
    <x v="0"/>
    <x v="0"/>
    <x v="0"/>
    <x v="1"/>
    <x v="0"/>
    <x v="0"/>
    <x v="0"/>
    <x v="0"/>
    <x v="0"/>
  </r>
  <r>
    <x v="34"/>
    <x v="3"/>
    <x v="0"/>
    <x v="0"/>
    <x v="25"/>
    <x v="15"/>
    <x v="1"/>
    <x v="1"/>
    <x v="0"/>
    <x v="0"/>
    <x v="0"/>
    <x v="1"/>
    <x v="0"/>
    <x v="0"/>
    <x v="0"/>
    <x v="0"/>
    <x v="0"/>
  </r>
  <r>
    <x v="35"/>
    <x v="3"/>
    <x v="0"/>
    <x v="0"/>
    <x v="26"/>
    <x v="16"/>
    <x v="4"/>
    <x v="1"/>
    <x v="0"/>
    <x v="0"/>
    <x v="0"/>
    <x v="1"/>
    <x v="0"/>
    <x v="0"/>
    <x v="0"/>
    <x v="0"/>
    <x v="0"/>
  </r>
  <r>
    <x v="36"/>
    <x v="3"/>
    <x v="0"/>
    <x v="0"/>
    <x v="27"/>
    <x v="17"/>
    <x v="1"/>
    <x v="1"/>
    <x v="0"/>
    <x v="0"/>
    <x v="0"/>
    <x v="1"/>
    <x v="0"/>
    <x v="0"/>
    <x v="0"/>
    <x v="0"/>
    <x v="0"/>
  </r>
  <r>
    <x v="37"/>
    <x v="2"/>
    <x v="0"/>
    <x v="0"/>
    <x v="28"/>
    <x v="18"/>
    <x v="3"/>
    <x v="1"/>
    <x v="0"/>
    <x v="0"/>
    <x v="0"/>
    <x v="1"/>
    <x v="0"/>
    <x v="0"/>
    <x v="0"/>
    <x v="0"/>
    <x v="0"/>
  </r>
  <r>
    <x v="38"/>
    <x v="2"/>
    <x v="0"/>
    <x v="0"/>
    <x v="29"/>
    <x v="19"/>
    <x v="3"/>
    <x v="1"/>
    <x v="0"/>
    <x v="0"/>
    <x v="0"/>
    <x v="1"/>
    <x v="0"/>
    <x v="0"/>
    <x v="0"/>
    <x v="0"/>
    <x v="0"/>
  </r>
  <r>
    <x v="39"/>
    <x v="2"/>
    <x v="0"/>
    <x v="0"/>
    <x v="30"/>
    <x v="20"/>
    <x v="3"/>
    <x v="1"/>
    <x v="0"/>
    <x v="0"/>
    <x v="0"/>
    <x v="1"/>
    <x v="0"/>
    <x v="0"/>
    <x v="0"/>
    <x v="0"/>
    <x v="0"/>
  </r>
  <r>
    <x v="40"/>
    <x v="2"/>
    <x v="0"/>
    <x v="0"/>
    <x v="31"/>
    <x v="21"/>
    <x v="3"/>
    <x v="1"/>
    <x v="0"/>
    <x v="0"/>
    <x v="0"/>
    <x v="1"/>
    <x v="0"/>
    <x v="0"/>
    <x v="0"/>
    <x v="0"/>
    <x v="0"/>
  </r>
  <r>
    <x v="41"/>
    <x v="2"/>
    <x v="0"/>
    <x v="0"/>
    <x v="32"/>
    <x v="22"/>
    <x v="3"/>
    <x v="1"/>
    <x v="0"/>
    <x v="0"/>
    <x v="0"/>
    <x v="1"/>
    <x v="0"/>
    <x v="0"/>
    <x v="0"/>
    <x v="0"/>
    <x v="0"/>
  </r>
  <r>
    <x v="42"/>
    <x v="0"/>
    <x v="0"/>
    <x v="0"/>
    <x v="33"/>
    <x v="23"/>
    <x v="1"/>
    <x v="1"/>
    <x v="0"/>
    <x v="0"/>
    <x v="0"/>
    <x v="4"/>
    <x v="1"/>
    <x v="0"/>
    <x v="0"/>
    <x v="0"/>
    <x v="0"/>
  </r>
  <r>
    <x v="43"/>
    <x v="0"/>
    <x v="0"/>
    <x v="0"/>
    <x v="0"/>
    <x v="24"/>
    <x v="0"/>
    <x v="2"/>
    <x v="0"/>
    <x v="1"/>
    <x v="1"/>
    <x v="1"/>
    <x v="0"/>
    <x v="0"/>
    <x v="2"/>
    <x v="2"/>
    <x v="0"/>
  </r>
  <r>
    <x v="44"/>
    <x v="0"/>
    <x v="0"/>
    <x v="0"/>
    <x v="1"/>
    <x v="24"/>
    <x v="0"/>
    <x v="2"/>
    <x v="0"/>
    <x v="1"/>
    <x v="1"/>
    <x v="1"/>
    <x v="0"/>
    <x v="0"/>
    <x v="2"/>
    <x v="2"/>
    <x v="0"/>
  </r>
  <r>
    <x v="45"/>
    <x v="2"/>
    <x v="0"/>
    <x v="0"/>
    <x v="34"/>
    <x v="25"/>
    <x v="3"/>
    <x v="1"/>
    <x v="0"/>
    <x v="0"/>
    <x v="0"/>
    <x v="1"/>
    <x v="0"/>
    <x v="0"/>
    <x v="0"/>
    <x v="0"/>
    <x v="0"/>
  </r>
  <r>
    <x v="46"/>
    <x v="2"/>
    <x v="0"/>
    <x v="0"/>
    <x v="35"/>
    <x v="26"/>
    <x v="3"/>
    <x v="1"/>
    <x v="0"/>
    <x v="0"/>
    <x v="0"/>
    <x v="1"/>
    <x v="0"/>
    <x v="0"/>
    <x v="0"/>
    <x v="0"/>
    <x v="0"/>
  </r>
  <r>
    <x v="47"/>
    <x v="2"/>
    <x v="0"/>
    <x v="0"/>
    <x v="36"/>
    <x v="27"/>
    <x v="3"/>
    <x v="1"/>
    <x v="0"/>
    <x v="0"/>
    <x v="0"/>
    <x v="1"/>
    <x v="0"/>
    <x v="0"/>
    <x v="0"/>
    <x v="0"/>
    <x v="0"/>
  </r>
  <r>
    <x v="48"/>
    <x v="2"/>
    <x v="0"/>
    <x v="0"/>
    <x v="37"/>
    <x v="28"/>
    <x v="3"/>
    <x v="1"/>
    <x v="0"/>
    <x v="0"/>
    <x v="0"/>
    <x v="1"/>
    <x v="0"/>
    <x v="0"/>
    <x v="0"/>
    <x v="0"/>
    <x v="0"/>
  </r>
  <r>
    <x v="49"/>
    <x v="2"/>
    <x v="0"/>
    <x v="0"/>
    <x v="38"/>
    <x v="29"/>
    <x v="3"/>
    <x v="1"/>
    <x v="0"/>
    <x v="0"/>
    <x v="0"/>
    <x v="1"/>
    <x v="0"/>
    <x v="0"/>
    <x v="0"/>
    <x v="0"/>
    <x v="0"/>
  </r>
  <r>
    <x v="50"/>
    <x v="0"/>
    <x v="0"/>
    <x v="0"/>
    <x v="1"/>
    <x v="2"/>
    <x v="2"/>
    <x v="0"/>
    <x v="0"/>
    <x v="0"/>
    <x v="0"/>
    <x v="0"/>
    <x v="0"/>
    <x v="0"/>
    <x v="0"/>
    <x v="0"/>
    <x v="0"/>
  </r>
  <r>
    <x v="51"/>
    <x v="0"/>
    <x v="0"/>
    <x v="0"/>
    <x v="39"/>
    <x v="2"/>
    <x v="2"/>
    <x v="0"/>
    <x v="0"/>
    <x v="0"/>
    <x v="0"/>
    <x v="0"/>
    <x v="0"/>
    <x v="0"/>
    <x v="0"/>
    <x v="0"/>
    <x v="0"/>
  </r>
  <r>
    <x v="52"/>
    <x v="0"/>
    <x v="0"/>
    <x v="0"/>
    <x v="40"/>
    <x v="2"/>
    <x v="2"/>
    <x v="0"/>
    <x v="0"/>
    <x v="0"/>
    <x v="0"/>
    <x v="0"/>
    <x v="0"/>
    <x v="0"/>
    <x v="0"/>
    <x v="0"/>
    <x v="0"/>
  </r>
  <r>
    <x v="53"/>
    <x v="3"/>
    <x v="0"/>
    <x v="0"/>
    <x v="41"/>
    <x v="30"/>
    <x v="0"/>
    <x v="2"/>
    <x v="0"/>
    <x v="1"/>
    <x v="1"/>
    <x v="1"/>
    <x v="0"/>
    <x v="0"/>
    <x v="2"/>
    <x v="2"/>
    <x v="0"/>
  </r>
  <r>
    <x v="54"/>
    <x v="3"/>
    <x v="0"/>
    <x v="0"/>
    <x v="42"/>
    <x v="31"/>
    <x v="4"/>
    <x v="1"/>
    <x v="0"/>
    <x v="0"/>
    <x v="0"/>
    <x v="5"/>
    <x v="0"/>
    <x v="0"/>
    <x v="0"/>
    <x v="0"/>
    <x v="0"/>
  </r>
  <r>
    <x v="55"/>
    <x v="2"/>
    <x v="0"/>
    <x v="0"/>
    <x v="43"/>
    <x v="32"/>
    <x v="3"/>
    <x v="2"/>
    <x v="0"/>
    <x v="1"/>
    <x v="1"/>
    <x v="1"/>
    <x v="0"/>
    <x v="0"/>
    <x v="2"/>
    <x v="2"/>
    <x v="0"/>
  </r>
  <r>
    <x v="56"/>
    <x v="4"/>
    <x v="0"/>
    <x v="0"/>
    <x v="44"/>
    <x v="33"/>
    <x v="3"/>
    <x v="0"/>
    <x v="0"/>
    <x v="1"/>
    <x v="1"/>
    <x v="1"/>
    <x v="0"/>
    <x v="0"/>
    <x v="1"/>
    <x v="1"/>
    <x v="0"/>
  </r>
  <r>
    <x v="57"/>
    <x v="5"/>
    <x v="1"/>
    <x v="1"/>
    <x v="44"/>
    <x v="34"/>
    <x v="5"/>
    <x v="1"/>
    <x v="0"/>
    <x v="1"/>
    <x v="1"/>
    <x v="1"/>
    <x v="0"/>
    <x v="0"/>
    <x v="2"/>
    <x v="3"/>
    <x v="1"/>
  </r>
  <r>
    <x v="58"/>
    <x v="5"/>
    <x v="1"/>
    <x v="1"/>
    <x v="44"/>
    <x v="35"/>
    <x v="5"/>
    <x v="1"/>
    <x v="0"/>
    <x v="1"/>
    <x v="1"/>
    <x v="1"/>
    <x v="0"/>
    <x v="0"/>
    <x v="2"/>
    <x v="3"/>
    <x v="1"/>
  </r>
  <r>
    <x v="59"/>
    <x v="5"/>
    <x v="1"/>
    <x v="1"/>
    <x v="44"/>
    <x v="36"/>
    <x v="6"/>
    <x v="0"/>
    <x v="0"/>
    <x v="1"/>
    <x v="1"/>
    <x v="1"/>
    <x v="0"/>
    <x v="0"/>
    <x v="1"/>
    <x v="1"/>
    <x v="2"/>
  </r>
  <r>
    <x v="60"/>
    <x v="5"/>
    <x v="1"/>
    <x v="1"/>
    <x v="44"/>
    <x v="37"/>
    <x v="6"/>
    <x v="0"/>
    <x v="0"/>
    <x v="1"/>
    <x v="1"/>
    <x v="1"/>
    <x v="0"/>
    <x v="0"/>
    <x v="1"/>
    <x v="1"/>
    <x v="2"/>
  </r>
  <r>
    <x v="61"/>
    <x v="5"/>
    <x v="1"/>
    <x v="1"/>
    <x v="44"/>
    <x v="38"/>
    <x v="6"/>
    <x v="1"/>
    <x v="0"/>
    <x v="1"/>
    <x v="1"/>
    <x v="1"/>
    <x v="0"/>
    <x v="0"/>
    <x v="2"/>
    <x v="3"/>
    <x v="2"/>
  </r>
  <r>
    <x v="62"/>
    <x v="0"/>
    <x v="2"/>
    <x v="2"/>
    <x v="45"/>
    <x v="1"/>
    <x v="1"/>
    <x v="0"/>
    <x v="0"/>
    <x v="0"/>
    <x v="0"/>
    <x v="1"/>
    <x v="0"/>
    <x v="1"/>
    <x v="0"/>
    <x v="0"/>
    <x v="0"/>
  </r>
  <r>
    <x v="63"/>
    <x v="0"/>
    <x v="2"/>
    <x v="2"/>
    <x v="45"/>
    <x v="39"/>
    <x v="1"/>
    <x v="1"/>
    <x v="0"/>
    <x v="0"/>
    <x v="0"/>
    <x v="4"/>
    <x v="0"/>
    <x v="1"/>
    <x v="0"/>
    <x v="0"/>
    <x v="0"/>
  </r>
  <r>
    <x v="64"/>
    <x v="0"/>
    <x v="2"/>
    <x v="2"/>
    <x v="46"/>
    <x v="0"/>
    <x v="0"/>
    <x v="1"/>
    <x v="0"/>
    <x v="0"/>
    <x v="0"/>
    <x v="1"/>
    <x v="0"/>
    <x v="1"/>
    <x v="0"/>
    <x v="0"/>
    <x v="0"/>
  </r>
  <r>
    <x v="65"/>
    <x v="0"/>
    <x v="2"/>
    <x v="2"/>
    <x v="46"/>
    <x v="6"/>
    <x v="0"/>
    <x v="1"/>
    <x v="0"/>
    <x v="0"/>
    <x v="0"/>
    <x v="1"/>
    <x v="0"/>
    <x v="1"/>
    <x v="0"/>
    <x v="0"/>
    <x v="0"/>
  </r>
  <r>
    <x v="66"/>
    <x v="0"/>
    <x v="2"/>
    <x v="2"/>
    <x v="46"/>
    <x v="7"/>
    <x v="0"/>
    <x v="1"/>
    <x v="0"/>
    <x v="0"/>
    <x v="0"/>
    <x v="1"/>
    <x v="0"/>
    <x v="1"/>
    <x v="0"/>
    <x v="0"/>
    <x v="0"/>
  </r>
  <r>
    <x v="67"/>
    <x v="0"/>
    <x v="2"/>
    <x v="2"/>
    <x v="46"/>
    <x v="8"/>
    <x v="0"/>
    <x v="1"/>
    <x v="0"/>
    <x v="0"/>
    <x v="0"/>
    <x v="1"/>
    <x v="0"/>
    <x v="1"/>
    <x v="0"/>
    <x v="0"/>
    <x v="0"/>
  </r>
  <r>
    <x v="68"/>
    <x v="0"/>
    <x v="2"/>
    <x v="2"/>
    <x v="46"/>
    <x v="2"/>
    <x v="1"/>
    <x v="1"/>
    <x v="0"/>
    <x v="0"/>
    <x v="0"/>
    <x v="1"/>
    <x v="0"/>
    <x v="1"/>
    <x v="0"/>
    <x v="0"/>
    <x v="0"/>
  </r>
  <r>
    <x v="69"/>
    <x v="0"/>
    <x v="2"/>
    <x v="2"/>
    <x v="46"/>
    <x v="1"/>
    <x v="2"/>
    <x v="1"/>
    <x v="0"/>
    <x v="0"/>
    <x v="0"/>
    <x v="1"/>
    <x v="0"/>
    <x v="1"/>
    <x v="0"/>
    <x v="0"/>
    <x v="0"/>
  </r>
  <r>
    <x v="70"/>
    <x v="0"/>
    <x v="2"/>
    <x v="2"/>
    <x v="45"/>
    <x v="0"/>
    <x v="0"/>
    <x v="1"/>
    <x v="0"/>
    <x v="0"/>
    <x v="0"/>
    <x v="1"/>
    <x v="0"/>
    <x v="1"/>
    <x v="0"/>
    <x v="0"/>
    <x v="0"/>
  </r>
  <r>
    <x v="71"/>
    <x v="0"/>
    <x v="2"/>
    <x v="2"/>
    <x v="45"/>
    <x v="6"/>
    <x v="0"/>
    <x v="1"/>
    <x v="0"/>
    <x v="0"/>
    <x v="0"/>
    <x v="1"/>
    <x v="0"/>
    <x v="1"/>
    <x v="0"/>
    <x v="0"/>
    <x v="0"/>
  </r>
  <r>
    <x v="72"/>
    <x v="0"/>
    <x v="2"/>
    <x v="2"/>
    <x v="45"/>
    <x v="40"/>
    <x v="0"/>
    <x v="1"/>
    <x v="0"/>
    <x v="0"/>
    <x v="0"/>
    <x v="1"/>
    <x v="0"/>
    <x v="1"/>
    <x v="0"/>
    <x v="0"/>
    <x v="0"/>
  </r>
  <r>
    <x v="73"/>
    <x v="0"/>
    <x v="2"/>
    <x v="2"/>
    <x v="45"/>
    <x v="7"/>
    <x v="0"/>
    <x v="1"/>
    <x v="0"/>
    <x v="0"/>
    <x v="0"/>
    <x v="1"/>
    <x v="0"/>
    <x v="1"/>
    <x v="0"/>
    <x v="0"/>
    <x v="0"/>
  </r>
  <r>
    <x v="74"/>
    <x v="0"/>
    <x v="2"/>
    <x v="2"/>
    <x v="45"/>
    <x v="8"/>
    <x v="1"/>
    <x v="1"/>
    <x v="0"/>
    <x v="0"/>
    <x v="0"/>
    <x v="1"/>
    <x v="0"/>
    <x v="1"/>
    <x v="0"/>
    <x v="0"/>
    <x v="0"/>
  </r>
  <r>
    <x v="75"/>
    <x v="0"/>
    <x v="2"/>
    <x v="2"/>
    <x v="45"/>
    <x v="2"/>
    <x v="2"/>
    <x v="1"/>
    <x v="0"/>
    <x v="0"/>
    <x v="0"/>
    <x v="1"/>
    <x v="0"/>
    <x v="1"/>
    <x v="0"/>
    <x v="0"/>
    <x v="0"/>
  </r>
  <r>
    <x v="76"/>
    <x v="5"/>
    <x v="2"/>
    <x v="2"/>
    <x v="44"/>
    <x v="41"/>
    <x v="1"/>
    <x v="0"/>
    <x v="0"/>
    <x v="1"/>
    <x v="1"/>
    <x v="1"/>
    <x v="0"/>
    <x v="1"/>
    <x v="1"/>
    <x v="1"/>
    <x v="0"/>
  </r>
  <r>
    <x v="77"/>
    <x v="5"/>
    <x v="2"/>
    <x v="2"/>
    <x v="44"/>
    <x v="42"/>
    <x v="7"/>
    <x v="0"/>
    <x v="0"/>
    <x v="1"/>
    <x v="1"/>
    <x v="1"/>
    <x v="0"/>
    <x v="1"/>
    <x v="1"/>
    <x v="1"/>
    <x v="0"/>
  </r>
  <r>
    <x v="78"/>
    <x v="5"/>
    <x v="2"/>
    <x v="2"/>
    <x v="44"/>
    <x v="43"/>
    <x v="7"/>
    <x v="0"/>
    <x v="0"/>
    <x v="1"/>
    <x v="1"/>
    <x v="1"/>
    <x v="0"/>
    <x v="1"/>
    <x v="1"/>
    <x v="1"/>
    <x v="0"/>
  </r>
  <r>
    <x v="79"/>
    <x v="5"/>
    <x v="2"/>
    <x v="2"/>
    <x v="44"/>
    <x v="44"/>
    <x v="0"/>
    <x v="0"/>
    <x v="0"/>
    <x v="1"/>
    <x v="1"/>
    <x v="1"/>
    <x v="0"/>
    <x v="1"/>
    <x v="1"/>
    <x v="1"/>
    <x v="0"/>
  </r>
  <r>
    <x v="80"/>
    <x v="0"/>
    <x v="2"/>
    <x v="2"/>
    <x v="46"/>
    <x v="24"/>
    <x v="0"/>
    <x v="2"/>
    <x v="0"/>
    <x v="1"/>
    <x v="1"/>
    <x v="1"/>
    <x v="0"/>
    <x v="1"/>
    <x v="2"/>
    <x v="2"/>
    <x v="0"/>
  </r>
  <r>
    <x v="81"/>
    <x v="0"/>
    <x v="2"/>
    <x v="2"/>
    <x v="45"/>
    <x v="24"/>
    <x v="0"/>
    <x v="2"/>
    <x v="0"/>
    <x v="1"/>
    <x v="1"/>
    <x v="1"/>
    <x v="0"/>
    <x v="1"/>
    <x v="2"/>
    <x v="2"/>
    <x v="0"/>
  </r>
  <r>
    <x v="82"/>
    <x v="5"/>
    <x v="2"/>
    <x v="2"/>
    <x v="44"/>
    <x v="45"/>
    <x v="0"/>
    <x v="1"/>
    <x v="0"/>
    <x v="0"/>
    <x v="0"/>
    <x v="1"/>
    <x v="0"/>
    <x v="1"/>
    <x v="0"/>
    <x v="0"/>
    <x v="0"/>
  </r>
  <r>
    <x v="83"/>
    <x v="5"/>
    <x v="2"/>
    <x v="2"/>
    <x v="44"/>
    <x v="46"/>
    <x v="0"/>
    <x v="1"/>
    <x v="0"/>
    <x v="0"/>
    <x v="0"/>
    <x v="1"/>
    <x v="0"/>
    <x v="1"/>
    <x v="0"/>
    <x v="0"/>
    <x v="0"/>
  </r>
  <r>
    <x v="84"/>
    <x v="5"/>
    <x v="2"/>
    <x v="2"/>
    <x v="44"/>
    <x v="47"/>
    <x v="0"/>
    <x v="1"/>
    <x v="0"/>
    <x v="0"/>
    <x v="0"/>
    <x v="1"/>
    <x v="0"/>
    <x v="1"/>
    <x v="0"/>
    <x v="0"/>
    <x v="0"/>
  </r>
  <r>
    <x v="85"/>
    <x v="5"/>
    <x v="2"/>
    <x v="2"/>
    <x v="44"/>
    <x v="48"/>
    <x v="0"/>
    <x v="1"/>
    <x v="0"/>
    <x v="0"/>
    <x v="0"/>
    <x v="2"/>
    <x v="0"/>
    <x v="1"/>
    <x v="0"/>
    <x v="0"/>
    <x v="0"/>
  </r>
  <r>
    <x v="86"/>
    <x v="5"/>
    <x v="2"/>
    <x v="2"/>
    <x v="44"/>
    <x v="49"/>
    <x v="0"/>
    <x v="1"/>
    <x v="0"/>
    <x v="0"/>
    <x v="0"/>
    <x v="2"/>
    <x v="0"/>
    <x v="1"/>
    <x v="0"/>
    <x v="0"/>
    <x v="0"/>
  </r>
  <r>
    <x v="87"/>
    <x v="5"/>
    <x v="2"/>
    <x v="2"/>
    <x v="44"/>
    <x v="50"/>
    <x v="0"/>
    <x v="1"/>
    <x v="0"/>
    <x v="0"/>
    <x v="0"/>
    <x v="1"/>
    <x v="0"/>
    <x v="1"/>
    <x v="0"/>
    <x v="0"/>
    <x v="0"/>
  </r>
  <r>
    <x v="88"/>
    <x v="5"/>
    <x v="2"/>
    <x v="2"/>
    <x v="44"/>
    <x v="51"/>
    <x v="6"/>
    <x v="1"/>
    <x v="0"/>
    <x v="0"/>
    <x v="0"/>
    <x v="1"/>
    <x v="0"/>
    <x v="1"/>
    <x v="0"/>
    <x v="0"/>
    <x v="3"/>
  </r>
  <r>
    <x v="89"/>
    <x v="5"/>
    <x v="2"/>
    <x v="2"/>
    <x v="44"/>
    <x v="52"/>
    <x v="6"/>
    <x v="1"/>
    <x v="0"/>
    <x v="0"/>
    <x v="0"/>
    <x v="1"/>
    <x v="0"/>
    <x v="1"/>
    <x v="0"/>
    <x v="0"/>
    <x v="3"/>
  </r>
  <r>
    <x v="90"/>
    <x v="5"/>
    <x v="2"/>
    <x v="2"/>
    <x v="44"/>
    <x v="53"/>
    <x v="6"/>
    <x v="1"/>
    <x v="0"/>
    <x v="0"/>
    <x v="0"/>
    <x v="1"/>
    <x v="0"/>
    <x v="1"/>
    <x v="0"/>
    <x v="0"/>
    <x v="3"/>
  </r>
  <r>
    <x v="91"/>
    <x v="5"/>
    <x v="2"/>
    <x v="2"/>
    <x v="44"/>
    <x v="54"/>
    <x v="0"/>
    <x v="1"/>
    <x v="0"/>
    <x v="0"/>
    <x v="0"/>
    <x v="1"/>
    <x v="0"/>
    <x v="1"/>
    <x v="0"/>
    <x v="0"/>
    <x v="0"/>
  </r>
  <r>
    <x v="92"/>
    <x v="5"/>
    <x v="2"/>
    <x v="2"/>
    <x v="44"/>
    <x v="55"/>
    <x v="1"/>
    <x v="1"/>
    <x v="0"/>
    <x v="0"/>
    <x v="0"/>
    <x v="1"/>
    <x v="0"/>
    <x v="1"/>
    <x v="0"/>
    <x v="0"/>
    <x v="0"/>
  </r>
  <r>
    <x v="93"/>
    <x v="5"/>
    <x v="2"/>
    <x v="2"/>
    <x v="44"/>
    <x v="56"/>
    <x v="6"/>
    <x v="1"/>
    <x v="0"/>
    <x v="0"/>
    <x v="0"/>
    <x v="1"/>
    <x v="0"/>
    <x v="1"/>
    <x v="0"/>
    <x v="0"/>
    <x v="3"/>
  </r>
  <r>
    <x v="94"/>
    <x v="5"/>
    <x v="2"/>
    <x v="2"/>
    <x v="44"/>
    <x v="57"/>
    <x v="6"/>
    <x v="0"/>
    <x v="0"/>
    <x v="1"/>
    <x v="1"/>
    <x v="1"/>
    <x v="0"/>
    <x v="1"/>
    <x v="1"/>
    <x v="1"/>
    <x v="3"/>
  </r>
  <r>
    <x v="95"/>
    <x v="5"/>
    <x v="2"/>
    <x v="2"/>
    <x v="44"/>
    <x v="58"/>
    <x v="6"/>
    <x v="0"/>
    <x v="0"/>
    <x v="1"/>
    <x v="1"/>
    <x v="1"/>
    <x v="0"/>
    <x v="1"/>
    <x v="1"/>
    <x v="1"/>
    <x v="3"/>
  </r>
  <r>
    <x v="96"/>
    <x v="5"/>
    <x v="2"/>
    <x v="2"/>
    <x v="44"/>
    <x v="59"/>
    <x v="0"/>
    <x v="1"/>
    <x v="0"/>
    <x v="0"/>
    <x v="0"/>
    <x v="2"/>
    <x v="0"/>
    <x v="1"/>
    <x v="0"/>
    <x v="0"/>
    <x v="0"/>
  </r>
  <r>
    <x v="97"/>
    <x v="5"/>
    <x v="2"/>
    <x v="2"/>
    <x v="44"/>
    <x v="60"/>
    <x v="6"/>
    <x v="1"/>
    <x v="0"/>
    <x v="0"/>
    <x v="0"/>
    <x v="1"/>
    <x v="0"/>
    <x v="1"/>
    <x v="0"/>
    <x v="0"/>
    <x v="3"/>
  </r>
  <r>
    <x v="98"/>
    <x v="5"/>
    <x v="2"/>
    <x v="2"/>
    <x v="44"/>
    <x v="61"/>
    <x v="1"/>
    <x v="1"/>
    <x v="0"/>
    <x v="0"/>
    <x v="0"/>
    <x v="1"/>
    <x v="0"/>
    <x v="1"/>
    <x v="0"/>
    <x v="0"/>
    <x v="0"/>
  </r>
  <r>
    <x v="99"/>
    <x v="5"/>
    <x v="2"/>
    <x v="2"/>
    <x v="44"/>
    <x v="62"/>
    <x v="0"/>
    <x v="1"/>
    <x v="0"/>
    <x v="0"/>
    <x v="0"/>
    <x v="1"/>
    <x v="0"/>
    <x v="1"/>
    <x v="0"/>
    <x v="0"/>
    <x v="0"/>
  </r>
  <r>
    <x v="100"/>
    <x v="5"/>
    <x v="2"/>
    <x v="2"/>
    <x v="44"/>
    <x v="63"/>
    <x v="0"/>
    <x v="1"/>
    <x v="0"/>
    <x v="0"/>
    <x v="0"/>
    <x v="1"/>
    <x v="0"/>
    <x v="1"/>
    <x v="0"/>
    <x v="0"/>
    <x v="0"/>
  </r>
  <r>
    <x v="101"/>
    <x v="5"/>
    <x v="2"/>
    <x v="2"/>
    <x v="44"/>
    <x v="64"/>
    <x v="6"/>
    <x v="1"/>
    <x v="0"/>
    <x v="0"/>
    <x v="0"/>
    <x v="1"/>
    <x v="0"/>
    <x v="1"/>
    <x v="0"/>
    <x v="0"/>
    <x v="3"/>
  </r>
  <r>
    <x v="102"/>
    <x v="5"/>
    <x v="2"/>
    <x v="2"/>
    <x v="44"/>
    <x v="65"/>
    <x v="0"/>
    <x v="1"/>
    <x v="0"/>
    <x v="0"/>
    <x v="0"/>
    <x v="1"/>
    <x v="0"/>
    <x v="1"/>
    <x v="0"/>
    <x v="0"/>
    <x v="0"/>
  </r>
  <r>
    <x v="103"/>
    <x v="5"/>
    <x v="2"/>
    <x v="2"/>
    <x v="44"/>
    <x v="66"/>
    <x v="0"/>
    <x v="1"/>
    <x v="0"/>
    <x v="0"/>
    <x v="0"/>
    <x v="1"/>
    <x v="0"/>
    <x v="1"/>
    <x v="0"/>
    <x v="0"/>
    <x v="0"/>
  </r>
  <r>
    <x v="104"/>
    <x v="5"/>
    <x v="2"/>
    <x v="2"/>
    <x v="44"/>
    <x v="67"/>
    <x v="0"/>
    <x v="3"/>
    <x v="2"/>
    <x v="0"/>
    <x v="0"/>
    <x v="6"/>
    <x v="2"/>
    <x v="1"/>
    <x v="0"/>
    <x v="0"/>
    <x v="0"/>
  </r>
  <r>
    <x v="105"/>
    <x v="5"/>
    <x v="2"/>
    <x v="2"/>
    <x v="44"/>
    <x v="68"/>
    <x v="0"/>
    <x v="1"/>
    <x v="0"/>
    <x v="0"/>
    <x v="0"/>
    <x v="1"/>
    <x v="0"/>
    <x v="1"/>
    <x v="0"/>
    <x v="0"/>
    <x v="0"/>
  </r>
  <r>
    <x v="106"/>
    <x v="5"/>
    <x v="2"/>
    <x v="2"/>
    <x v="44"/>
    <x v="69"/>
    <x v="6"/>
    <x v="1"/>
    <x v="0"/>
    <x v="0"/>
    <x v="0"/>
    <x v="1"/>
    <x v="0"/>
    <x v="1"/>
    <x v="0"/>
    <x v="0"/>
    <x v="3"/>
  </r>
  <r>
    <x v="107"/>
    <x v="5"/>
    <x v="2"/>
    <x v="2"/>
    <x v="44"/>
    <x v="70"/>
    <x v="6"/>
    <x v="4"/>
    <x v="0"/>
    <x v="1"/>
    <x v="1"/>
    <x v="1"/>
    <x v="0"/>
    <x v="1"/>
    <x v="2"/>
    <x v="3"/>
    <x v="3"/>
  </r>
  <r>
    <x v="108"/>
    <x v="5"/>
    <x v="2"/>
    <x v="2"/>
    <x v="44"/>
    <x v="71"/>
    <x v="6"/>
    <x v="1"/>
    <x v="0"/>
    <x v="0"/>
    <x v="0"/>
    <x v="4"/>
    <x v="0"/>
    <x v="1"/>
    <x v="0"/>
    <x v="0"/>
    <x v="3"/>
  </r>
  <r>
    <x v="109"/>
    <x v="5"/>
    <x v="2"/>
    <x v="2"/>
    <x v="44"/>
    <x v="72"/>
    <x v="0"/>
    <x v="1"/>
    <x v="0"/>
    <x v="0"/>
    <x v="0"/>
    <x v="1"/>
    <x v="0"/>
    <x v="1"/>
    <x v="0"/>
    <x v="0"/>
    <x v="0"/>
  </r>
  <r>
    <x v="110"/>
    <x v="5"/>
    <x v="2"/>
    <x v="2"/>
    <x v="44"/>
    <x v="73"/>
    <x v="1"/>
    <x v="1"/>
    <x v="0"/>
    <x v="0"/>
    <x v="0"/>
    <x v="1"/>
    <x v="0"/>
    <x v="1"/>
    <x v="0"/>
    <x v="0"/>
    <x v="0"/>
  </r>
  <r>
    <x v="111"/>
    <x v="5"/>
    <x v="2"/>
    <x v="2"/>
    <x v="44"/>
    <x v="74"/>
    <x v="0"/>
    <x v="1"/>
    <x v="0"/>
    <x v="0"/>
    <x v="0"/>
    <x v="1"/>
    <x v="0"/>
    <x v="1"/>
    <x v="0"/>
    <x v="0"/>
    <x v="0"/>
  </r>
  <r>
    <x v="112"/>
    <x v="5"/>
    <x v="2"/>
    <x v="2"/>
    <x v="44"/>
    <x v="75"/>
    <x v="0"/>
    <x v="1"/>
    <x v="0"/>
    <x v="0"/>
    <x v="0"/>
    <x v="1"/>
    <x v="0"/>
    <x v="1"/>
    <x v="0"/>
    <x v="0"/>
    <x v="0"/>
  </r>
  <r>
    <x v="113"/>
    <x v="5"/>
    <x v="2"/>
    <x v="2"/>
    <x v="44"/>
    <x v="76"/>
    <x v="6"/>
    <x v="0"/>
    <x v="0"/>
    <x v="1"/>
    <x v="1"/>
    <x v="1"/>
    <x v="0"/>
    <x v="1"/>
    <x v="1"/>
    <x v="1"/>
    <x v="3"/>
  </r>
  <r>
    <x v="114"/>
    <x v="5"/>
    <x v="2"/>
    <x v="2"/>
    <x v="44"/>
    <x v="77"/>
    <x v="0"/>
    <x v="1"/>
    <x v="0"/>
    <x v="0"/>
    <x v="0"/>
    <x v="1"/>
    <x v="0"/>
    <x v="1"/>
    <x v="0"/>
    <x v="0"/>
    <x v="0"/>
  </r>
  <r>
    <x v="115"/>
    <x v="5"/>
    <x v="2"/>
    <x v="2"/>
    <x v="44"/>
    <x v="78"/>
    <x v="0"/>
    <x v="1"/>
    <x v="0"/>
    <x v="0"/>
    <x v="0"/>
    <x v="1"/>
    <x v="0"/>
    <x v="1"/>
    <x v="0"/>
    <x v="0"/>
    <x v="0"/>
  </r>
  <r>
    <x v="116"/>
    <x v="5"/>
    <x v="2"/>
    <x v="2"/>
    <x v="44"/>
    <x v="79"/>
    <x v="0"/>
    <x v="1"/>
    <x v="0"/>
    <x v="0"/>
    <x v="0"/>
    <x v="1"/>
    <x v="0"/>
    <x v="1"/>
    <x v="0"/>
    <x v="0"/>
    <x v="0"/>
  </r>
  <r>
    <x v="117"/>
    <x v="5"/>
    <x v="2"/>
    <x v="2"/>
    <x v="44"/>
    <x v="80"/>
    <x v="1"/>
    <x v="1"/>
    <x v="0"/>
    <x v="0"/>
    <x v="0"/>
    <x v="1"/>
    <x v="0"/>
    <x v="1"/>
    <x v="0"/>
    <x v="0"/>
    <x v="0"/>
  </r>
  <r>
    <x v="118"/>
    <x v="5"/>
    <x v="2"/>
    <x v="2"/>
    <x v="44"/>
    <x v="81"/>
    <x v="1"/>
    <x v="1"/>
    <x v="0"/>
    <x v="0"/>
    <x v="0"/>
    <x v="1"/>
    <x v="0"/>
    <x v="1"/>
    <x v="0"/>
    <x v="0"/>
    <x v="0"/>
  </r>
  <r>
    <x v="119"/>
    <x v="5"/>
    <x v="2"/>
    <x v="2"/>
    <x v="44"/>
    <x v="82"/>
    <x v="6"/>
    <x v="1"/>
    <x v="0"/>
    <x v="0"/>
    <x v="0"/>
    <x v="1"/>
    <x v="0"/>
    <x v="1"/>
    <x v="0"/>
    <x v="0"/>
    <x v="0"/>
  </r>
  <r>
    <x v="120"/>
    <x v="5"/>
    <x v="2"/>
    <x v="2"/>
    <x v="44"/>
    <x v="83"/>
    <x v="6"/>
    <x v="0"/>
    <x v="0"/>
    <x v="1"/>
    <x v="1"/>
    <x v="1"/>
    <x v="0"/>
    <x v="1"/>
    <x v="1"/>
    <x v="1"/>
    <x v="0"/>
  </r>
  <r>
    <x v="121"/>
    <x v="5"/>
    <x v="2"/>
    <x v="2"/>
    <x v="44"/>
    <x v="84"/>
    <x v="6"/>
    <x v="0"/>
    <x v="0"/>
    <x v="1"/>
    <x v="1"/>
    <x v="1"/>
    <x v="0"/>
    <x v="1"/>
    <x v="1"/>
    <x v="1"/>
    <x v="3"/>
  </r>
  <r>
    <x v="122"/>
    <x v="5"/>
    <x v="2"/>
    <x v="2"/>
    <x v="44"/>
    <x v="85"/>
    <x v="4"/>
    <x v="1"/>
    <x v="0"/>
    <x v="0"/>
    <x v="0"/>
    <x v="1"/>
    <x v="0"/>
    <x v="1"/>
    <x v="0"/>
    <x v="0"/>
    <x v="0"/>
  </r>
  <r>
    <x v="123"/>
    <x v="5"/>
    <x v="2"/>
    <x v="2"/>
    <x v="44"/>
    <x v="86"/>
    <x v="1"/>
    <x v="1"/>
    <x v="0"/>
    <x v="0"/>
    <x v="0"/>
    <x v="1"/>
    <x v="0"/>
    <x v="1"/>
    <x v="0"/>
    <x v="0"/>
    <x v="0"/>
  </r>
  <r>
    <x v="124"/>
    <x v="5"/>
    <x v="2"/>
    <x v="2"/>
    <x v="44"/>
    <x v="87"/>
    <x v="7"/>
    <x v="1"/>
    <x v="0"/>
    <x v="0"/>
    <x v="0"/>
    <x v="1"/>
    <x v="0"/>
    <x v="1"/>
    <x v="0"/>
    <x v="0"/>
    <x v="0"/>
  </r>
  <r>
    <x v="125"/>
    <x v="5"/>
    <x v="2"/>
    <x v="2"/>
    <x v="44"/>
    <x v="88"/>
    <x v="0"/>
    <x v="1"/>
    <x v="0"/>
    <x v="0"/>
    <x v="0"/>
    <x v="2"/>
    <x v="0"/>
    <x v="1"/>
    <x v="0"/>
    <x v="0"/>
    <x v="0"/>
  </r>
  <r>
    <x v="126"/>
    <x v="5"/>
    <x v="2"/>
    <x v="2"/>
    <x v="44"/>
    <x v="89"/>
    <x v="0"/>
    <x v="1"/>
    <x v="0"/>
    <x v="0"/>
    <x v="0"/>
    <x v="1"/>
    <x v="0"/>
    <x v="1"/>
    <x v="0"/>
    <x v="0"/>
    <x v="0"/>
  </r>
  <r>
    <x v="127"/>
    <x v="5"/>
    <x v="2"/>
    <x v="2"/>
    <x v="44"/>
    <x v="90"/>
    <x v="4"/>
    <x v="5"/>
    <x v="3"/>
    <x v="0"/>
    <x v="0"/>
    <x v="7"/>
    <x v="3"/>
    <x v="1"/>
    <x v="0"/>
    <x v="0"/>
    <x v="0"/>
  </r>
  <r>
    <x v="128"/>
    <x v="5"/>
    <x v="2"/>
    <x v="2"/>
    <x v="44"/>
    <x v="91"/>
    <x v="4"/>
    <x v="1"/>
    <x v="0"/>
    <x v="0"/>
    <x v="0"/>
    <x v="1"/>
    <x v="0"/>
    <x v="1"/>
    <x v="0"/>
    <x v="0"/>
    <x v="0"/>
  </r>
  <r>
    <x v="129"/>
    <x v="5"/>
    <x v="2"/>
    <x v="2"/>
    <x v="44"/>
    <x v="92"/>
    <x v="2"/>
    <x v="1"/>
    <x v="0"/>
    <x v="0"/>
    <x v="0"/>
    <x v="1"/>
    <x v="0"/>
    <x v="1"/>
    <x v="0"/>
    <x v="0"/>
    <x v="0"/>
  </r>
  <r>
    <x v="130"/>
    <x v="5"/>
    <x v="2"/>
    <x v="2"/>
    <x v="44"/>
    <x v="93"/>
    <x v="2"/>
    <x v="1"/>
    <x v="0"/>
    <x v="0"/>
    <x v="0"/>
    <x v="1"/>
    <x v="0"/>
    <x v="1"/>
    <x v="0"/>
    <x v="0"/>
    <x v="0"/>
  </r>
  <r>
    <x v="131"/>
    <x v="5"/>
    <x v="2"/>
    <x v="2"/>
    <x v="44"/>
    <x v="94"/>
    <x v="0"/>
    <x v="1"/>
    <x v="0"/>
    <x v="0"/>
    <x v="0"/>
    <x v="1"/>
    <x v="0"/>
    <x v="1"/>
    <x v="0"/>
    <x v="0"/>
    <x v="0"/>
  </r>
  <r>
    <x v="132"/>
    <x v="5"/>
    <x v="2"/>
    <x v="2"/>
    <x v="44"/>
    <x v="95"/>
    <x v="1"/>
    <x v="6"/>
    <x v="0"/>
    <x v="1"/>
    <x v="1"/>
    <x v="1"/>
    <x v="0"/>
    <x v="1"/>
    <x v="2"/>
    <x v="3"/>
    <x v="0"/>
  </r>
  <r>
    <x v="133"/>
    <x v="5"/>
    <x v="2"/>
    <x v="2"/>
    <x v="44"/>
    <x v="96"/>
    <x v="4"/>
    <x v="1"/>
    <x v="0"/>
    <x v="1"/>
    <x v="1"/>
    <x v="1"/>
    <x v="0"/>
    <x v="1"/>
    <x v="2"/>
    <x v="3"/>
    <x v="0"/>
  </r>
  <r>
    <x v="134"/>
    <x v="6"/>
    <x v="2"/>
    <x v="2"/>
    <x v="47"/>
    <x v="97"/>
    <x v="5"/>
    <x v="7"/>
    <x v="0"/>
    <x v="1"/>
    <x v="1"/>
    <x v="1"/>
    <x v="0"/>
    <x v="1"/>
    <x v="2"/>
    <x v="4"/>
    <x v="1"/>
  </r>
  <r>
    <x v="135"/>
    <x v="6"/>
    <x v="2"/>
    <x v="2"/>
    <x v="47"/>
    <x v="98"/>
    <x v="5"/>
    <x v="7"/>
    <x v="0"/>
    <x v="1"/>
    <x v="1"/>
    <x v="1"/>
    <x v="0"/>
    <x v="1"/>
    <x v="2"/>
    <x v="4"/>
    <x v="1"/>
  </r>
  <r>
    <x v="136"/>
    <x v="6"/>
    <x v="2"/>
    <x v="2"/>
    <x v="47"/>
    <x v="99"/>
    <x v="5"/>
    <x v="1"/>
    <x v="0"/>
    <x v="0"/>
    <x v="0"/>
    <x v="1"/>
    <x v="0"/>
    <x v="1"/>
    <x v="0"/>
    <x v="0"/>
    <x v="1"/>
  </r>
  <r>
    <x v="137"/>
    <x v="5"/>
    <x v="2"/>
    <x v="2"/>
    <x v="44"/>
    <x v="100"/>
    <x v="6"/>
    <x v="1"/>
    <x v="0"/>
    <x v="0"/>
    <x v="0"/>
    <x v="1"/>
    <x v="0"/>
    <x v="1"/>
    <x v="0"/>
    <x v="0"/>
    <x v="3"/>
  </r>
  <r>
    <x v="138"/>
    <x v="5"/>
    <x v="2"/>
    <x v="2"/>
    <x v="44"/>
    <x v="101"/>
    <x v="6"/>
    <x v="8"/>
    <x v="0"/>
    <x v="1"/>
    <x v="1"/>
    <x v="1"/>
    <x v="0"/>
    <x v="1"/>
    <x v="2"/>
    <x v="4"/>
    <x v="3"/>
  </r>
  <r>
    <x v="139"/>
    <x v="5"/>
    <x v="2"/>
    <x v="2"/>
    <x v="44"/>
    <x v="102"/>
    <x v="6"/>
    <x v="0"/>
    <x v="0"/>
    <x v="1"/>
    <x v="1"/>
    <x v="1"/>
    <x v="0"/>
    <x v="1"/>
    <x v="1"/>
    <x v="1"/>
    <x v="3"/>
  </r>
  <r>
    <x v="140"/>
    <x v="5"/>
    <x v="2"/>
    <x v="3"/>
    <x v="44"/>
    <x v="103"/>
    <x v="7"/>
    <x v="0"/>
    <x v="0"/>
    <x v="1"/>
    <x v="1"/>
    <x v="1"/>
    <x v="0"/>
    <x v="1"/>
    <x v="1"/>
    <x v="1"/>
    <x v="0"/>
  </r>
  <r>
    <x v="141"/>
    <x v="5"/>
    <x v="2"/>
    <x v="3"/>
    <x v="44"/>
    <x v="104"/>
    <x v="7"/>
    <x v="0"/>
    <x v="0"/>
    <x v="1"/>
    <x v="1"/>
    <x v="1"/>
    <x v="0"/>
    <x v="1"/>
    <x v="1"/>
    <x v="1"/>
    <x v="0"/>
  </r>
  <r>
    <x v="142"/>
    <x v="5"/>
    <x v="2"/>
    <x v="3"/>
    <x v="44"/>
    <x v="105"/>
    <x v="7"/>
    <x v="0"/>
    <x v="0"/>
    <x v="0"/>
    <x v="0"/>
    <x v="8"/>
    <x v="0"/>
    <x v="1"/>
    <x v="0"/>
    <x v="0"/>
    <x v="0"/>
  </r>
  <r>
    <x v="143"/>
    <x v="5"/>
    <x v="2"/>
    <x v="3"/>
    <x v="44"/>
    <x v="106"/>
    <x v="0"/>
    <x v="0"/>
    <x v="0"/>
    <x v="1"/>
    <x v="1"/>
    <x v="1"/>
    <x v="0"/>
    <x v="1"/>
    <x v="1"/>
    <x v="1"/>
    <x v="0"/>
  </r>
  <r>
    <x v="144"/>
    <x v="5"/>
    <x v="2"/>
    <x v="3"/>
    <x v="44"/>
    <x v="107"/>
    <x v="0"/>
    <x v="0"/>
    <x v="0"/>
    <x v="1"/>
    <x v="1"/>
    <x v="1"/>
    <x v="0"/>
    <x v="1"/>
    <x v="1"/>
    <x v="1"/>
    <x v="0"/>
  </r>
  <r>
    <x v="145"/>
    <x v="5"/>
    <x v="2"/>
    <x v="3"/>
    <x v="44"/>
    <x v="108"/>
    <x v="0"/>
    <x v="1"/>
    <x v="0"/>
    <x v="0"/>
    <x v="0"/>
    <x v="1"/>
    <x v="0"/>
    <x v="1"/>
    <x v="0"/>
    <x v="0"/>
    <x v="0"/>
  </r>
  <r>
    <x v="146"/>
    <x v="5"/>
    <x v="2"/>
    <x v="3"/>
    <x v="44"/>
    <x v="109"/>
    <x v="0"/>
    <x v="1"/>
    <x v="0"/>
    <x v="0"/>
    <x v="0"/>
    <x v="1"/>
    <x v="0"/>
    <x v="1"/>
    <x v="0"/>
    <x v="0"/>
    <x v="0"/>
  </r>
  <r>
    <x v="147"/>
    <x v="5"/>
    <x v="2"/>
    <x v="3"/>
    <x v="44"/>
    <x v="110"/>
    <x v="0"/>
    <x v="1"/>
    <x v="0"/>
    <x v="0"/>
    <x v="0"/>
    <x v="1"/>
    <x v="0"/>
    <x v="1"/>
    <x v="0"/>
    <x v="0"/>
    <x v="0"/>
  </r>
  <r>
    <x v="148"/>
    <x v="5"/>
    <x v="2"/>
    <x v="3"/>
    <x v="44"/>
    <x v="111"/>
    <x v="7"/>
    <x v="1"/>
    <x v="0"/>
    <x v="0"/>
    <x v="0"/>
    <x v="1"/>
    <x v="0"/>
    <x v="1"/>
    <x v="0"/>
    <x v="0"/>
    <x v="0"/>
  </r>
  <r>
    <x v="149"/>
    <x v="5"/>
    <x v="2"/>
    <x v="3"/>
    <x v="44"/>
    <x v="112"/>
    <x v="0"/>
    <x v="1"/>
    <x v="0"/>
    <x v="0"/>
    <x v="0"/>
    <x v="1"/>
    <x v="0"/>
    <x v="1"/>
    <x v="0"/>
    <x v="0"/>
    <x v="0"/>
  </r>
  <r>
    <x v="150"/>
    <x v="5"/>
    <x v="2"/>
    <x v="3"/>
    <x v="44"/>
    <x v="113"/>
    <x v="0"/>
    <x v="1"/>
    <x v="0"/>
    <x v="0"/>
    <x v="0"/>
    <x v="1"/>
    <x v="0"/>
    <x v="1"/>
    <x v="0"/>
    <x v="0"/>
    <x v="0"/>
  </r>
  <r>
    <x v="151"/>
    <x v="5"/>
    <x v="2"/>
    <x v="3"/>
    <x v="44"/>
    <x v="114"/>
    <x v="0"/>
    <x v="1"/>
    <x v="0"/>
    <x v="0"/>
    <x v="0"/>
    <x v="1"/>
    <x v="0"/>
    <x v="1"/>
    <x v="0"/>
    <x v="0"/>
    <x v="0"/>
  </r>
  <r>
    <x v="152"/>
    <x v="5"/>
    <x v="2"/>
    <x v="3"/>
    <x v="44"/>
    <x v="115"/>
    <x v="1"/>
    <x v="1"/>
    <x v="0"/>
    <x v="0"/>
    <x v="0"/>
    <x v="1"/>
    <x v="0"/>
    <x v="1"/>
    <x v="0"/>
    <x v="0"/>
    <x v="0"/>
  </r>
  <r>
    <x v="153"/>
    <x v="5"/>
    <x v="2"/>
    <x v="3"/>
    <x v="44"/>
    <x v="116"/>
    <x v="7"/>
    <x v="1"/>
    <x v="0"/>
    <x v="0"/>
    <x v="0"/>
    <x v="1"/>
    <x v="0"/>
    <x v="1"/>
    <x v="0"/>
    <x v="0"/>
    <x v="0"/>
  </r>
  <r>
    <x v="154"/>
    <x v="5"/>
    <x v="2"/>
    <x v="3"/>
    <x v="44"/>
    <x v="117"/>
    <x v="1"/>
    <x v="1"/>
    <x v="0"/>
    <x v="0"/>
    <x v="0"/>
    <x v="1"/>
    <x v="0"/>
    <x v="1"/>
    <x v="0"/>
    <x v="0"/>
    <x v="0"/>
  </r>
  <r>
    <x v="155"/>
    <x v="5"/>
    <x v="2"/>
    <x v="3"/>
    <x v="44"/>
    <x v="118"/>
    <x v="7"/>
    <x v="1"/>
    <x v="0"/>
    <x v="0"/>
    <x v="0"/>
    <x v="1"/>
    <x v="0"/>
    <x v="1"/>
    <x v="0"/>
    <x v="0"/>
    <x v="0"/>
  </r>
  <r>
    <x v="156"/>
    <x v="5"/>
    <x v="2"/>
    <x v="3"/>
    <x v="44"/>
    <x v="119"/>
    <x v="1"/>
    <x v="1"/>
    <x v="0"/>
    <x v="0"/>
    <x v="0"/>
    <x v="1"/>
    <x v="0"/>
    <x v="1"/>
    <x v="0"/>
    <x v="0"/>
    <x v="0"/>
  </r>
  <r>
    <x v="157"/>
    <x v="5"/>
    <x v="2"/>
    <x v="3"/>
    <x v="44"/>
    <x v="120"/>
    <x v="6"/>
    <x v="1"/>
    <x v="0"/>
    <x v="0"/>
    <x v="0"/>
    <x v="1"/>
    <x v="0"/>
    <x v="1"/>
    <x v="0"/>
    <x v="0"/>
    <x v="3"/>
  </r>
  <r>
    <x v="158"/>
    <x v="5"/>
    <x v="2"/>
    <x v="3"/>
    <x v="44"/>
    <x v="121"/>
    <x v="0"/>
    <x v="1"/>
    <x v="0"/>
    <x v="0"/>
    <x v="0"/>
    <x v="1"/>
    <x v="0"/>
    <x v="1"/>
    <x v="0"/>
    <x v="0"/>
    <x v="0"/>
  </r>
  <r>
    <x v="159"/>
    <x v="5"/>
    <x v="2"/>
    <x v="3"/>
    <x v="44"/>
    <x v="122"/>
    <x v="7"/>
    <x v="1"/>
    <x v="0"/>
    <x v="0"/>
    <x v="0"/>
    <x v="1"/>
    <x v="0"/>
    <x v="1"/>
    <x v="0"/>
    <x v="0"/>
    <x v="0"/>
  </r>
  <r>
    <x v="160"/>
    <x v="5"/>
    <x v="2"/>
    <x v="3"/>
    <x v="44"/>
    <x v="123"/>
    <x v="0"/>
    <x v="1"/>
    <x v="0"/>
    <x v="0"/>
    <x v="0"/>
    <x v="1"/>
    <x v="0"/>
    <x v="1"/>
    <x v="0"/>
    <x v="0"/>
    <x v="0"/>
  </r>
  <r>
    <x v="161"/>
    <x v="5"/>
    <x v="2"/>
    <x v="3"/>
    <x v="44"/>
    <x v="124"/>
    <x v="0"/>
    <x v="3"/>
    <x v="2"/>
    <x v="0"/>
    <x v="0"/>
    <x v="6"/>
    <x v="2"/>
    <x v="1"/>
    <x v="0"/>
    <x v="0"/>
    <x v="0"/>
  </r>
  <r>
    <x v="162"/>
    <x v="5"/>
    <x v="2"/>
    <x v="3"/>
    <x v="44"/>
    <x v="125"/>
    <x v="0"/>
    <x v="1"/>
    <x v="0"/>
    <x v="0"/>
    <x v="0"/>
    <x v="1"/>
    <x v="0"/>
    <x v="1"/>
    <x v="0"/>
    <x v="0"/>
    <x v="0"/>
  </r>
  <r>
    <x v="163"/>
    <x v="5"/>
    <x v="2"/>
    <x v="3"/>
    <x v="44"/>
    <x v="126"/>
    <x v="7"/>
    <x v="1"/>
    <x v="0"/>
    <x v="0"/>
    <x v="0"/>
    <x v="1"/>
    <x v="0"/>
    <x v="1"/>
    <x v="0"/>
    <x v="0"/>
    <x v="0"/>
  </r>
  <r>
    <x v="164"/>
    <x v="5"/>
    <x v="2"/>
    <x v="3"/>
    <x v="44"/>
    <x v="127"/>
    <x v="0"/>
    <x v="1"/>
    <x v="0"/>
    <x v="0"/>
    <x v="0"/>
    <x v="1"/>
    <x v="0"/>
    <x v="1"/>
    <x v="0"/>
    <x v="0"/>
    <x v="0"/>
  </r>
  <r>
    <x v="165"/>
    <x v="5"/>
    <x v="2"/>
    <x v="3"/>
    <x v="44"/>
    <x v="128"/>
    <x v="7"/>
    <x v="1"/>
    <x v="0"/>
    <x v="0"/>
    <x v="0"/>
    <x v="1"/>
    <x v="0"/>
    <x v="1"/>
    <x v="0"/>
    <x v="0"/>
    <x v="0"/>
  </r>
  <r>
    <x v="166"/>
    <x v="5"/>
    <x v="2"/>
    <x v="3"/>
    <x v="44"/>
    <x v="129"/>
    <x v="0"/>
    <x v="1"/>
    <x v="0"/>
    <x v="0"/>
    <x v="0"/>
    <x v="1"/>
    <x v="0"/>
    <x v="1"/>
    <x v="0"/>
    <x v="0"/>
    <x v="0"/>
  </r>
  <r>
    <x v="167"/>
    <x v="5"/>
    <x v="2"/>
    <x v="3"/>
    <x v="44"/>
    <x v="130"/>
    <x v="0"/>
    <x v="1"/>
    <x v="0"/>
    <x v="0"/>
    <x v="0"/>
    <x v="1"/>
    <x v="0"/>
    <x v="1"/>
    <x v="0"/>
    <x v="0"/>
    <x v="0"/>
  </r>
  <r>
    <x v="168"/>
    <x v="5"/>
    <x v="2"/>
    <x v="3"/>
    <x v="44"/>
    <x v="131"/>
    <x v="0"/>
    <x v="1"/>
    <x v="0"/>
    <x v="0"/>
    <x v="0"/>
    <x v="1"/>
    <x v="0"/>
    <x v="1"/>
    <x v="0"/>
    <x v="0"/>
    <x v="0"/>
  </r>
  <r>
    <x v="169"/>
    <x v="5"/>
    <x v="2"/>
    <x v="3"/>
    <x v="44"/>
    <x v="132"/>
    <x v="0"/>
    <x v="1"/>
    <x v="0"/>
    <x v="0"/>
    <x v="0"/>
    <x v="1"/>
    <x v="0"/>
    <x v="1"/>
    <x v="0"/>
    <x v="0"/>
    <x v="0"/>
  </r>
  <r>
    <x v="170"/>
    <x v="5"/>
    <x v="2"/>
    <x v="3"/>
    <x v="44"/>
    <x v="133"/>
    <x v="0"/>
    <x v="1"/>
    <x v="0"/>
    <x v="0"/>
    <x v="0"/>
    <x v="1"/>
    <x v="0"/>
    <x v="1"/>
    <x v="0"/>
    <x v="0"/>
    <x v="0"/>
  </r>
  <r>
    <x v="171"/>
    <x v="5"/>
    <x v="2"/>
    <x v="3"/>
    <x v="44"/>
    <x v="134"/>
    <x v="0"/>
    <x v="1"/>
    <x v="0"/>
    <x v="0"/>
    <x v="0"/>
    <x v="1"/>
    <x v="0"/>
    <x v="1"/>
    <x v="0"/>
    <x v="0"/>
    <x v="0"/>
  </r>
  <r>
    <x v="172"/>
    <x v="5"/>
    <x v="2"/>
    <x v="3"/>
    <x v="44"/>
    <x v="135"/>
    <x v="2"/>
    <x v="1"/>
    <x v="0"/>
    <x v="0"/>
    <x v="0"/>
    <x v="1"/>
    <x v="0"/>
    <x v="1"/>
    <x v="0"/>
    <x v="0"/>
    <x v="0"/>
  </r>
  <r>
    <x v="173"/>
    <x v="5"/>
    <x v="2"/>
    <x v="3"/>
    <x v="44"/>
    <x v="136"/>
    <x v="2"/>
    <x v="1"/>
    <x v="0"/>
    <x v="0"/>
    <x v="0"/>
    <x v="1"/>
    <x v="0"/>
    <x v="1"/>
    <x v="0"/>
    <x v="0"/>
    <x v="0"/>
  </r>
  <r>
    <x v="174"/>
    <x v="5"/>
    <x v="2"/>
    <x v="3"/>
    <x v="44"/>
    <x v="137"/>
    <x v="0"/>
    <x v="1"/>
    <x v="0"/>
    <x v="0"/>
    <x v="0"/>
    <x v="1"/>
    <x v="0"/>
    <x v="1"/>
    <x v="0"/>
    <x v="0"/>
    <x v="0"/>
  </r>
  <r>
    <x v="175"/>
    <x v="5"/>
    <x v="2"/>
    <x v="3"/>
    <x v="44"/>
    <x v="138"/>
    <x v="0"/>
    <x v="1"/>
    <x v="0"/>
    <x v="0"/>
    <x v="0"/>
    <x v="1"/>
    <x v="0"/>
    <x v="1"/>
    <x v="0"/>
    <x v="0"/>
    <x v="0"/>
  </r>
  <r>
    <x v="176"/>
    <x v="5"/>
    <x v="2"/>
    <x v="3"/>
    <x v="44"/>
    <x v="139"/>
    <x v="0"/>
    <x v="1"/>
    <x v="0"/>
    <x v="0"/>
    <x v="0"/>
    <x v="1"/>
    <x v="0"/>
    <x v="1"/>
    <x v="0"/>
    <x v="0"/>
    <x v="0"/>
  </r>
  <r>
    <x v="177"/>
    <x v="5"/>
    <x v="2"/>
    <x v="3"/>
    <x v="44"/>
    <x v="140"/>
    <x v="0"/>
    <x v="1"/>
    <x v="0"/>
    <x v="0"/>
    <x v="0"/>
    <x v="1"/>
    <x v="0"/>
    <x v="1"/>
    <x v="0"/>
    <x v="0"/>
    <x v="0"/>
  </r>
  <r>
    <x v="178"/>
    <x v="5"/>
    <x v="2"/>
    <x v="3"/>
    <x v="44"/>
    <x v="141"/>
    <x v="0"/>
    <x v="1"/>
    <x v="0"/>
    <x v="0"/>
    <x v="0"/>
    <x v="1"/>
    <x v="0"/>
    <x v="1"/>
    <x v="0"/>
    <x v="0"/>
    <x v="0"/>
  </r>
  <r>
    <x v="179"/>
    <x v="5"/>
    <x v="2"/>
    <x v="3"/>
    <x v="44"/>
    <x v="142"/>
    <x v="0"/>
    <x v="1"/>
    <x v="0"/>
    <x v="0"/>
    <x v="0"/>
    <x v="1"/>
    <x v="0"/>
    <x v="1"/>
    <x v="0"/>
    <x v="0"/>
    <x v="0"/>
  </r>
  <r>
    <x v="180"/>
    <x v="5"/>
    <x v="2"/>
    <x v="3"/>
    <x v="44"/>
    <x v="143"/>
    <x v="0"/>
    <x v="1"/>
    <x v="0"/>
    <x v="0"/>
    <x v="0"/>
    <x v="1"/>
    <x v="0"/>
    <x v="1"/>
    <x v="0"/>
    <x v="0"/>
    <x v="0"/>
  </r>
  <r>
    <x v="181"/>
    <x v="5"/>
    <x v="2"/>
    <x v="3"/>
    <x v="44"/>
    <x v="144"/>
    <x v="0"/>
    <x v="1"/>
    <x v="0"/>
    <x v="0"/>
    <x v="0"/>
    <x v="1"/>
    <x v="0"/>
    <x v="1"/>
    <x v="0"/>
    <x v="0"/>
    <x v="0"/>
  </r>
  <r>
    <x v="182"/>
    <x v="5"/>
    <x v="2"/>
    <x v="3"/>
    <x v="44"/>
    <x v="145"/>
    <x v="1"/>
    <x v="1"/>
    <x v="0"/>
    <x v="0"/>
    <x v="0"/>
    <x v="1"/>
    <x v="0"/>
    <x v="1"/>
    <x v="0"/>
    <x v="0"/>
    <x v="0"/>
  </r>
  <r>
    <x v="183"/>
    <x v="5"/>
    <x v="2"/>
    <x v="3"/>
    <x v="44"/>
    <x v="146"/>
    <x v="0"/>
    <x v="1"/>
    <x v="0"/>
    <x v="0"/>
    <x v="0"/>
    <x v="1"/>
    <x v="0"/>
    <x v="1"/>
    <x v="0"/>
    <x v="0"/>
    <x v="0"/>
  </r>
  <r>
    <x v="184"/>
    <x v="5"/>
    <x v="2"/>
    <x v="3"/>
    <x v="44"/>
    <x v="147"/>
    <x v="0"/>
    <x v="1"/>
    <x v="0"/>
    <x v="0"/>
    <x v="0"/>
    <x v="1"/>
    <x v="0"/>
    <x v="1"/>
    <x v="0"/>
    <x v="0"/>
    <x v="0"/>
  </r>
  <r>
    <x v="185"/>
    <x v="5"/>
    <x v="2"/>
    <x v="3"/>
    <x v="44"/>
    <x v="148"/>
    <x v="0"/>
    <x v="1"/>
    <x v="0"/>
    <x v="0"/>
    <x v="0"/>
    <x v="1"/>
    <x v="0"/>
    <x v="1"/>
    <x v="0"/>
    <x v="0"/>
    <x v="0"/>
  </r>
  <r>
    <x v="186"/>
    <x v="5"/>
    <x v="2"/>
    <x v="3"/>
    <x v="44"/>
    <x v="149"/>
    <x v="4"/>
    <x v="1"/>
    <x v="0"/>
    <x v="0"/>
    <x v="0"/>
    <x v="1"/>
    <x v="0"/>
    <x v="1"/>
    <x v="0"/>
    <x v="0"/>
    <x v="0"/>
  </r>
  <r>
    <x v="187"/>
    <x v="5"/>
    <x v="2"/>
    <x v="3"/>
    <x v="44"/>
    <x v="150"/>
    <x v="4"/>
    <x v="1"/>
    <x v="0"/>
    <x v="0"/>
    <x v="0"/>
    <x v="1"/>
    <x v="0"/>
    <x v="1"/>
    <x v="0"/>
    <x v="0"/>
    <x v="0"/>
  </r>
  <r>
    <x v="188"/>
    <x v="5"/>
    <x v="2"/>
    <x v="3"/>
    <x v="44"/>
    <x v="151"/>
    <x v="4"/>
    <x v="1"/>
    <x v="0"/>
    <x v="0"/>
    <x v="0"/>
    <x v="1"/>
    <x v="0"/>
    <x v="1"/>
    <x v="0"/>
    <x v="0"/>
    <x v="0"/>
  </r>
  <r>
    <x v="189"/>
    <x v="5"/>
    <x v="2"/>
    <x v="3"/>
    <x v="44"/>
    <x v="152"/>
    <x v="4"/>
    <x v="1"/>
    <x v="0"/>
    <x v="0"/>
    <x v="0"/>
    <x v="1"/>
    <x v="0"/>
    <x v="1"/>
    <x v="0"/>
    <x v="0"/>
    <x v="0"/>
  </r>
  <r>
    <x v="190"/>
    <x v="5"/>
    <x v="2"/>
    <x v="3"/>
    <x v="44"/>
    <x v="153"/>
    <x v="6"/>
    <x v="1"/>
    <x v="0"/>
    <x v="0"/>
    <x v="0"/>
    <x v="1"/>
    <x v="0"/>
    <x v="1"/>
    <x v="0"/>
    <x v="0"/>
    <x v="3"/>
  </r>
  <r>
    <x v="191"/>
    <x v="5"/>
    <x v="2"/>
    <x v="3"/>
    <x v="44"/>
    <x v="154"/>
    <x v="6"/>
    <x v="1"/>
    <x v="0"/>
    <x v="0"/>
    <x v="0"/>
    <x v="1"/>
    <x v="0"/>
    <x v="1"/>
    <x v="0"/>
    <x v="0"/>
    <x v="3"/>
  </r>
  <r>
    <x v="192"/>
    <x v="5"/>
    <x v="2"/>
    <x v="3"/>
    <x v="44"/>
    <x v="155"/>
    <x v="6"/>
    <x v="1"/>
    <x v="0"/>
    <x v="0"/>
    <x v="0"/>
    <x v="1"/>
    <x v="0"/>
    <x v="1"/>
    <x v="0"/>
    <x v="0"/>
    <x v="0"/>
  </r>
  <r>
    <x v="193"/>
    <x v="5"/>
    <x v="2"/>
    <x v="3"/>
    <x v="44"/>
    <x v="156"/>
    <x v="6"/>
    <x v="9"/>
    <x v="4"/>
    <x v="0"/>
    <x v="0"/>
    <x v="9"/>
    <x v="4"/>
    <x v="1"/>
    <x v="0"/>
    <x v="0"/>
    <x v="0"/>
  </r>
  <r>
    <x v="194"/>
    <x v="5"/>
    <x v="2"/>
    <x v="3"/>
    <x v="44"/>
    <x v="157"/>
    <x v="6"/>
    <x v="3"/>
    <x v="2"/>
    <x v="0"/>
    <x v="0"/>
    <x v="6"/>
    <x v="2"/>
    <x v="1"/>
    <x v="0"/>
    <x v="0"/>
    <x v="0"/>
  </r>
  <r>
    <x v="195"/>
    <x v="5"/>
    <x v="2"/>
    <x v="3"/>
    <x v="44"/>
    <x v="158"/>
    <x v="2"/>
    <x v="1"/>
    <x v="0"/>
    <x v="0"/>
    <x v="0"/>
    <x v="1"/>
    <x v="0"/>
    <x v="1"/>
    <x v="0"/>
    <x v="0"/>
    <x v="0"/>
  </r>
  <r>
    <x v="196"/>
    <x v="5"/>
    <x v="2"/>
    <x v="3"/>
    <x v="44"/>
    <x v="159"/>
    <x v="5"/>
    <x v="8"/>
    <x v="0"/>
    <x v="1"/>
    <x v="1"/>
    <x v="1"/>
    <x v="0"/>
    <x v="1"/>
    <x v="2"/>
    <x v="4"/>
    <x v="0"/>
  </r>
  <r>
    <x v="197"/>
    <x v="5"/>
    <x v="2"/>
    <x v="3"/>
    <x v="44"/>
    <x v="160"/>
    <x v="5"/>
    <x v="8"/>
    <x v="0"/>
    <x v="1"/>
    <x v="1"/>
    <x v="1"/>
    <x v="0"/>
    <x v="1"/>
    <x v="2"/>
    <x v="4"/>
    <x v="0"/>
  </r>
  <r>
    <x v="198"/>
    <x v="5"/>
    <x v="2"/>
    <x v="3"/>
    <x v="44"/>
    <x v="161"/>
    <x v="1"/>
    <x v="6"/>
    <x v="0"/>
    <x v="1"/>
    <x v="1"/>
    <x v="1"/>
    <x v="0"/>
    <x v="1"/>
    <x v="2"/>
    <x v="3"/>
    <x v="0"/>
  </r>
  <r>
    <x v="199"/>
    <x v="5"/>
    <x v="2"/>
    <x v="3"/>
    <x v="44"/>
    <x v="162"/>
    <x v="4"/>
    <x v="1"/>
    <x v="0"/>
    <x v="1"/>
    <x v="1"/>
    <x v="1"/>
    <x v="0"/>
    <x v="1"/>
    <x v="2"/>
    <x v="3"/>
    <x v="0"/>
  </r>
  <r>
    <x v="200"/>
    <x v="5"/>
    <x v="2"/>
    <x v="3"/>
    <x v="44"/>
    <x v="163"/>
    <x v="4"/>
    <x v="1"/>
    <x v="0"/>
    <x v="1"/>
    <x v="1"/>
    <x v="1"/>
    <x v="0"/>
    <x v="1"/>
    <x v="2"/>
    <x v="3"/>
    <x v="0"/>
  </r>
  <r>
    <x v="201"/>
    <x v="6"/>
    <x v="2"/>
    <x v="3"/>
    <x v="47"/>
    <x v="164"/>
    <x v="5"/>
    <x v="1"/>
    <x v="0"/>
    <x v="0"/>
    <x v="0"/>
    <x v="1"/>
    <x v="0"/>
    <x v="1"/>
    <x v="0"/>
    <x v="0"/>
    <x v="1"/>
  </r>
  <r>
    <x v="202"/>
    <x v="6"/>
    <x v="2"/>
    <x v="3"/>
    <x v="47"/>
    <x v="165"/>
    <x v="5"/>
    <x v="1"/>
    <x v="0"/>
    <x v="0"/>
    <x v="0"/>
    <x v="1"/>
    <x v="0"/>
    <x v="1"/>
    <x v="0"/>
    <x v="0"/>
    <x v="1"/>
  </r>
  <r>
    <x v="203"/>
    <x v="6"/>
    <x v="2"/>
    <x v="3"/>
    <x v="47"/>
    <x v="166"/>
    <x v="5"/>
    <x v="1"/>
    <x v="0"/>
    <x v="0"/>
    <x v="0"/>
    <x v="1"/>
    <x v="0"/>
    <x v="1"/>
    <x v="0"/>
    <x v="0"/>
    <x v="1"/>
  </r>
  <r>
    <x v="204"/>
    <x v="6"/>
    <x v="2"/>
    <x v="3"/>
    <x v="47"/>
    <x v="167"/>
    <x v="5"/>
    <x v="1"/>
    <x v="0"/>
    <x v="0"/>
    <x v="0"/>
    <x v="1"/>
    <x v="0"/>
    <x v="1"/>
    <x v="0"/>
    <x v="0"/>
    <x v="1"/>
  </r>
  <r>
    <x v="205"/>
    <x v="6"/>
    <x v="2"/>
    <x v="3"/>
    <x v="47"/>
    <x v="168"/>
    <x v="5"/>
    <x v="1"/>
    <x v="0"/>
    <x v="0"/>
    <x v="0"/>
    <x v="1"/>
    <x v="0"/>
    <x v="1"/>
    <x v="0"/>
    <x v="0"/>
    <x v="1"/>
  </r>
  <r>
    <x v="206"/>
    <x v="6"/>
    <x v="2"/>
    <x v="3"/>
    <x v="47"/>
    <x v="169"/>
    <x v="5"/>
    <x v="7"/>
    <x v="0"/>
    <x v="1"/>
    <x v="1"/>
    <x v="1"/>
    <x v="0"/>
    <x v="1"/>
    <x v="2"/>
    <x v="4"/>
    <x v="1"/>
  </r>
  <r>
    <x v="207"/>
    <x v="6"/>
    <x v="2"/>
    <x v="3"/>
    <x v="47"/>
    <x v="170"/>
    <x v="5"/>
    <x v="1"/>
    <x v="0"/>
    <x v="0"/>
    <x v="0"/>
    <x v="1"/>
    <x v="0"/>
    <x v="1"/>
    <x v="0"/>
    <x v="0"/>
    <x v="1"/>
  </r>
  <r>
    <x v="208"/>
    <x v="5"/>
    <x v="2"/>
    <x v="3"/>
    <x v="44"/>
    <x v="171"/>
    <x v="6"/>
    <x v="8"/>
    <x v="0"/>
    <x v="1"/>
    <x v="1"/>
    <x v="1"/>
    <x v="0"/>
    <x v="1"/>
    <x v="2"/>
    <x v="4"/>
    <x v="3"/>
  </r>
  <r>
    <x v="209"/>
    <x v="5"/>
    <x v="2"/>
    <x v="4"/>
    <x v="44"/>
    <x v="172"/>
    <x v="1"/>
    <x v="0"/>
    <x v="0"/>
    <x v="1"/>
    <x v="1"/>
    <x v="1"/>
    <x v="0"/>
    <x v="1"/>
    <x v="1"/>
    <x v="1"/>
    <x v="0"/>
  </r>
  <r>
    <x v="210"/>
    <x v="5"/>
    <x v="2"/>
    <x v="4"/>
    <x v="44"/>
    <x v="173"/>
    <x v="7"/>
    <x v="0"/>
    <x v="0"/>
    <x v="1"/>
    <x v="1"/>
    <x v="1"/>
    <x v="0"/>
    <x v="1"/>
    <x v="1"/>
    <x v="1"/>
    <x v="0"/>
  </r>
  <r>
    <x v="211"/>
    <x v="5"/>
    <x v="2"/>
    <x v="4"/>
    <x v="44"/>
    <x v="174"/>
    <x v="7"/>
    <x v="0"/>
    <x v="0"/>
    <x v="1"/>
    <x v="1"/>
    <x v="1"/>
    <x v="0"/>
    <x v="1"/>
    <x v="1"/>
    <x v="1"/>
    <x v="0"/>
  </r>
  <r>
    <x v="212"/>
    <x v="5"/>
    <x v="2"/>
    <x v="4"/>
    <x v="44"/>
    <x v="175"/>
    <x v="1"/>
    <x v="1"/>
    <x v="0"/>
    <x v="0"/>
    <x v="0"/>
    <x v="2"/>
    <x v="0"/>
    <x v="1"/>
    <x v="0"/>
    <x v="0"/>
    <x v="0"/>
  </r>
  <r>
    <x v="213"/>
    <x v="5"/>
    <x v="2"/>
    <x v="4"/>
    <x v="44"/>
    <x v="176"/>
    <x v="1"/>
    <x v="0"/>
    <x v="0"/>
    <x v="1"/>
    <x v="1"/>
    <x v="1"/>
    <x v="0"/>
    <x v="1"/>
    <x v="1"/>
    <x v="1"/>
    <x v="0"/>
  </r>
  <r>
    <x v="214"/>
    <x v="5"/>
    <x v="2"/>
    <x v="4"/>
    <x v="44"/>
    <x v="177"/>
    <x v="0"/>
    <x v="3"/>
    <x v="2"/>
    <x v="0"/>
    <x v="0"/>
    <x v="6"/>
    <x v="2"/>
    <x v="1"/>
    <x v="0"/>
    <x v="0"/>
    <x v="0"/>
  </r>
  <r>
    <x v="215"/>
    <x v="5"/>
    <x v="2"/>
    <x v="4"/>
    <x v="44"/>
    <x v="178"/>
    <x v="0"/>
    <x v="1"/>
    <x v="0"/>
    <x v="0"/>
    <x v="0"/>
    <x v="1"/>
    <x v="0"/>
    <x v="1"/>
    <x v="0"/>
    <x v="0"/>
    <x v="0"/>
  </r>
  <r>
    <x v="216"/>
    <x v="5"/>
    <x v="2"/>
    <x v="4"/>
    <x v="44"/>
    <x v="179"/>
    <x v="7"/>
    <x v="1"/>
    <x v="0"/>
    <x v="0"/>
    <x v="0"/>
    <x v="1"/>
    <x v="0"/>
    <x v="1"/>
    <x v="0"/>
    <x v="0"/>
    <x v="0"/>
  </r>
  <r>
    <x v="217"/>
    <x v="5"/>
    <x v="2"/>
    <x v="4"/>
    <x v="44"/>
    <x v="180"/>
    <x v="0"/>
    <x v="1"/>
    <x v="0"/>
    <x v="0"/>
    <x v="0"/>
    <x v="1"/>
    <x v="0"/>
    <x v="1"/>
    <x v="0"/>
    <x v="0"/>
    <x v="0"/>
  </r>
  <r>
    <x v="218"/>
    <x v="5"/>
    <x v="2"/>
    <x v="4"/>
    <x v="44"/>
    <x v="181"/>
    <x v="6"/>
    <x v="1"/>
    <x v="0"/>
    <x v="0"/>
    <x v="0"/>
    <x v="1"/>
    <x v="0"/>
    <x v="1"/>
    <x v="0"/>
    <x v="0"/>
    <x v="3"/>
  </r>
  <r>
    <x v="219"/>
    <x v="5"/>
    <x v="2"/>
    <x v="4"/>
    <x v="44"/>
    <x v="182"/>
    <x v="1"/>
    <x v="1"/>
    <x v="0"/>
    <x v="0"/>
    <x v="0"/>
    <x v="1"/>
    <x v="0"/>
    <x v="1"/>
    <x v="0"/>
    <x v="0"/>
    <x v="0"/>
  </r>
  <r>
    <x v="220"/>
    <x v="5"/>
    <x v="2"/>
    <x v="4"/>
    <x v="44"/>
    <x v="183"/>
    <x v="7"/>
    <x v="1"/>
    <x v="0"/>
    <x v="0"/>
    <x v="0"/>
    <x v="1"/>
    <x v="0"/>
    <x v="1"/>
    <x v="0"/>
    <x v="0"/>
    <x v="0"/>
  </r>
  <r>
    <x v="221"/>
    <x v="5"/>
    <x v="2"/>
    <x v="4"/>
    <x v="44"/>
    <x v="184"/>
    <x v="1"/>
    <x v="1"/>
    <x v="0"/>
    <x v="0"/>
    <x v="0"/>
    <x v="1"/>
    <x v="0"/>
    <x v="1"/>
    <x v="0"/>
    <x v="0"/>
    <x v="0"/>
  </r>
  <r>
    <x v="222"/>
    <x v="5"/>
    <x v="2"/>
    <x v="4"/>
    <x v="44"/>
    <x v="185"/>
    <x v="0"/>
    <x v="1"/>
    <x v="0"/>
    <x v="0"/>
    <x v="0"/>
    <x v="1"/>
    <x v="0"/>
    <x v="1"/>
    <x v="0"/>
    <x v="0"/>
    <x v="0"/>
  </r>
  <r>
    <x v="223"/>
    <x v="5"/>
    <x v="2"/>
    <x v="4"/>
    <x v="44"/>
    <x v="186"/>
    <x v="1"/>
    <x v="1"/>
    <x v="0"/>
    <x v="0"/>
    <x v="0"/>
    <x v="1"/>
    <x v="0"/>
    <x v="1"/>
    <x v="0"/>
    <x v="0"/>
    <x v="0"/>
  </r>
  <r>
    <x v="224"/>
    <x v="5"/>
    <x v="2"/>
    <x v="4"/>
    <x v="44"/>
    <x v="187"/>
    <x v="8"/>
    <x v="1"/>
    <x v="0"/>
    <x v="0"/>
    <x v="0"/>
    <x v="1"/>
    <x v="0"/>
    <x v="1"/>
    <x v="0"/>
    <x v="0"/>
    <x v="0"/>
  </r>
  <r>
    <x v="225"/>
    <x v="5"/>
    <x v="2"/>
    <x v="4"/>
    <x v="44"/>
    <x v="188"/>
    <x v="0"/>
    <x v="1"/>
    <x v="0"/>
    <x v="0"/>
    <x v="0"/>
    <x v="1"/>
    <x v="0"/>
    <x v="1"/>
    <x v="0"/>
    <x v="0"/>
    <x v="0"/>
  </r>
  <r>
    <x v="226"/>
    <x v="5"/>
    <x v="2"/>
    <x v="4"/>
    <x v="44"/>
    <x v="189"/>
    <x v="2"/>
    <x v="1"/>
    <x v="0"/>
    <x v="0"/>
    <x v="0"/>
    <x v="1"/>
    <x v="0"/>
    <x v="1"/>
    <x v="0"/>
    <x v="0"/>
    <x v="0"/>
  </r>
  <r>
    <x v="227"/>
    <x v="5"/>
    <x v="2"/>
    <x v="4"/>
    <x v="44"/>
    <x v="190"/>
    <x v="2"/>
    <x v="1"/>
    <x v="0"/>
    <x v="0"/>
    <x v="0"/>
    <x v="1"/>
    <x v="0"/>
    <x v="1"/>
    <x v="0"/>
    <x v="0"/>
    <x v="0"/>
  </r>
  <r>
    <x v="228"/>
    <x v="5"/>
    <x v="2"/>
    <x v="4"/>
    <x v="44"/>
    <x v="191"/>
    <x v="2"/>
    <x v="10"/>
    <x v="5"/>
    <x v="0"/>
    <x v="0"/>
    <x v="10"/>
    <x v="5"/>
    <x v="1"/>
    <x v="0"/>
    <x v="0"/>
    <x v="0"/>
  </r>
  <r>
    <x v="229"/>
    <x v="5"/>
    <x v="2"/>
    <x v="4"/>
    <x v="44"/>
    <x v="192"/>
    <x v="0"/>
    <x v="4"/>
    <x v="0"/>
    <x v="1"/>
    <x v="1"/>
    <x v="1"/>
    <x v="0"/>
    <x v="1"/>
    <x v="2"/>
    <x v="3"/>
    <x v="0"/>
  </r>
  <r>
    <x v="230"/>
    <x v="5"/>
    <x v="2"/>
    <x v="4"/>
    <x v="44"/>
    <x v="193"/>
    <x v="4"/>
    <x v="1"/>
    <x v="0"/>
    <x v="0"/>
    <x v="0"/>
    <x v="1"/>
    <x v="0"/>
    <x v="1"/>
    <x v="0"/>
    <x v="0"/>
    <x v="0"/>
  </r>
  <r>
    <x v="231"/>
    <x v="5"/>
    <x v="2"/>
    <x v="4"/>
    <x v="44"/>
    <x v="194"/>
    <x v="1"/>
    <x v="1"/>
    <x v="0"/>
    <x v="1"/>
    <x v="1"/>
    <x v="1"/>
    <x v="0"/>
    <x v="1"/>
    <x v="2"/>
    <x v="3"/>
    <x v="0"/>
  </r>
  <r>
    <x v="232"/>
    <x v="5"/>
    <x v="2"/>
    <x v="4"/>
    <x v="44"/>
    <x v="195"/>
    <x v="4"/>
    <x v="1"/>
    <x v="0"/>
    <x v="1"/>
    <x v="1"/>
    <x v="1"/>
    <x v="0"/>
    <x v="1"/>
    <x v="2"/>
    <x v="3"/>
    <x v="0"/>
  </r>
  <r>
    <x v="233"/>
    <x v="5"/>
    <x v="2"/>
    <x v="4"/>
    <x v="44"/>
    <x v="196"/>
    <x v="1"/>
    <x v="1"/>
    <x v="0"/>
    <x v="1"/>
    <x v="1"/>
    <x v="1"/>
    <x v="0"/>
    <x v="1"/>
    <x v="2"/>
    <x v="3"/>
    <x v="0"/>
  </r>
  <r>
    <x v="234"/>
    <x v="5"/>
    <x v="2"/>
    <x v="4"/>
    <x v="44"/>
    <x v="197"/>
    <x v="1"/>
    <x v="1"/>
    <x v="0"/>
    <x v="1"/>
    <x v="1"/>
    <x v="1"/>
    <x v="0"/>
    <x v="1"/>
    <x v="2"/>
    <x v="3"/>
    <x v="0"/>
  </r>
  <r>
    <x v="235"/>
    <x v="5"/>
    <x v="2"/>
    <x v="4"/>
    <x v="44"/>
    <x v="198"/>
    <x v="7"/>
    <x v="11"/>
    <x v="0"/>
    <x v="1"/>
    <x v="1"/>
    <x v="1"/>
    <x v="0"/>
    <x v="1"/>
    <x v="2"/>
    <x v="3"/>
    <x v="0"/>
  </r>
  <r>
    <x v="236"/>
    <x v="5"/>
    <x v="2"/>
    <x v="4"/>
    <x v="44"/>
    <x v="199"/>
    <x v="0"/>
    <x v="1"/>
    <x v="0"/>
    <x v="1"/>
    <x v="1"/>
    <x v="1"/>
    <x v="0"/>
    <x v="1"/>
    <x v="2"/>
    <x v="3"/>
    <x v="0"/>
  </r>
  <r>
    <x v="237"/>
    <x v="5"/>
    <x v="2"/>
    <x v="4"/>
    <x v="44"/>
    <x v="200"/>
    <x v="4"/>
    <x v="1"/>
    <x v="0"/>
    <x v="1"/>
    <x v="1"/>
    <x v="1"/>
    <x v="0"/>
    <x v="1"/>
    <x v="2"/>
    <x v="3"/>
    <x v="0"/>
  </r>
  <r>
    <x v="238"/>
    <x v="5"/>
    <x v="2"/>
    <x v="4"/>
    <x v="44"/>
    <x v="201"/>
    <x v="4"/>
    <x v="1"/>
    <x v="0"/>
    <x v="1"/>
    <x v="1"/>
    <x v="1"/>
    <x v="0"/>
    <x v="1"/>
    <x v="2"/>
    <x v="3"/>
    <x v="0"/>
  </r>
  <r>
    <x v="239"/>
    <x v="5"/>
    <x v="2"/>
    <x v="4"/>
    <x v="44"/>
    <x v="202"/>
    <x v="4"/>
    <x v="1"/>
    <x v="0"/>
    <x v="0"/>
    <x v="0"/>
    <x v="11"/>
    <x v="0"/>
    <x v="1"/>
    <x v="0"/>
    <x v="0"/>
    <x v="0"/>
  </r>
  <r>
    <x v="240"/>
    <x v="5"/>
    <x v="2"/>
    <x v="4"/>
    <x v="44"/>
    <x v="203"/>
    <x v="4"/>
    <x v="1"/>
    <x v="0"/>
    <x v="0"/>
    <x v="0"/>
    <x v="11"/>
    <x v="0"/>
    <x v="1"/>
    <x v="0"/>
    <x v="0"/>
    <x v="0"/>
  </r>
  <r>
    <x v="241"/>
    <x v="5"/>
    <x v="2"/>
    <x v="4"/>
    <x v="44"/>
    <x v="204"/>
    <x v="4"/>
    <x v="1"/>
    <x v="0"/>
    <x v="0"/>
    <x v="0"/>
    <x v="11"/>
    <x v="0"/>
    <x v="1"/>
    <x v="0"/>
    <x v="0"/>
    <x v="0"/>
  </r>
  <r>
    <x v="242"/>
    <x v="5"/>
    <x v="2"/>
    <x v="4"/>
    <x v="44"/>
    <x v="205"/>
    <x v="4"/>
    <x v="1"/>
    <x v="0"/>
    <x v="0"/>
    <x v="0"/>
    <x v="11"/>
    <x v="0"/>
    <x v="1"/>
    <x v="0"/>
    <x v="0"/>
    <x v="0"/>
  </r>
  <r>
    <x v="243"/>
    <x v="5"/>
    <x v="2"/>
    <x v="4"/>
    <x v="44"/>
    <x v="206"/>
    <x v="0"/>
    <x v="7"/>
    <x v="0"/>
    <x v="1"/>
    <x v="1"/>
    <x v="1"/>
    <x v="0"/>
    <x v="1"/>
    <x v="2"/>
    <x v="4"/>
    <x v="0"/>
  </r>
  <r>
    <x v="244"/>
    <x v="6"/>
    <x v="2"/>
    <x v="4"/>
    <x v="47"/>
    <x v="207"/>
    <x v="5"/>
    <x v="7"/>
    <x v="0"/>
    <x v="1"/>
    <x v="1"/>
    <x v="1"/>
    <x v="0"/>
    <x v="1"/>
    <x v="2"/>
    <x v="4"/>
    <x v="1"/>
  </r>
  <r>
    <x v="245"/>
    <x v="6"/>
    <x v="2"/>
    <x v="4"/>
    <x v="47"/>
    <x v="208"/>
    <x v="5"/>
    <x v="7"/>
    <x v="0"/>
    <x v="1"/>
    <x v="1"/>
    <x v="1"/>
    <x v="0"/>
    <x v="1"/>
    <x v="2"/>
    <x v="4"/>
    <x v="1"/>
  </r>
  <r>
    <x v="246"/>
    <x v="6"/>
    <x v="2"/>
    <x v="4"/>
    <x v="47"/>
    <x v="209"/>
    <x v="5"/>
    <x v="7"/>
    <x v="0"/>
    <x v="1"/>
    <x v="1"/>
    <x v="1"/>
    <x v="0"/>
    <x v="1"/>
    <x v="2"/>
    <x v="4"/>
    <x v="1"/>
  </r>
  <r>
    <x v="247"/>
    <x v="6"/>
    <x v="2"/>
    <x v="4"/>
    <x v="47"/>
    <x v="210"/>
    <x v="5"/>
    <x v="7"/>
    <x v="0"/>
    <x v="1"/>
    <x v="1"/>
    <x v="1"/>
    <x v="0"/>
    <x v="1"/>
    <x v="2"/>
    <x v="4"/>
    <x v="1"/>
  </r>
  <r>
    <x v="248"/>
    <x v="6"/>
    <x v="2"/>
    <x v="4"/>
    <x v="47"/>
    <x v="211"/>
    <x v="5"/>
    <x v="7"/>
    <x v="0"/>
    <x v="1"/>
    <x v="1"/>
    <x v="1"/>
    <x v="0"/>
    <x v="1"/>
    <x v="2"/>
    <x v="4"/>
    <x v="1"/>
  </r>
  <r>
    <x v="249"/>
    <x v="6"/>
    <x v="2"/>
    <x v="4"/>
    <x v="47"/>
    <x v="212"/>
    <x v="5"/>
    <x v="7"/>
    <x v="0"/>
    <x v="1"/>
    <x v="1"/>
    <x v="1"/>
    <x v="0"/>
    <x v="1"/>
    <x v="2"/>
    <x v="4"/>
    <x v="1"/>
  </r>
  <r>
    <x v="250"/>
    <x v="6"/>
    <x v="2"/>
    <x v="4"/>
    <x v="47"/>
    <x v="213"/>
    <x v="5"/>
    <x v="7"/>
    <x v="0"/>
    <x v="1"/>
    <x v="1"/>
    <x v="1"/>
    <x v="0"/>
    <x v="1"/>
    <x v="2"/>
    <x v="4"/>
    <x v="1"/>
  </r>
  <r>
    <x v="251"/>
    <x v="6"/>
    <x v="2"/>
    <x v="4"/>
    <x v="47"/>
    <x v="214"/>
    <x v="5"/>
    <x v="7"/>
    <x v="0"/>
    <x v="1"/>
    <x v="1"/>
    <x v="1"/>
    <x v="0"/>
    <x v="1"/>
    <x v="2"/>
    <x v="4"/>
    <x v="1"/>
  </r>
  <r>
    <x v="252"/>
    <x v="6"/>
    <x v="2"/>
    <x v="4"/>
    <x v="47"/>
    <x v="215"/>
    <x v="5"/>
    <x v="7"/>
    <x v="0"/>
    <x v="1"/>
    <x v="1"/>
    <x v="1"/>
    <x v="0"/>
    <x v="1"/>
    <x v="2"/>
    <x v="4"/>
    <x v="1"/>
  </r>
  <r>
    <x v="253"/>
    <x v="6"/>
    <x v="2"/>
    <x v="4"/>
    <x v="47"/>
    <x v="216"/>
    <x v="5"/>
    <x v="7"/>
    <x v="0"/>
    <x v="1"/>
    <x v="1"/>
    <x v="1"/>
    <x v="0"/>
    <x v="1"/>
    <x v="2"/>
    <x v="4"/>
    <x v="1"/>
  </r>
  <r>
    <x v="254"/>
    <x v="6"/>
    <x v="2"/>
    <x v="4"/>
    <x v="47"/>
    <x v="217"/>
    <x v="5"/>
    <x v="7"/>
    <x v="0"/>
    <x v="1"/>
    <x v="1"/>
    <x v="1"/>
    <x v="0"/>
    <x v="1"/>
    <x v="2"/>
    <x v="4"/>
    <x v="1"/>
  </r>
  <r>
    <x v="255"/>
    <x v="6"/>
    <x v="2"/>
    <x v="4"/>
    <x v="47"/>
    <x v="218"/>
    <x v="5"/>
    <x v="7"/>
    <x v="0"/>
    <x v="1"/>
    <x v="1"/>
    <x v="1"/>
    <x v="0"/>
    <x v="1"/>
    <x v="2"/>
    <x v="4"/>
    <x v="1"/>
  </r>
  <r>
    <x v="256"/>
    <x v="6"/>
    <x v="2"/>
    <x v="4"/>
    <x v="47"/>
    <x v="219"/>
    <x v="5"/>
    <x v="7"/>
    <x v="0"/>
    <x v="1"/>
    <x v="1"/>
    <x v="1"/>
    <x v="0"/>
    <x v="1"/>
    <x v="2"/>
    <x v="4"/>
    <x v="1"/>
  </r>
  <r>
    <x v="257"/>
    <x v="6"/>
    <x v="2"/>
    <x v="4"/>
    <x v="47"/>
    <x v="220"/>
    <x v="5"/>
    <x v="7"/>
    <x v="0"/>
    <x v="1"/>
    <x v="1"/>
    <x v="1"/>
    <x v="0"/>
    <x v="1"/>
    <x v="2"/>
    <x v="4"/>
    <x v="1"/>
  </r>
  <r>
    <x v="258"/>
    <x v="6"/>
    <x v="2"/>
    <x v="4"/>
    <x v="47"/>
    <x v="221"/>
    <x v="5"/>
    <x v="7"/>
    <x v="0"/>
    <x v="1"/>
    <x v="1"/>
    <x v="1"/>
    <x v="0"/>
    <x v="1"/>
    <x v="2"/>
    <x v="4"/>
    <x v="1"/>
  </r>
  <r>
    <x v="259"/>
    <x v="6"/>
    <x v="2"/>
    <x v="4"/>
    <x v="47"/>
    <x v="222"/>
    <x v="5"/>
    <x v="0"/>
    <x v="0"/>
    <x v="0"/>
    <x v="0"/>
    <x v="11"/>
    <x v="0"/>
    <x v="1"/>
    <x v="0"/>
    <x v="0"/>
    <x v="1"/>
  </r>
  <r>
    <x v="260"/>
    <x v="6"/>
    <x v="2"/>
    <x v="4"/>
    <x v="47"/>
    <x v="223"/>
    <x v="5"/>
    <x v="1"/>
    <x v="0"/>
    <x v="0"/>
    <x v="0"/>
    <x v="1"/>
    <x v="0"/>
    <x v="1"/>
    <x v="0"/>
    <x v="0"/>
    <x v="1"/>
  </r>
  <r>
    <x v="261"/>
    <x v="6"/>
    <x v="2"/>
    <x v="4"/>
    <x v="47"/>
    <x v="224"/>
    <x v="5"/>
    <x v="1"/>
    <x v="0"/>
    <x v="0"/>
    <x v="0"/>
    <x v="1"/>
    <x v="0"/>
    <x v="1"/>
    <x v="0"/>
    <x v="0"/>
    <x v="1"/>
  </r>
  <r>
    <x v="262"/>
    <x v="6"/>
    <x v="2"/>
    <x v="4"/>
    <x v="47"/>
    <x v="225"/>
    <x v="5"/>
    <x v="7"/>
    <x v="0"/>
    <x v="1"/>
    <x v="1"/>
    <x v="1"/>
    <x v="0"/>
    <x v="1"/>
    <x v="2"/>
    <x v="4"/>
    <x v="1"/>
  </r>
  <r>
    <x v="263"/>
    <x v="6"/>
    <x v="2"/>
    <x v="4"/>
    <x v="47"/>
    <x v="226"/>
    <x v="5"/>
    <x v="7"/>
    <x v="0"/>
    <x v="1"/>
    <x v="1"/>
    <x v="1"/>
    <x v="0"/>
    <x v="1"/>
    <x v="2"/>
    <x v="4"/>
    <x v="1"/>
  </r>
  <r>
    <x v="264"/>
    <x v="6"/>
    <x v="2"/>
    <x v="4"/>
    <x v="47"/>
    <x v="227"/>
    <x v="5"/>
    <x v="7"/>
    <x v="0"/>
    <x v="1"/>
    <x v="1"/>
    <x v="1"/>
    <x v="0"/>
    <x v="1"/>
    <x v="2"/>
    <x v="4"/>
    <x v="1"/>
  </r>
  <r>
    <x v="265"/>
    <x v="6"/>
    <x v="2"/>
    <x v="4"/>
    <x v="47"/>
    <x v="228"/>
    <x v="5"/>
    <x v="7"/>
    <x v="0"/>
    <x v="1"/>
    <x v="1"/>
    <x v="1"/>
    <x v="0"/>
    <x v="1"/>
    <x v="2"/>
    <x v="4"/>
    <x v="1"/>
  </r>
  <r>
    <x v="266"/>
    <x v="6"/>
    <x v="2"/>
    <x v="4"/>
    <x v="47"/>
    <x v="229"/>
    <x v="5"/>
    <x v="7"/>
    <x v="0"/>
    <x v="1"/>
    <x v="1"/>
    <x v="1"/>
    <x v="0"/>
    <x v="1"/>
    <x v="2"/>
    <x v="4"/>
    <x v="1"/>
  </r>
  <r>
    <x v="267"/>
    <x v="6"/>
    <x v="2"/>
    <x v="4"/>
    <x v="47"/>
    <x v="230"/>
    <x v="5"/>
    <x v="7"/>
    <x v="0"/>
    <x v="1"/>
    <x v="1"/>
    <x v="1"/>
    <x v="0"/>
    <x v="1"/>
    <x v="2"/>
    <x v="4"/>
    <x v="1"/>
  </r>
  <r>
    <x v="268"/>
    <x v="6"/>
    <x v="2"/>
    <x v="4"/>
    <x v="47"/>
    <x v="231"/>
    <x v="5"/>
    <x v="7"/>
    <x v="0"/>
    <x v="1"/>
    <x v="1"/>
    <x v="1"/>
    <x v="0"/>
    <x v="1"/>
    <x v="2"/>
    <x v="4"/>
    <x v="1"/>
  </r>
  <r>
    <x v="269"/>
    <x v="6"/>
    <x v="2"/>
    <x v="4"/>
    <x v="47"/>
    <x v="232"/>
    <x v="5"/>
    <x v="7"/>
    <x v="0"/>
    <x v="1"/>
    <x v="1"/>
    <x v="1"/>
    <x v="0"/>
    <x v="1"/>
    <x v="2"/>
    <x v="4"/>
    <x v="1"/>
  </r>
  <r>
    <x v="270"/>
    <x v="6"/>
    <x v="2"/>
    <x v="4"/>
    <x v="47"/>
    <x v="233"/>
    <x v="5"/>
    <x v="7"/>
    <x v="0"/>
    <x v="1"/>
    <x v="1"/>
    <x v="1"/>
    <x v="0"/>
    <x v="1"/>
    <x v="2"/>
    <x v="4"/>
    <x v="1"/>
  </r>
  <r>
    <x v="271"/>
    <x v="6"/>
    <x v="2"/>
    <x v="4"/>
    <x v="47"/>
    <x v="234"/>
    <x v="5"/>
    <x v="7"/>
    <x v="0"/>
    <x v="1"/>
    <x v="1"/>
    <x v="1"/>
    <x v="0"/>
    <x v="1"/>
    <x v="2"/>
    <x v="4"/>
    <x v="1"/>
  </r>
  <r>
    <x v="272"/>
    <x v="6"/>
    <x v="2"/>
    <x v="4"/>
    <x v="47"/>
    <x v="235"/>
    <x v="5"/>
    <x v="7"/>
    <x v="0"/>
    <x v="1"/>
    <x v="1"/>
    <x v="1"/>
    <x v="0"/>
    <x v="1"/>
    <x v="2"/>
    <x v="4"/>
    <x v="1"/>
  </r>
  <r>
    <x v="273"/>
    <x v="6"/>
    <x v="2"/>
    <x v="4"/>
    <x v="47"/>
    <x v="236"/>
    <x v="5"/>
    <x v="7"/>
    <x v="0"/>
    <x v="1"/>
    <x v="1"/>
    <x v="1"/>
    <x v="0"/>
    <x v="1"/>
    <x v="2"/>
    <x v="4"/>
    <x v="1"/>
  </r>
  <r>
    <x v="274"/>
    <x v="6"/>
    <x v="2"/>
    <x v="4"/>
    <x v="47"/>
    <x v="237"/>
    <x v="5"/>
    <x v="7"/>
    <x v="0"/>
    <x v="1"/>
    <x v="1"/>
    <x v="1"/>
    <x v="0"/>
    <x v="1"/>
    <x v="2"/>
    <x v="4"/>
    <x v="1"/>
  </r>
  <r>
    <x v="275"/>
    <x v="6"/>
    <x v="2"/>
    <x v="4"/>
    <x v="47"/>
    <x v="238"/>
    <x v="5"/>
    <x v="7"/>
    <x v="0"/>
    <x v="1"/>
    <x v="1"/>
    <x v="1"/>
    <x v="0"/>
    <x v="1"/>
    <x v="2"/>
    <x v="4"/>
    <x v="1"/>
  </r>
  <r>
    <x v="276"/>
    <x v="6"/>
    <x v="2"/>
    <x v="4"/>
    <x v="47"/>
    <x v="239"/>
    <x v="5"/>
    <x v="7"/>
    <x v="0"/>
    <x v="1"/>
    <x v="1"/>
    <x v="1"/>
    <x v="0"/>
    <x v="1"/>
    <x v="2"/>
    <x v="4"/>
    <x v="1"/>
  </r>
  <r>
    <x v="277"/>
    <x v="6"/>
    <x v="2"/>
    <x v="4"/>
    <x v="47"/>
    <x v="240"/>
    <x v="5"/>
    <x v="7"/>
    <x v="0"/>
    <x v="1"/>
    <x v="1"/>
    <x v="1"/>
    <x v="0"/>
    <x v="1"/>
    <x v="2"/>
    <x v="4"/>
    <x v="1"/>
  </r>
  <r>
    <x v="278"/>
    <x v="6"/>
    <x v="2"/>
    <x v="4"/>
    <x v="47"/>
    <x v="241"/>
    <x v="5"/>
    <x v="1"/>
    <x v="0"/>
    <x v="0"/>
    <x v="0"/>
    <x v="1"/>
    <x v="0"/>
    <x v="1"/>
    <x v="0"/>
    <x v="0"/>
    <x v="1"/>
  </r>
  <r>
    <x v="279"/>
    <x v="6"/>
    <x v="2"/>
    <x v="4"/>
    <x v="47"/>
    <x v="242"/>
    <x v="5"/>
    <x v="7"/>
    <x v="0"/>
    <x v="1"/>
    <x v="1"/>
    <x v="1"/>
    <x v="0"/>
    <x v="1"/>
    <x v="2"/>
    <x v="4"/>
    <x v="1"/>
  </r>
  <r>
    <x v="280"/>
    <x v="6"/>
    <x v="2"/>
    <x v="4"/>
    <x v="47"/>
    <x v="243"/>
    <x v="5"/>
    <x v="7"/>
    <x v="0"/>
    <x v="1"/>
    <x v="1"/>
    <x v="1"/>
    <x v="0"/>
    <x v="1"/>
    <x v="2"/>
    <x v="4"/>
    <x v="1"/>
  </r>
  <r>
    <x v="281"/>
    <x v="6"/>
    <x v="2"/>
    <x v="4"/>
    <x v="47"/>
    <x v="244"/>
    <x v="5"/>
    <x v="7"/>
    <x v="0"/>
    <x v="1"/>
    <x v="1"/>
    <x v="1"/>
    <x v="0"/>
    <x v="1"/>
    <x v="2"/>
    <x v="4"/>
    <x v="1"/>
  </r>
  <r>
    <x v="282"/>
    <x v="6"/>
    <x v="2"/>
    <x v="4"/>
    <x v="47"/>
    <x v="245"/>
    <x v="5"/>
    <x v="7"/>
    <x v="0"/>
    <x v="1"/>
    <x v="1"/>
    <x v="1"/>
    <x v="0"/>
    <x v="1"/>
    <x v="2"/>
    <x v="4"/>
    <x v="1"/>
  </r>
  <r>
    <x v="283"/>
    <x v="6"/>
    <x v="2"/>
    <x v="4"/>
    <x v="47"/>
    <x v="246"/>
    <x v="5"/>
    <x v="7"/>
    <x v="0"/>
    <x v="1"/>
    <x v="1"/>
    <x v="1"/>
    <x v="0"/>
    <x v="1"/>
    <x v="2"/>
    <x v="4"/>
    <x v="1"/>
  </r>
  <r>
    <x v="284"/>
    <x v="6"/>
    <x v="2"/>
    <x v="4"/>
    <x v="47"/>
    <x v="247"/>
    <x v="5"/>
    <x v="7"/>
    <x v="0"/>
    <x v="1"/>
    <x v="1"/>
    <x v="1"/>
    <x v="0"/>
    <x v="1"/>
    <x v="2"/>
    <x v="4"/>
    <x v="1"/>
  </r>
  <r>
    <x v="285"/>
    <x v="6"/>
    <x v="2"/>
    <x v="4"/>
    <x v="47"/>
    <x v="248"/>
    <x v="5"/>
    <x v="7"/>
    <x v="0"/>
    <x v="1"/>
    <x v="1"/>
    <x v="1"/>
    <x v="0"/>
    <x v="1"/>
    <x v="2"/>
    <x v="4"/>
    <x v="1"/>
  </r>
  <r>
    <x v="286"/>
    <x v="6"/>
    <x v="2"/>
    <x v="4"/>
    <x v="47"/>
    <x v="249"/>
    <x v="5"/>
    <x v="7"/>
    <x v="0"/>
    <x v="1"/>
    <x v="1"/>
    <x v="1"/>
    <x v="0"/>
    <x v="1"/>
    <x v="2"/>
    <x v="4"/>
    <x v="1"/>
  </r>
  <r>
    <x v="287"/>
    <x v="6"/>
    <x v="2"/>
    <x v="4"/>
    <x v="47"/>
    <x v="250"/>
    <x v="5"/>
    <x v="7"/>
    <x v="0"/>
    <x v="1"/>
    <x v="1"/>
    <x v="1"/>
    <x v="0"/>
    <x v="1"/>
    <x v="2"/>
    <x v="4"/>
    <x v="1"/>
  </r>
  <r>
    <x v="288"/>
    <x v="6"/>
    <x v="2"/>
    <x v="4"/>
    <x v="47"/>
    <x v="251"/>
    <x v="5"/>
    <x v="7"/>
    <x v="0"/>
    <x v="1"/>
    <x v="1"/>
    <x v="1"/>
    <x v="0"/>
    <x v="1"/>
    <x v="2"/>
    <x v="4"/>
    <x v="1"/>
  </r>
  <r>
    <x v="289"/>
    <x v="6"/>
    <x v="2"/>
    <x v="4"/>
    <x v="47"/>
    <x v="252"/>
    <x v="5"/>
    <x v="7"/>
    <x v="0"/>
    <x v="1"/>
    <x v="1"/>
    <x v="1"/>
    <x v="0"/>
    <x v="1"/>
    <x v="2"/>
    <x v="4"/>
    <x v="1"/>
  </r>
  <r>
    <x v="290"/>
    <x v="6"/>
    <x v="2"/>
    <x v="4"/>
    <x v="47"/>
    <x v="253"/>
    <x v="5"/>
    <x v="7"/>
    <x v="0"/>
    <x v="1"/>
    <x v="1"/>
    <x v="1"/>
    <x v="0"/>
    <x v="1"/>
    <x v="2"/>
    <x v="4"/>
    <x v="1"/>
  </r>
  <r>
    <x v="291"/>
    <x v="6"/>
    <x v="2"/>
    <x v="4"/>
    <x v="47"/>
    <x v="254"/>
    <x v="5"/>
    <x v="7"/>
    <x v="0"/>
    <x v="1"/>
    <x v="1"/>
    <x v="1"/>
    <x v="0"/>
    <x v="1"/>
    <x v="2"/>
    <x v="4"/>
    <x v="1"/>
  </r>
  <r>
    <x v="292"/>
    <x v="6"/>
    <x v="2"/>
    <x v="4"/>
    <x v="47"/>
    <x v="255"/>
    <x v="5"/>
    <x v="7"/>
    <x v="0"/>
    <x v="1"/>
    <x v="1"/>
    <x v="1"/>
    <x v="0"/>
    <x v="1"/>
    <x v="2"/>
    <x v="4"/>
    <x v="1"/>
  </r>
  <r>
    <x v="293"/>
    <x v="6"/>
    <x v="2"/>
    <x v="4"/>
    <x v="47"/>
    <x v="256"/>
    <x v="5"/>
    <x v="7"/>
    <x v="0"/>
    <x v="1"/>
    <x v="1"/>
    <x v="1"/>
    <x v="0"/>
    <x v="1"/>
    <x v="2"/>
    <x v="4"/>
    <x v="1"/>
  </r>
  <r>
    <x v="294"/>
    <x v="6"/>
    <x v="2"/>
    <x v="4"/>
    <x v="47"/>
    <x v="257"/>
    <x v="5"/>
    <x v="7"/>
    <x v="0"/>
    <x v="1"/>
    <x v="1"/>
    <x v="1"/>
    <x v="0"/>
    <x v="1"/>
    <x v="2"/>
    <x v="4"/>
    <x v="1"/>
  </r>
  <r>
    <x v="295"/>
    <x v="6"/>
    <x v="2"/>
    <x v="4"/>
    <x v="47"/>
    <x v="258"/>
    <x v="5"/>
    <x v="7"/>
    <x v="0"/>
    <x v="1"/>
    <x v="1"/>
    <x v="1"/>
    <x v="0"/>
    <x v="1"/>
    <x v="2"/>
    <x v="4"/>
    <x v="1"/>
  </r>
  <r>
    <x v="296"/>
    <x v="6"/>
    <x v="2"/>
    <x v="4"/>
    <x v="47"/>
    <x v="259"/>
    <x v="5"/>
    <x v="7"/>
    <x v="0"/>
    <x v="1"/>
    <x v="1"/>
    <x v="1"/>
    <x v="0"/>
    <x v="1"/>
    <x v="2"/>
    <x v="4"/>
    <x v="1"/>
  </r>
  <r>
    <x v="297"/>
    <x v="6"/>
    <x v="2"/>
    <x v="4"/>
    <x v="47"/>
    <x v="260"/>
    <x v="5"/>
    <x v="7"/>
    <x v="0"/>
    <x v="1"/>
    <x v="1"/>
    <x v="1"/>
    <x v="0"/>
    <x v="1"/>
    <x v="2"/>
    <x v="4"/>
    <x v="1"/>
  </r>
  <r>
    <x v="298"/>
    <x v="6"/>
    <x v="2"/>
    <x v="4"/>
    <x v="47"/>
    <x v="261"/>
    <x v="5"/>
    <x v="7"/>
    <x v="0"/>
    <x v="1"/>
    <x v="1"/>
    <x v="1"/>
    <x v="0"/>
    <x v="1"/>
    <x v="2"/>
    <x v="4"/>
    <x v="1"/>
  </r>
  <r>
    <x v="299"/>
    <x v="6"/>
    <x v="2"/>
    <x v="4"/>
    <x v="47"/>
    <x v="262"/>
    <x v="5"/>
    <x v="7"/>
    <x v="0"/>
    <x v="1"/>
    <x v="1"/>
    <x v="1"/>
    <x v="0"/>
    <x v="1"/>
    <x v="2"/>
    <x v="4"/>
    <x v="1"/>
  </r>
  <r>
    <x v="300"/>
    <x v="6"/>
    <x v="2"/>
    <x v="4"/>
    <x v="47"/>
    <x v="263"/>
    <x v="5"/>
    <x v="7"/>
    <x v="0"/>
    <x v="1"/>
    <x v="1"/>
    <x v="1"/>
    <x v="0"/>
    <x v="1"/>
    <x v="2"/>
    <x v="4"/>
    <x v="1"/>
  </r>
  <r>
    <x v="301"/>
    <x v="6"/>
    <x v="2"/>
    <x v="4"/>
    <x v="47"/>
    <x v="264"/>
    <x v="5"/>
    <x v="7"/>
    <x v="0"/>
    <x v="1"/>
    <x v="1"/>
    <x v="1"/>
    <x v="0"/>
    <x v="1"/>
    <x v="2"/>
    <x v="4"/>
    <x v="1"/>
  </r>
  <r>
    <x v="302"/>
    <x v="5"/>
    <x v="2"/>
    <x v="4"/>
    <x v="44"/>
    <x v="265"/>
    <x v="6"/>
    <x v="1"/>
    <x v="0"/>
    <x v="0"/>
    <x v="0"/>
    <x v="1"/>
    <x v="0"/>
    <x v="1"/>
    <x v="0"/>
    <x v="0"/>
    <x v="3"/>
  </r>
  <r>
    <x v="303"/>
    <x v="5"/>
    <x v="2"/>
    <x v="5"/>
    <x v="44"/>
    <x v="266"/>
    <x v="0"/>
    <x v="0"/>
    <x v="0"/>
    <x v="0"/>
    <x v="0"/>
    <x v="1"/>
    <x v="0"/>
    <x v="1"/>
    <x v="0"/>
    <x v="0"/>
    <x v="0"/>
  </r>
  <r>
    <x v="304"/>
    <x v="5"/>
    <x v="2"/>
    <x v="5"/>
    <x v="44"/>
    <x v="267"/>
    <x v="7"/>
    <x v="0"/>
    <x v="0"/>
    <x v="1"/>
    <x v="1"/>
    <x v="1"/>
    <x v="0"/>
    <x v="1"/>
    <x v="1"/>
    <x v="1"/>
    <x v="0"/>
  </r>
  <r>
    <x v="305"/>
    <x v="5"/>
    <x v="2"/>
    <x v="5"/>
    <x v="44"/>
    <x v="268"/>
    <x v="1"/>
    <x v="0"/>
    <x v="0"/>
    <x v="1"/>
    <x v="1"/>
    <x v="1"/>
    <x v="0"/>
    <x v="1"/>
    <x v="1"/>
    <x v="1"/>
    <x v="0"/>
  </r>
  <r>
    <x v="306"/>
    <x v="5"/>
    <x v="2"/>
    <x v="5"/>
    <x v="44"/>
    <x v="269"/>
    <x v="0"/>
    <x v="0"/>
    <x v="0"/>
    <x v="1"/>
    <x v="1"/>
    <x v="1"/>
    <x v="0"/>
    <x v="1"/>
    <x v="1"/>
    <x v="1"/>
    <x v="0"/>
  </r>
  <r>
    <x v="307"/>
    <x v="5"/>
    <x v="2"/>
    <x v="5"/>
    <x v="44"/>
    <x v="270"/>
    <x v="1"/>
    <x v="0"/>
    <x v="0"/>
    <x v="1"/>
    <x v="1"/>
    <x v="1"/>
    <x v="0"/>
    <x v="1"/>
    <x v="1"/>
    <x v="1"/>
    <x v="0"/>
  </r>
  <r>
    <x v="308"/>
    <x v="5"/>
    <x v="2"/>
    <x v="5"/>
    <x v="44"/>
    <x v="271"/>
    <x v="1"/>
    <x v="0"/>
    <x v="0"/>
    <x v="1"/>
    <x v="1"/>
    <x v="1"/>
    <x v="0"/>
    <x v="1"/>
    <x v="1"/>
    <x v="1"/>
    <x v="0"/>
  </r>
  <r>
    <x v="309"/>
    <x v="5"/>
    <x v="2"/>
    <x v="5"/>
    <x v="44"/>
    <x v="272"/>
    <x v="0"/>
    <x v="0"/>
    <x v="0"/>
    <x v="0"/>
    <x v="0"/>
    <x v="4"/>
    <x v="0"/>
    <x v="1"/>
    <x v="0"/>
    <x v="0"/>
    <x v="0"/>
  </r>
  <r>
    <x v="310"/>
    <x v="5"/>
    <x v="2"/>
    <x v="5"/>
    <x v="44"/>
    <x v="273"/>
    <x v="0"/>
    <x v="0"/>
    <x v="0"/>
    <x v="1"/>
    <x v="1"/>
    <x v="1"/>
    <x v="0"/>
    <x v="1"/>
    <x v="1"/>
    <x v="1"/>
    <x v="0"/>
  </r>
  <r>
    <x v="311"/>
    <x v="5"/>
    <x v="2"/>
    <x v="5"/>
    <x v="44"/>
    <x v="274"/>
    <x v="1"/>
    <x v="10"/>
    <x v="5"/>
    <x v="0"/>
    <x v="0"/>
    <x v="12"/>
    <x v="6"/>
    <x v="1"/>
    <x v="0"/>
    <x v="0"/>
    <x v="0"/>
  </r>
  <r>
    <x v="312"/>
    <x v="5"/>
    <x v="2"/>
    <x v="5"/>
    <x v="44"/>
    <x v="275"/>
    <x v="0"/>
    <x v="1"/>
    <x v="0"/>
    <x v="0"/>
    <x v="0"/>
    <x v="1"/>
    <x v="0"/>
    <x v="1"/>
    <x v="0"/>
    <x v="0"/>
    <x v="0"/>
  </r>
  <r>
    <x v="313"/>
    <x v="5"/>
    <x v="2"/>
    <x v="5"/>
    <x v="44"/>
    <x v="276"/>
    <x v="7"/>
    <x v="1"/>
    <x v="0"/>
    <x v="0"/>
    <x v="0"/>
    <x v="1"/>
    <x v="0"/>
    <x v="1"/>
    <x v="0"/>
    <x v="0"/>
    <x v="0"/>
  </r>
  <r>
    <x v="314"/>
    <x v="5"/>
    <x v="2"/>
    <x v="5"/>
    <x v="44"/>
    <x v="277"/>
    <x v="1"/>
    <x v="1"/>
    <x v="0"/>
    <x v="0"/>
    <x v="0"/>
    <x v="1"/>
    <x v="0"/>
    <x v="1"/>
    <x v="0"/>
    <x v="0"/>
    <x v="0"/>
  </r>
  <r>
    <x v="315"/>
    <x v="5"/>
    <x v="2"/>
    <x v="5"/>
    <x v="44"/>
    <x v="278"/>
    <x v="0"/>
    <x v="3"/>
    <x v="2"/>
    <x v="0"/>
    <x v="0"/>
    <x v="6"/>
    <x v="2"/>
    <x v="1"/>
    <x v="0"/>
    <x v="0"/>
    <x v="0"/>
  </r>
  <r>
    <x v="316"/>
    <x v="5"/>
    <x v="2"/>
    <x v="5"/>
    <x v="44"/>
    <x v="279"/>
    <x v="7"/>
    <x v="1"/>
    <x v="0"/>
    <x v="0"/>
    <x v="0"/>
    <x v="1"/>
    <x v="0"/>
    <x v="1"/>
    <x v="0"/>
    <x v="0"/>
    <x v="0"/>
  </r>
  <r>
    <x v="317"/>
    <x v="5"/>
    <x v="2"/>
    <x v="5"/>
    <x v="44"/>
    <x v="280"/>
    <x v="0"/>
    <x v="1"/>
    <x v="0"/>
    <x v="0"/>
    <x v="0"/>
    <x v="1"/>
    <x v="0"/>
    <x v="1"/>
    <x v="0"/>
    <x v="0"/>
    <x v="0"/>
  </r>
  <r>
    <x v="318"/>
    <x v="5"/>
    <x v="2"/>
    <x v="5"/>
    <x v="44"/>
    <x v="281"/>
    <x v="1"/>
    <x v="1"/>
    <x v="0"/>
    <x v="0"/>
    <x v="0"/>
    <x v="1"/>
    <x v="0"/>
    <x v="1"/>
    <x v="0"/>
    <x v="0"/>
    <x v="0"/>
  </r>
  <r>
    <x v="319"/>
    <x v="5"/>
    <x v="2"/>
    <x v="5"/>
    <x v="44"/>
    <x v="282"/>
    <x v="0"/>
    <x v="1"/>
    <x v="0"/>
    <x v="0"/>
    <x v="0"/>
    <x v="1"/>
    <x v="0"/>
    <x v="1"/>
    <x v="0"/>
    <x v="0"/>
    <x v="0"/>
  </r>
  <r>
    <x v="320"/>
    <x v="5"/>
    <x v="2"/>
    <x v="5"/>
    <x v="44"/>
    <x v="283"/>
    <x v="1"/>
    <x v="1"/>
    <x v="0"/>
    <x v="0"/>
    <x v="0"/>
    <x v="1"/>
    <x v="0"/>
    <x v="1"/>
    <x v="0"/>
    <x v="0"/>
    <x v="0"/>
  </r>
  <r>
    <x v="321"/>
    <x v="5"/>
    <x v="2"/>
    <x v="5"/>
    <x v="44"/>
    <x v="284"/>
    <x v="7"/>
    <x v="7"/>
    <x v="0"/>
    <x v="1"/>
    <x v="1"/>
    <x v="1"/>
    <x v="0"/>
    <x v="1"/>
    <x v="2"/>
    <x v="4"/>
    <x v="0"/>
  </r>
  <r>
    <x v="322"/>
    <x v="5"/>
    <x v="2"/>
    <x v="5"/>
    <x v="44"/>
    <x v="285"/>
    <x v="4"/>
    <x v="1"/>
    <x v="0"/>
    <x v="0"/>
    <x v="0"/>
    <x v="1"/>
    <x v="0"/>
    <x v="1"/>
    <x v="0"/>
    <x v="0"/>
    <x v="0"/>
  </r>
  <r>
    <x v="323"/>
    <x v="5"/>
    <x v="2"/>
    <x v="5"/>
    <x v="44"/>
    <x v="286"/>
    <x v="4"/>
    <x v="1"/>
    <x v="0"/>
    <x v="0"/>
    <x v="0"/>
    <x v="1"/>
    <x v="0"/>
    <x v="1"/>
    <x v="0"/>
    <x v="0"/>
    <x v="0"/>
  </r>
  <r>
    <x v="324"/>
    <x v="5"/>
    <x v="2"/>
    <x v="5"/>
    <x v="44"/>
    <x v="287"/>
    <x v="4"/>
    <x v="1"/>
    <x v="0"/>
    <x v="0"/>
    <x v="0"/>
    <x v="1"/>
    <x v="0"/>
    <x v="1"/>
    <x v="0"/>
    <x v="0"/>
    <x v="0"/>
  </r>
  <r>
    <x v="325"/>
    <x v="5"/>
    <x v="2"/>
    <x v="5"/>
    <x v="44"/>
    <x v="288"/>
    <x v="4"/>
    <x v="1"/>
    <x v="0"/>
    <x v="0"/>
    <x v="0"/>
    <x v="1"/>
    <x v="0"/>
    <x v="1"/>
    <x v="0"/>
    <x v="0"/>
    <x v="0"/>
  </r>
  <r>
    <x v="326"/>
    <x v="5"/>
    <x v="2"/>
    <x v="5"/>
    <x v="44"/>
    <x v="289"/>
    <x v="4"/>
    <x v="5"/>
    <x v="3"/>
    <x v="0"/>
    <x v="0"/>
    <x v="7"/>
    <x v="3"/>
    <x v="1"/>
    <x v="0"/>
    <x v="0"/>
    <x v="0"/>
  </r>
  <r>
    <x v="327"/>
    <x v="5"/>
    <x v="2"/>
    <x v="5"/>
    <x v="44"/>
    <x v="290"/>
    <x v="0"/>
    <x v="1"/>
    <x v="0"/>
    <x v="0"/>
    <x v="0"/>
    <x v="1"/>
    <x v="0"/>
    <x v="1"/>
    <x v="0"/>
    <x v="0"/>
    <x v="0"/>
  </r>
  <r>
    <x v="328"/>
    <x v="5"/>
    <x v="2"/>
    <x v="5"/>
    <x v="44"/>
    <x v="291"/>
    <x v="0"/>
    <x v="1"/>
    <x v="0"/>
    <x v="0"/>
    <x v="0"/>
    <x v="1"/>
    <x v="0"/>
    <x v="1"/>
    <x v="0"/>
    <x v="0"/>
    <x v="0"/>
  </r>
  <r>
    <x v="329"/>
    <x v="5"/>
    <x v="2"/>
    <x v="5"/>
    <x v="44"/>
    <x v="292"/>
    <x v="1"/>
    <x v="6"/>
    <x v="0"/>
    <x v="1"/>
    <x v="1"/>
    <x v="1"/>
    <x v="0"/>
    <x v="1"/>
    <x v="2"/>
    <x v="3"/>
    <x v="0"/>
  </r>
  <r>
    <x v="330"/>
    <x v="5"/>
    <x v="2"/>
    <x v="5"/>
    <x v="44"/>
    <x v="293"/>
    <x v="1"/>
    <x v="1"/>
    <x v="0"/>
    <x v="1"/>
    <x v="1"/>
    <x v="1"/>
    <x v="0"/>
    <x v="1"/>
    <x v="2"/>
    <x v="3"/>
    <x v="0"/>
  </r>
  <r>
    <x v="331"/>
    <x v="6"/>
    <x v="2"/>
    <x v="5"/>
    <x v="47"/>
    <x v="294"/>
    <x v="5"/>
    <x v="7"/>
    <x v="0"/>
    <x v="1"/>
    <x v="1"/>
    <x v="1"/>
    <x v="0"/>
    <x v="1"/>
    <x v="2"/>
    <x v="4"/>
    <x v="1"/>
  </r>
  <r>
    <x v="332"/>
    <x v="6"/>
    <x v="2"/>
    <x v="5"/>
    <x v="47"/>
    <x v="295"/>
    <x v="5"/>
    <x v="7"/>
    <x v="0"/>
    <x v="1"/>
    <x v="1"/>
    <x v="1"/>
    <x v="0"/>
    <x v="1"/>
    <x v="2"/>
    <x v="4"/>
    <x v="1"/>
  </r>
  <r>
    <x v="333"/>
    <x v="6"/>
    <x v="2"/>
    <x v="5"/>
    <x v="47"/>
    <x v="296"/>
    <x v="5"/>
    <x v="7"/>
    <x v="0"/>
    <x v="1"/>
    <x v="1"/>
    <x v="1"/>
    <x v="0"/>
    <x v="1"/>
    <x v="2"/>
    <x v="4"/>
    <x v="1"/>
  </r>
  <r>
    <x v="334"/>
    <x v="6"/>
    <x v="2"/>
    <x v="5"/>
    <x v="47"/>
    <x v="297"/>
    <x v="5"/>
    <x v="1"/>
    <x v="0"/>
    <x v="0"/>
    <x v="0"/>
    <x v="4"/>
    <x v="0"/>
    <x v="1"/>
    <x v="0"/>
    <x v="0"/>
    <x v="1"/>
  </r>
  <r>
    <x v="335"/>
    <x v="6"/>
    <x v="2"/>
    <x v="5"/>
    <x v="47"/>
    <x v="298"/>
    <x v="5"/>
    <x v="7"/>
    <x v="0"/>
    <x v="1"/>
    <x v="1"/>
    <x v="1"/>
    <x v="0"/>
    <x v="1"/>
    <x v="2"/>
    <x v="4"/>
    <x v="1"/>
  </r>
  <r>
    <x v="336"/>
    <x v="6"/>
    <x v="2"/>
    <x v="5"/>
    <x v="47"/>
    <x v="299"/>
    <x v="5"/>
    <x v="1"/>
    <x v="0"/>
    <x v="0"/>
    <x v="0"/>
    <x v="1"/>
    <x v="0"/>
    <x v="1"/>
    <x v="0"/>
    <x v="0"/>
    <x v="1"/>
  </r>
  <r>
    <x v="337"/>
    <x v="6"/>
    <x v="2"/>
    <x v="5"/>
    <x v="47"/>
    <x v="300"/>
    <x v="5"/>
    <x v="7"/>
    <x v="0"/>
    <x v="1"/>
    <x v="1"/>
    <x v="1"/>
    <x v="0"/>
    <x v="1"/>
    <x v="2"/>
    <x v="4"/>
    <x v="1"/>
  </r>
  <r>
    <x v="338"/>
    <x v="6"/>
    <x v="2"/>
    <x v="5"/>
    <x v="47"/>
    <x v="301"/>
    <x v="5"/>
    <x v="1"/>
    <x v="0"/>
    <x v="0"/>
    <x v="0"/>
    <x v="1"/>
    <x v="0"/>
    <x v="1"/>
    <x v="0"/>
    <x v="0"/>
    <x v="1"/>
  </r>
  <r>
    <x v="339"/>
    <x v="5"/>
    <x v="2"/>
    <x v="5"/>
    <x v="44"/>
    <x v="302"/>
    <x v="6"/>
    <x v="8"/>
    <x v="0"/>
    <x v="1"/>
    <x v="1"/>
    <x v="1"/>
    <x v="0"/>
    <x v="1"/>
    <x v="2"/>
    <x v="4"/>
    <x v="3"/>
  </r>
  <r>
    <x v="340"/>
    <x v="0"/>
    <x v="3"/>
    <x v="6"/>
    <x v="0"/>
    <x v="40"/>
    <x v="0"/>
    <x v="1"/>
    <x v="0"/>
    <x v="0"/>
    <x v="0"/>
    <x v="1"/>
    <x v="0"/>
    <x v="2"/>
    <x v="0"/>
    <x v="0"/>
    <x v="0"/>
  </r>
  <r>
    <x v="341"/>
    <x v="0"/>
    <x v="3"/>
    <x v="6"/>
    <x v="1"/>
    <x v="40"/>
    <x v="0"/>
    <x v="1"/>
    <x v="0"/>
    <x v="0"/>
    <x v="0"/>
    <x v="1"/>
    <x v="0"/>
    <x v="2"/>
    <x v="0"/>
    <x v="0"/>
    <x v="0"/>
  </r>
  <r>
    <x v="342"/>
    <x v="5"/>
    <x v="3"/>
    <x v="6"/>
    <x v="44"/>
    <x v="303"/>
    <x v="0"/>
    <x v="0"/>
    <x v="0"/>
    <x v="1"/>
    <x v="1"/>
    <x v="1"/>
    <x v="0"/>
    <x v="2"/>
    <x v="1"/>
    <x v="1"/>
    <x v="0"/>
  </r>
  <r>
    <x v="343"/>
    <x v="5"/>
    <x v="3"/>
    <x v="6"/>
    <x v="44"/>
    <x v="304"/>
    <x v="1"/>
    <x v="0"/>
    <x v="0"/>
    <x v="0"/>
    <x v="0"/>
    <x v="5"/>
    <x v="0"/>
    <x v="2"/>
    <x v="0"/>
    <x v="0"/>
    <x v="0"/>
  </r>
  <r>
    <x v="344"/>
    <x v="0"/>
    <x v="3"/>
    <x v="6"/>
    <x v="48"/>
    <x v="40"/>
    <x v="1"/>
    <x v="1"/>
    <x v="0"/>
    <x v="0"/>
    <x v="0"/>
    <x v="1"/>
    <x v="0"/>
    <x v="2"/>
    <x v="0"/>
    <x v="0"/>
    <x v="0"/>
  </r>
  <r>
    <x v="345"/>
    <x v="5"/>
    <x v="3"/>
    <x v="6"/>
    <x v="44"/>
    <x v="305"/>
    <x v="0"/>
    <x v="0"/>
    <x v="0"/>
    <x v="0"/>
    <x v="0"/>
    <x v="4"/>
    <x v="0"/>
    <x v="2"/>
    <x v="0"/>
    <x v="0"/>
    <x v="0"/>
  </r>
  <r>
    <x v="346"/>
    <x v="5"/>
    <x v="3"/>
    <x v="6"/>
    <x v="44"/>
    <x v="306"/>
    <x v="1"/>
    <x v="0"/>
    <x v="0"/>
    <x v="1"/>
    <x v="1"/>
    <x v="1"/>
    <x v="0"/>
    <x v="2"/>
    <x v="1"/>
    <x v="1"/>
    <x v="0"/>
  </r>
  <r>
    <x v="347"/>
    <x v="0"/>
    <x v="3"/>
    <x v="6"/>
    <x v="49"/>
    <x v="40"/>
    <x v="1"/>
    <x v="1"/>
    <x v="0"/>
    <x v="0"/>
    <x v="0"/>
    <x v="1"/>
    <x v="0"/>
    <x v="2"/>
    <x v="0"/>
    <x v="0"/>
    <x v="0"/>
  </r>
  <r>
    <x v="348"/>
    <x v="5"/>
    <x v="3"/>
    <x v="6"/>
    <x v="44"/>
    <x v="307"/>
    <x v="1"/>
    <x v="0"/>
    <x v="0"/>
    <x v="0"/>
    <x v="0"/>
    <x v="8"/>
    <x v="0"/>
    <x v="2"/>
    <x v="0"/>
    <x v="0"/>
    <x v="0"/>
  </r>
  <r>
    <x v="349"/>
    <x v="5"/>
    <x v="3"/>
    <x v="6"/>
    <x v="44"/>
    <x v="308"/>
    <x v="1"/>
    <x v="0"/>
    <x v="0"/>
    <x v="1"/>
    <x v="1"/>
    <x v="1"/>
    <x v="0"/>
    <x v="2"/>
    <x v="1"/>
    <x v="1"/>
    <x v="0"/>
  </r>
  <r>
    <x v="350"/>
    <x v="3"/>
    <x v="3"/>
    <x v="6"/>
    <x v="50"/>
    <x v="309"/>
    <x v="1"/>
    <x v="1"/>
    <x v="0"/>
    <x v="0"/>
    <x v="0"/>
    <x v="1"/>
    <x v="0"/>
    <x v="2"/>
    <x v="0"/>
    <x v="0"/>
    <x v="0"/>
  </r>
  <r>
    <x v="351"/>
    <x v="2"/>
    <x v="3"/>
    <x v="6"/>
    <x v="51"/>
    <x v="310"/>
    <x v="3"/>
    <x v="1"/>
    <x v="0"/>
    <x v="0"/>
    <x v="0"/>
    <x v="1"/>
    <x v="0"/>
    <x v="2"/>
    <x v="0"/>
    <x v="0"/>
    <x v="0"/>
  </r>
  <r>
    <x v="352"/>
    <x v="1"/>
    <x v="3"/>
    <x v="6"/>
    <x v="44"/>
    <x v="311"/>
    <x v="5"/>
    <x v="1"/>
    <x v="0"/>
    <x v="0"/>
    <x v="0"/>
    <x v="1"/>
    <x v="0"/>
    <x v="2"/>
    <x v="0"/>
    <x v="0"/>
    <x v="0"/>
  </r>
  <r>
    <x v="353"/>
    <x v="5"/>
    <x v="3"/>
    <x v="6"/>
    <x v="44"/>
    <x v="312"/>
    <x v="1"/>
    <x v="1"/>
    <x v="0"/>
    <x v="0"/>
    <x v="0"/>
    <x v="1"/>
    <x v="0"/>
    <x v="2"/>
    <x v="0"/>
    <x v="0"/>
    <x v="0"/>
  </r>
  <r>
    <x v="354"/>
    <x v="5"/>
    <x v="3"/>
    <x v="6"/>
    <x v="44"/>
    <x v="313"/>
    <x v="0"/>
    <x v="1"/>
    <x v="0"/>
    <x v="0"/>
    <x v="0"/>
    <x v="1"/>
    <x v="0"/>
    <x v="2"/>
    <x v="0"/>
    <x v="0"/>
    <x v="0"/>
  </r>
  <r>
    <x v="355"/>
    <x v="5"/>
    <x v="3"/>
    <x v="6"/>
    <x v="44"/>
    <x v="314"/>
    <x v="0"/>
    <x v="1"/>
    <x v="0"/>
    <x v="0"/>
    <x v="0"/>
    <x v="1"/>
    <x v="0"/>
    <x v="2"/>
    <x v="0"/>
    <x v="0"/>
    <x v="0"/>
  </r>
  <r>
    <x v="356"/>
    <x v="5"/>
    <x v="3"/>
    <x v="6"/>
    <x v="44"/>
    <x v="315"/>
    <x v="0"/>
    <x v="1"/>
    <x v="0"/>
    <x v="0"/>
    <x v="0"/>
    <x v="1"/>
    <x v="0"/>
    <x v="2"/>
    <x v="0"/>
    <x v="0"/>
    <x v="0"/>
  </r>
  <r>
    <x v="357"/>
    <x v="5"/>
    <x v="3"/>
    <x v="6"/>
    <x v="44"/>
    <x v="316"/>
    <x v="0"/>
    <x v="1"/>
    <x v="0"/>
    <x v="0"/>
    <x v="0"/>
    <x v="1"/>
    <x v="0"/>
    <x v="2"/>
    <x v="0"/>
    <x v="0"/>
    <x v="0"/>
  </r>
  <r>
    <x v="358"/>
    <x v="5"/>
    <x v="3"/>
    <x v="6"/>
    <x v="44"/>
    <x v="317"/>
    <x v="7"/>
    <x v="1"/>
    <x v="0"/>
    <x v="0"/>
    <x v="0"/>
    <x v="1"/>
    <x v="0"/>
    <x v="2"/>
    <x v="0"/>
    <x v="0"/>
    <x v="0"/>
  </r>
  <r>
    <x v="359"/>
    <x v="5"/>
    <x v="3"/>
    <x v="6"/>
    <x v="44"/>
    <x v="318"/>
    <x v="0"/>
    <x v="1"/>
    <x v="0"/>
    <x v="0"/>
    <x v="0"/>
    <x v="1"/>
    <x v="0"/>
    <x v="2"/>
    <x v="0"/>
    <x v="0"/>
    <x v="0"/>
  </r>
  <r>
    <x v="360"/>
    <x v="5"/>
    <x v="3"/>
    <x v="6"/>
    <x v="44"/>
    <x v="319"/>
    <x v="4"/>
    <x v="1"/>
    <x v="0"/>
    <x v="0"/>
    <x v="0"/>
    <x v="1"/>
    <x v="0"/>
    <x v="2"/>
    <x v="0"/>
    <x v="0"/>
    <x v="0"/>
  </r>
  <r>
    <x v="361"/>
    <x v="5"/>
    <x v="3"/>
    <x v="6"/>
    <x v="44"/>
    <x v="320"/>
    <x v="1"/>
    <x v="1"/>
    <x v="0"/>
    <x v="0"/>
    <x v="0"/>
    <x v="1"/>
    <x v="0"/>
    <x v="2"/>
    <x v="0"/>
    <x v="0"/>
    <x v="0"/>
  </r>
  <r>
    <x v="362"/>
    <x v="5"/>
    <x v="3"/>
    <x v="6"/>
    <x v="44"/>
    <x v="321"/>
    <x v="6"/>
    <x v="10"/>
    <x v="5"/>
    <x v="0"/>
    <x v="0"/>
    <x v="13"/>
    <x v="7"/>
    <x v="2"/>
    <x v="0"/>
    <x v="0"/>
    <x v="0"/>
  </r>
  <r>
    <x v="363"/>
    <x v="5"/>
    <x v="3"/>
    <x v="6"/>
    <x v="44"/>
    <x v="322"/>
    <x v="1"/>
    <x v="1"/>
    <x v="0"/>
    <x v="0"/>
    <x v="0"/>
    <x v="1"/>
    <x v="0"/>
    <x v="2"/>
    <x v="0"/>
    <x v="0"/>
    <x v="0"/>
  </r>
  <r>
    <x v="364"/>
    <x v="5"/>
    <x v="3"/>
    <x v="6"/>
    <x v="44"/>
    <x v="323"/>
    <x v="0"/>
    <x v="1"/>
    <x v="0"/>
    <x v="0"/>
    <x v="0"/>
    <x v="1"/>
    <x v="0"/>
    <x v="2"/>
    <x v="0"/>
    <x v="0"/>
    <x v="0"/>
  </r>
  <r>
    <x v="365"/>
    <x v="5"/>
    <x v="3"/>
    <x v="6"/>
    <x v="44"/>
    <x v="324"/>
    <x v="1"/>
    <x v="1"/>
    <x v="0"/>
    <x v="0"/>
    <x v="0"/>
    <x v="1"/>
    <x v="0"/>
    <x v="2"/>
    <x v="0"/>
    <x v="0"/>
    <x v="0"/>
  </r>
  <r>
    <x v="366"/>
    <x v="5"/>
    <x v="3"/>
    <x v="6"/>
    <x v="44"/>
    <x v="325"/>
    <x v="1"/>
    <x v="1"/>
    <x v="0"/>
    <x v="0"/>
    <x v="0"/>
    <x v="1"/>
    <x v="0"/>
    <x v="2"/>
    <x v="0"/>
    <x v="0"/>
    <x v="0"/>
  </r>
  <r>
    <x v="367"/>
    <x v="5"/>
    <x v="3"/>
    <x v="6"/>
    <x v="44"/>
    <x v="326"/>
    <x v="0"/>
    <x v="1"/>
    <x v="0"/>
    <x v="0"/>
    <x v="0"/>
    <x v="1"/>
    <x v="0"/>
    <x v="2"/>
    <x v="0"/>
    <x v="0"/>
    <x v="0"/>
  </r>
  <r>
    <x v="368"/>
    <x v="5"/>
    <x v="3"/>
    <x v="6"/>
    <x v="44"/>
    <x v="327"/>
    <x v="1"/>
    <x v="1"/>
    <x v="0"/>
    <x v="0"/>
    <x v="0"/>
    <x v="1"/>
    <x v="0"/>
    <x v="2"/>
    <x v="0"/>
    <x v="0"/>
    <x v="0"/>
  </r>
  <r>
    <x v="369"/>
    <x v="5"/>
    <x v="3"/>
    <x v="6"/>
    <x v="44"/>
    <x v="328"/>
    <x v="0"/>
    <x v="1"/>
    <x v="0"/>
    <x v="0"/>
    <x v="0"/>
    <x v="1"/>
    <x v="0"/>
    <x v="2"/>
    <x v="0"/>
    <x v="0"/>
    <x v="0"/>
  </r>
  <r>
    <x v="370"/>
    <x v="5"/>
    <x v="3"/>
    <x v="6"/>
    <x v="44"/>
    <x v="329"/>
    <x v="0"/>
    <x v="1"/>
    <x v="0"/>
    <x v="0"/>
    <x v="0"/>
    <x v="1"/>
    <x v="0"/>
    <x v="2"/>
    <x v="0"/>
    <x v="0"/>
    <x v="0"/>
  </r>
  <r>
    <x v="371"/>
    <x v="5"/>
    <x v="3"/>
    <x v="6"/>
    <x v="44"/>
    <x v="330"/>
    <x v="0"/>
    <x v="1"/>
    <x v="0"/>
    <x v="0"/>
    <x v="0"/>
    <x v="1"/>
    <x v="0"/>
    <x v="2"/>
    <x v="0"/>
    <x v="0"/>
    <x v="0"/>
  </r>
  <r>
    <x v="372"/>
    <x v="5"/>
    <x v="3"/>
    <x v="6"/>
    <x v="44"/>
    <x v="331"/>
    <x v="0"/>
    <x v="1"/>
    <x v="0"/>
    <x v="0"/>
    <x v="0"/>
    <x v="1"/>
    <x v="0"/>
    <x v="2"/>
    <x v="0"/>
    <x v="0"/>
    <x v="0"/>
  </r>
  <r>
    <x v="373"/>
    <x v="5"/>
    <x v="3"/>
    <x v="6"/>
    <x v="44"/>
    <x v="332"/>
    <x v="0"/>
    <x v="1"/>
    <x v="0"/>
    <x v="0"/>
    <x v="0"/>
    <x v="1"/>
    <x v="0"/>
    <x v="2"/>
    <x v="0"/>
    <x v="0"/>
    <x v="0"/>
  </r>
  <r>
    <x v="374"/>
    <x v="5"/>
    <x v="3"/>
    <x v="6"/>
    <x v="44"/>
    <x v="333"/>
    <x v="0"/>
    <x v="1"/>
    <x v="0"/>
    <x v="0"/>
    <x v="0"/>
    <x v="1"/>
    <x v="0"/>
    <x v="2"/>
    <x v="0"/>
    <x v="0"/>
    <x v="0"/>
  </r>
  <r>
    <x v="375"/>
    <x v="5"/>
    <x v="3"/>
    <x v="6"/>
    <x v="44"/>
    <x v="334"/>
    <x v="0"/>
    <x v="1"/>
    <x v="0"/>
    <x v="0"/>
    <x v="0"/>
    <x v="1"/>
    <x v="0"/>
    <x v="2"/>
    <x v="0"/>
    <x v="0"/>
    <x v="0"/>
  </r>
  <r>
    <x v="376"/>
    <x v="5"/>
    <x v="3"/>
    <x v="6"/>
    <x v="44"/>
    <x v="335"/>
    <x v="0"/>
    <x v="1"/>
    <x v="0"/>
    <x v="0"/>
    <x v="0"/>
    <x v="1"/>
    <x v="0"/>
    <x v="2"/>
    <x v="0"/>
    <x v="0"/>
    <x v="0"/>
  </r>
  <r>
    <x v="377"/>
    <x v="5"/>
    <x v="3"/>
    <x v="6"/>
    <x v="44"/>
    <x v="336"/>
    <x v="0"/>
    <x v="1"/>
    <x v="0"/>
    <x v="0"/>
    <x v="0"/>
    <x v="2"/>
    <x v="0"/>
    <x v="2"/>
    <x v="0"/>
    <x v="0"/>
    <x v="0"/>
  </r>
  <r>
    <x v="378"/>
    <x v="5"/>
    <x v="3"/>
    <x v="6"/>
    <x v="44"/>
    <x v="337"/>
    <x v="0"/>
    <x v="1"/>
    <x v="0"/>
    <x v="0"/>
    <x v="0"/>
    <x v="1"/>
    <x v="0"/>
    <x v="2"/>
    <x v="0"/>
    <x v="0"/>
    <x v="0"/>
  </r>
  <r>
    <x v="379"/>
    <x v="5"/>
    <x v="3"/>
    <x v="6"/>
    <x v="44"/>
    <x v="338"/>
    <x v="0"/>
    <x v="1"/>
    <x v="0"/>
    <x v="0"/>
    <x v="0"/>
    <x v="1"/>
    <x v="0"/>
    <x v="2"/>
    <x v="0"/>
    <x v="0"/>
    <x v="0"/>
  </r>
  <r>
    <x v="380"/>
    <x v="5"/>
    <x v="3"/>
    <x v="6"/>
    <x v="44"/>
    <x v="339"/>
    <x v="1"/>
    <x v="1"/>
    <x v="0"/>
    <x v="0"/>
    <x v="0"/>
    <x v="1"/>
    <x v="0"/>
    <x v="2"/>
    <x v="0"/>
    <x v="0"/>
    <x v="0"/>
  </r>
  <r>
    <x v="381"/>
    <x v="5"/>
    <x v="3"/>
    <x v="6"/>
    <x v="44"/>
    <x v="340"/>
    <x v="0"/>
    <x v="1"/>
    <x v="0"/>
    <x v="0"/>
    <x v="0"/>
    <x v="1"/>
    <x v="0"/>
    <x v="2"/>
    <x v="0"/>
    <x v="0"/>
    <x v="0"/>
  </r>
  <r>
    <x v="382"/>
    <x v="5"/>
    <x v="3"/>
    <x v="6"/>
    <x v="44"/>
    <x v="341"/>
    <x v="1"/>
    <x v="1"/>
    <x v="0"/>
    <x v="0"/>
    <x v="0"/>
    <x v="1"/>
    <x v="0"/>
    <x v="2"/>
    <x v="0"/>
    <x v="0"/>
    <x v="0"/>
  </r>
  <r>
    <x v="383"/>
    <x v="5"/>
    <x v="3"/>
    <x v="6"/>
    <x v="44"/>
    <x v="342"/>
    <x v="0"/>
    <x v="1"/>
    <x v="0"/>
    <x v="0"/>
    <x v="0"/>
    <x v="1"/>
    <x v="0"/>
    <x v="2"/>
    <x v="0"/>
    <x v="0"/>
    <x v="0"/>
  </r>
  <r>
    <x v="384"/>
    <x v="5"/>
    <x v="3"/>
    <x v="6"/>
    <x v="44"/>
    <x v="343"/>
    <x v="0"/>
    <x v="1"/>
    <x v="0"/>
    <x v="0"/>
    <x v="0"/>
    <x v="1"/>
    <x v="0"/>
    <x v="2"/>
    <x v="0"/>
    <x v="0"/>
    <x v="0"/>
  </r>
  <r>
    <x v="385"/>
    <x v="5"/>
    <x v="3"/>
    <x v="6"/>
    <x v="44"/>
    <x v="344"/>
    <x v="4"/>
    <x v="3"/>
    <x v="2"/>
    <x v="0"/>
    <x v="0"/>
    <x v="7"/>
    <x v="3"/>
    <x v="2"/>
    <x v="0"/>
    <x v="0"/>
    <x v="0"/>
  </r>
  <r>
    <x v="386"/>
    <x v="5"/>
    <x v="3"/>
    <x v="6"/>
    <x v="44"/>
    <x v="345"/>
    <x v="0"/>
    <x v="1"/>
    <x v="0"/>
    <x v="0"/>
    <x v="0"/>
    <x v="1"/>
    <x v="0"/>
    <x v="2"/>
    <x v="0"/>
    <x v="0"/>
    <x v="0"/>
  </r>
  <r>
    <x v="387"/>
    <x v="5"/>
    <x v="3"/>
    <x v="6"/>
    <x v="44"/>
    <x v="346"/>
    <x v="0"/>
    <x v="1"/>
    <x v="0"/>
    <x v="0"/>
    <x v="0"/>
    <x v="1"/>
    <x v="0"/>
    <x v="2"/>
    <x v="0"/>
    <x v="0"/>
    <x v="0"/>
  </r>
  <r>
    <x v="388"/>
    <x v="5"/>
    <x v="3"/>
    <x v="6"/>
    <x v="44"/>
    <x v="347"/>
    <x v="0"/>
    <x v="1"/>
    <x v="0"/>
    <x v="0"/>
    <x v="0"/>
    <x v="1"/>
    <x v="0"/>
    <x v="2"/>
    <x v="0"/>
    <x v="0"/>
    <x v="0"/>
  </r>
  <r>
    <x v="389"/>
    <x v="5"/>
    <x v="3"/>
    <x v="6"/>
    <x v="44"/>
    <x v="348"/>
    <x v="1"/>
    <x v="1"/>
    <x v="0"/>
    <x v="0"/>
    <x v="0"/>
    <x v="1"/>
    <x v="0"/>
    <x v="2"/>
    <x v="0"/>
    <x v="0"/>
    <x v="0"/>
  </r>
  <r>
    <x v="390"/>
    <x v="5"/>
    <x v="3"/>
    <x v="6"/>
    <x v="44"/>
    <x v="349"/>
    <x v="0"/>
    <x v="1"/>
    <x v="0"/>
    <x v="0"/>
    <x v="0"/>
    <x v="1"/>
    <x v="0"/>
    <x v="2"/>
    <x v="0"/>
    <x v="0"/>
    <x v="0"/>
  </r>
  <r>
    <x v="391"/>
    <x v="5"/>
    <x v="3"/>
    <x v="6"/>
    <x v="44"/>
    <x v="350"/>
    <x v="0"/>
    <x v="1"/>
    <x v="0"/>
    <x v="0"/>
    <x v="0"/>
    <x v="1"/>
    <x v="0"/>
    <x v="2"/>
    <x v="0"/>
    <x v="0"/>
    <x v="0"/>
  </r>
  <r>
    <x v="392"/>
    <x v="5"/>
    <x v="3"/>
    <x v="6"/>
    <x v="44"/>
    <x v="351"/>
    <x v="1"/>
    <x v="1"/>
    <x v="0"/>
    <x v="0"/>
    <x v="0"/>
    <x v="1"/>
    <x v="0"/>
    <x v="2"/>
    <x v="0"/>
    <x v="0"/>
    <x v="0"/>
  </r>
  <r>
    <x v="393"/>
    <x v="5"/>
    <x v="3"/>
    <x v="6"/>
    <x v="44"/>
    <x v="352"/>
    <x v="1"/>
    <x v="1"/>
    <x v="0"/>
    <x v="0"/>
    <x v="0"/>
    <x v="1"/>
    <x v="0"/>
    <x v="2"/>
    <x v="0"/>
    <x v="0"/>
    <x v="0"/>
  </r>
  <r>
    <x v="394"/>
    <x v="5"/>
    <x v="3"/>
    <x v="6"/>
    <x v="44"/>
    <x v="353"/>
    <x v="0"/>
    <x v="1"/>
    <x v="0"/>
    <x v="0"/>
    <x v="0"/>
    <x v="1"/>
    <x v="0"/>
    <x v="2"/>
    <x v="0"/>
    <x v="0"/>
    <x v="0"/>
  </r>
  <r>
    <x v="395"/>
    <x v="5"/>
    <x v="3"/>
    <x v="6"/>
    <x v="44"/>
    <x v="354"/>
    <x v="0"/>
    <x v="1"/>
    <x v="0"/>
    <x v="0"/>
    <x v="0"/>
    <x v="1"/>
    <x v="0"/>
    <x v="2"/>
    <x v="0"/>
    <x v="0"/>
    <x v="0"/>
  </r>
  <r>
    <x v="396"/>
    <x v="5"/>
    <x v="3"/>
    <x v="6"/>
    <x v="44"/>
    <x v="355"/>
    <x v="1"/>
    <x v="1"/>
    <x v="0"/>
    <x v="0"/>
    <x v="0"/>
    <x v="1"/>
    <x v="0"/>
    <x v="2"/>
    <x v="0"/>
    <x v="0"/>
    <x v="0"/>
  </r>
  <r>
    <x v="397"/>
    <x v="5"/>
    <x v="3"/>
    <x v="6"/>
    <x v="44"/>
    <x v="356"/>
    <x v="1"/>
    <x v="1"/>
    <x v="0"/>
    <x v="0"/>
    <x v="0"/>
    <x v="1"/>
    <x v="0"/>
    <x v="2"/>
    <x v="0"/>
    <x v="0"/>
    <x v="0"/>
  </r>
  <r>
    <x v="398"/>
    <x v="5"/>
    <x v="3"/>
    <x v="6"/>
    <x v="44"/>
    <x v="357"/>
    <x v="1"/>
    <x v="3"/>
    <x v="2"/>
    <x v="0"/>
    <x v="0"/>
    <x v="7"/>
    <x v="3"/>
    <x v="2"/>
    <x v="0"/>
    <x v="0"/>
    <x v="0"/>
  </r>
  <r>
    <x v="399"/>
    <x v="5"/>
    <x v="3"/>
    <x v="6"/>
    <x v="44"/>
    <x v="358"/>
    <x v="0"/>
    <x v="1"/>
    <x v="0"/>
    <x v="0"/>
    <x v="0"/>
    <x v="1"/>
    <x v="0"/>
    <x v="2"/>
    <x v="0"/>
    <x v="0"/>
    <x v="0"/>
  </r>
  <r>
    <x v="400"/>
    <x v="5"/>
    <x v="3"/>
    <x v="6"/>
    <x v="44"/>
    <x v="359"/>
    <x v="4"/>
    <x v="3"/>
    <x v="2"/>
    <x v="0"/>
    <x v="0"/>
    <x v="7"/>
    <x v="3"/>
    <x v="2"/>
    <x v="0"/>
    <x v="0"/>
    <x v="0"/>
  </r>
  <r>
    <x v="401"/>
    <x v="5"/>
    <x v="3"/>
    <x v="6"/>
    <x v="44"/>
    <x v="360"/>
    <x v="1"/>
    <x v="1"/>
    <x v="0"/>
    <x v="0"/>
    <x v="0"/>
    <x v="1"/>
    <x v="0"/>
    <x v="2"/>
    <x v="0"/>
    <x v="0"/>
    <x v="0"/>
  </r>
  <r>
    <x v="402"/>
    <x v="5"/>
    <x v="3"/>
    <x v="6"/>
    <x v="44"/>
    <x v="361"/>
    <x v="4"/>
    <x v="1"/>
    <x v="0"/>
    <x v="0"/>
    <x v="0"/>
    <x v="1"/>
    <x v="0"/>
    <x v="2"/>
    <x v="0"/>
    <x v="0"/>
    <x v="0"/>
  </r>
  <r>
    <x v="403"/>
    <x v="5"/>
    <x v="3"/>
    <x v="6"/>
    <x v="44"/>
    <x v="362"/>
    <x v="6"/>
    <x v="10"/>
    <x v="5"/>
    <x v="0"/>
    <x v="0"/>
    <x v="13"/>
    <x v="7"/>
    <x v="2"/>
    <x v="0"/>
    <x v="0"/>
    <x v="0"/>
  </r>
  <r>
    <x v="404"/>
    <x v="5"/>
    <x v="3"/>
    <x v="6"/>
    <x v="44"/>
    <x v="363"/>
    <x v="0"/>
    <x v="1"/>
    <x v="0"/>
    <x v="0"/>
    <x v="0"/>
    <x v="1"/>
    <x v="0"/>
    <x v="2"/>
    <x v="0"/>
    <x v="0"/>
    <x v="0"/>
  </r>
  <r>
    <x v="405"/>
    <x v="5"/>
    <x v="3"/>
    <x v="6"/>
    <x v="44"/>
    <x v="364"/>
    <x v="6"/>
    <x v="10"/>
    <x v="5"/>
    <x v="0"/>
    <x v="0"/>
    <x v="13"/>
    <x v="7"/>
    <x v="2"/>
    <x v="0"/>
    <x v="0"/>
    <x v="0"/>
  </r>
  <r>
    <x v="406"/>
    <x v="5"/>
    <x v="3"/>
    <x v="6"/>
    <x v="44"/>
    <x v="365"/>
    <x v="0"/>
    <x v="1"/>
    <x v="0"/>
    <x v="0"/>
    <x v="0"/>
    <x v="1"/>
    <x v="0"/>
    <x v="2"/>
    <x v="0"/>
    <x v="0"/>
    <x v="0"/>
  </r>
  <r>
    <x v="407"/>
    <x v="5"/>
    <x v="3"/>
    <x v="6"/>
    <x v="44"/>
    <x v="366"/>
    <x v="6"/>
    <x v="1"/>
    <x v="0"/>
    <x v="0"/>
    <x v="0"/>
    <x v="1"/>
    <x v="0"/>
    <x v="2"/>
    <x v="0"/>
    <x v="0"/>
    <x v="0"/>
  </r>
  <r>
    <x v="408"/>
    <x v="5"/>
    <x v="3"/>
    <x v="6"/>
    <x v="44"/>
    <x v="367"/>
    <x v="8"/>
    <x v="1"/>
    <x v="0"/>
    <x v="0"/>
    <x v="0"/>
    <x v="1"/>
    <x v="0"/>
    <x v="2"/>
    <x v="0"/>
    <x v="0"/>
    <x v="0"/>
  </r>
  <r>
    <x v="409"/>
    <x v="5"/>
    <x v="3"/>
    <x v="6"/>
    <x v="44"/>
    <x v="368"/>
    <x v="8"/>
    <x v="1"/>
    <x v="0"/>
    <x v="0"/>
    <x v="0"/>
    <x v="1"/>
    <x v="0"/>
    <x v="2"/>
    <x v="0"/>
    <x v="0"/>
    <x v="0"/>
  </r>
  <r>
    <x v="410"/>
    <x v="5"/>
    <x v="3"/>
    <x v="6"/>
    <x v="44"/>
    <x v="369"/>
    <x v="7"/>
    <x v="4"/>
    <x v="0"/>
    <x v="1"/>
    <x v="1"/>
    <x v="1"/>
    <x v="0"/>
    <x v="2"/>
    <x v="2"/>
    <x v="3"/>
    <x v="0"/>
  </r>
  <r>
    <x v="411"/>
    <x v="5"/>
    <x v="3"/>
    <x v="6"/>
    <x v="44"/>
    <x v="370"/>
    <x v="1"/>
    <x v="2"/>
    <x v="0"/>
    <x v="1"/>
    <x v="1"/>
    <x v="1"/>
    <x v="0"/>
    <x v="2"/>
    <x v="2"/>
    <x v="2"/>
    <x v="0"/>
  </r>
  <r>
    <x v="412"/>
    <x v="5"/>
    <x v="3"/>
    <x v="6"/>
    <x v="44"/>
    <x v="371"/>
    <x v="7"/>
    <x v="11"/>
    <x v="0"/>
    <x v="1"/>
    <x v="1"/>
    <x v="1"/>
    <x v="0"/>
    <x v="2"/>
    <x v="2"/>
    <x v="3"/>
    <x v="0"/>
  </r>
  <r>
    <x v="413"/>
    <x v="5"/>
    <x v="3"/>
    <x v="6"/>
    <x v="44"/>
    <x v="372"/>
    <x v="0"/>
    <x v="11"/>
    <x v="0"/>
    <x v="1"/>
    <x v="1"/>
    <x v="1"/>
    <x v="0"/>
    <x v="2"/>
    <x v="2"/>
    <x v="3"/>
    <x v="0"/>
  </r>
  <r>
    <x v="414"/>
    <x v="5"/>
    <x v="3"/>
    <x v="6"/>
    <x v="44"/>
    <x v="373"/>
    <x v="7"/>
    <x v="11"/>
    <x v="0"/>
    <x v="1"/>
    <x v="1"/>
    <x v="1"/>
    <x v="0"/>
    <x v="2"/>
    <x v="2"/>
    <x v="3"/>
    <x v="0"/>
  </r>
  <r>
    <x v="415"/>
    <x v="5"/>
    <x v="3"/>
    <x v="6"/>
    <x v="44"/>
    <x v="374"/>
    <x v="4"/>
    <x v="0"/>
    <x v="0"/>
    <x v="1"/>
    <x v="1"/>
    <x v="1"/>
    <x v="0"/>
    <x v="2"/>
    <x v="1"/>
    <x v="1"/>
    <x v="0"/>
  </r>
  <r>
    <x v="416"/>
    <x v="6"/>
    <x v="3"/>
    <x v="6"/>
    <x v="47"/>
    <x v="375"/>
    <x v="6"/>
    <x v="8"/>
    <x v="0"/>
    <x v="1"/>
    <x v="1"/>
    <x v="1"/>
    <x v="0"/>
    <x v="2"/>
    <x v="2"/>
    <x v="4"/>
    <x v="3"/>
  </r>
  <r>
    <x v="417"/>
    <x v="6"/>
    <x v="3"/>
    <x v="6"/>
    <x v="47"/>
    <x v="376"/>
    <x v="6"/>
    <x v="8"/>
    <x v="0"/>
    <x v="1"/>
    <x v="1"/>
    <x v="1"/>
    <x v="0"/>
    <x v="2"/>
    <x v="2"/>
    <x v="4"/>
    <x v="3"/>
  </r>
  <r>
    <x v="418"/>
    <x v="6"/>
    <x v="3"/>
    <x v="6"/>
    <x v="47"/>
    <x v="377"/>
    <x v="6"/>
    <x v="8"/>
    <x v="0"/>
    <x v="1"/>
    <x v="1"/>
    <x v="1"/>
    <x v="0"/>
    <x v="2"/>
    <x v="2"/>
    <x v="4"/>
    <x v="3"/>
  </r>
  <r>
    <x v="419"/>
    <x v="6"/>
    <x v="3"/>
    <x v="6"/>
    <x v="47"/>
    <x v="378"/>
    <x v="5"/>
    <x v="1"/>
    <x v="0"/>
    <x v="0"/>
    <x v="0"/>
    <x v="1"/>
    <x v="0"/>
    <x v="2"/>
    <x v="0"/>
    <x v="0"/>
    <x v="1"/>
  </r>
  <r>
    <x v="420"/>
    <x v="6"/>
    <x v="3"/>
    <x v="6"/>
    <x v="47"/>
    <x v="379"/>
    <x v="5"/>
    <x v="7"/>
    <x v="0"/>
    <x v="1"/>
    <x v="1"/>
    <x v="1"/>
    <x v="0"/>
    <x v="2"/>
    <x v="2"/>
    <x v="4"/>
    <x v="1"/>
  </r>
  <r>
    <x v="421"/>
    <x v="6"/>
    <x v="3"/>
    <x v="6"/>
    <x v="47"/>
    <x v="380"/>
    <x v="5"/>
    <x v="7"/>
    <x v="0"/>
    <x v="1"/>
    <x v="1"/>
    <x v="1"/>
    <x v="0"/>
    <x v="2"/>
    <x v="2"/>
    <x v="4"/>
    <x v="1"/>
  </r>
  <r>
    <x v="422"/>
    <x v="5"/>
    <x v="3"/>
    <x v="6"/>
    <x v="44"/>
    <x v="381"/>
    <x v="6"/>
    <x v="1"/>
    <x v="0"/>
    <x v="0"/>
    <x v="0"/>
    <x v="1"/>
    <x v="0"/>
    <x v="2"/>
    <x v="0"/>
    <x v="0"/>
    <x v="3"/>
  </r>
  <r>
    <x v="423"/>
    <x v="5"/>
    <x v="3"/>
    <x v="6"/>
    <x v="44"/>
    <x v="382"/>
    <x v="6"/>
    <x v="8"/>
    <x v="0"/>
    <x v="1"/>
    <x v="1"/>
    <x v="1"/>
    <x v="0"/>
    <x v="2"/>
    <x v="2"/>
    <x v="4"/>
    <x v="3"/>
  </r>
  <r>
    <x v="424"/>
    <x v="5"/>
    <x v="3"/>
    <x v="6"/>
    <x v="44"/>
    <x v="383"/>
    <x v="6"/>
    <x v="1"/>
    <x v="0"/>
    <x v="0"/>
    <x v="0"/>
    <x v="1"/>
    <x v="0"/>
    <x v="2"/>
    <x v="0"/>
    <x v="0"/>
    <x v="3"/>
  </r>
  <r>
    <x v="425"/>
    <x v="5"/>
    <x v="3"/>
    <x v="6"/>
    <x v="44"/>
    <x v="384"/>
    <x v="6"/>
    <x v="1"/>
    <x v="0"/>
    <x v="0"/>
    <x v="0"/>
    <x v="1"/>
    <x v="0"/>
    <x v="2"/>
    <x v="0"/>
    <x v="0"/>
    <x v="0"/>
  </r>
  <r>
    <x v="426"/>
    <x v="1"/>
    <x v="3"/>
    <x v="7"/>
    <x v="44"/>
    <x v="385"/>
    <x v="5"/>
    <x v="1"/>
    <x v="0"/>
    <x v="0"/>
    <x v="0"/>
    <x v="1"/>
    <x v="0"/>
    <x v="2"/>
    <x v="0"/>
    <x v="0"/>
    <x v="0"/>
  </r>
  <r>
    <x v="427"/>
    <x v="5"/>
    <x v="3"/>
    <x v="7"/>
    <x v="44"/>
    <x v="386"/>
    <x v="7"/>
    <x v="1"/>
    <x v="0"/>
    <x v="0"/>
    <x v="0"/>
    <x v="1"/>
    <x v="0"/>
    <x v="2"/>
    <x v="0"/>
    <x v="0"/>
    <x v="0"/>
  </r>
  <r>
    <x v="428"/>
    <x v="5"/>
    <x v="3"/>
    <x v="7"/>
    <x v="44"/>
    <x v="387"/>
    <x v="1"/>
    <x v="1"/>
    <x v="0"/>
    <x v="0"/>
    <x v="0"/>
    <x v="1"/>
    <x v="0"/>
    <x v="2"/>
    <x v="0"/>
    <x v="0"/>
    <x v="0"/>
  </r>
  <r>
    <x v="429"/>
    <x v="5"/>
    <x v="3"/>
    <x v="7"/>
    <x v="44"/>
    <x v="388"/>
    <x v="6"/>
    <x v="0"/>
    <x v="0"/>
    <x v="2"/>
    <x v="1"/>
    <x v="1"/>
    <x v="0"/>
    <x v="2"/>
    <x v="1"/>
    <x v="1"/>
    <x v="3"/>
  </r>
  <r>
    <x v="430"/>
    <x v="5"/>
    <x v="3"/>
    <x v="7"/>
    <x v="44"/>
    <x v="389"/>
    <x v="7"/>
    <x v="1"/>
    <x v="0"/>
    <x v="0"/>
    <x v="0"/>
    <x v="1"/>
    <x v="0"/>
    <x v="2"/>
    <x v="0"/>
    <x v="0"/>
    <x v="0"/>
  </r>
  <r>
    <x v="431"/>
    <x v="5"/>
    <x v="3"/>
    <x v="7"/>
    <x v="44"/>
    <x v="390"/>
    <x v="6"/>
    <x v="1"/>
    <x v="0"/>
    <x v="0"/>
    <x v="0"/>
    <x v="1"/>
    <x v="0"/>
    <x v="2"/>
    <x v="0"/>
    <x v="0"/>
    <x v="0"/>
  </r>
  <r>
    <x v="432"/>
    <x v="5"/>
    <x v="3"/>
    <x v="7"/>
    <x v="44"/>
    <x v="391"/>
    <x v="0"/>
    <x v="1"/>
    <x v="0"/>
    <x v="0"/>
    <x v="0"/>
    <x v="1"/>
    <x v="0"/>
    <x v="2"/>
    <x v="0"/>
    <x v="0"/>
    <x v="0"/>
  </r>
  <r>
    <x v="433"/>
    <x v="5"/>
    <x v="3"/>
    <x v="7"/>
    <x v="44"/>
    <x v="392"/>
    <x v="1"/>
    <x v="1"/>
    <x v="0"/>
    <x v="0"/>
    <x v="0"/>
    <x v="1"/>
    <x v="0"/>
    <x v="2"/>
    <x v="0"/>
    <x v="0"/>
    <x v="0"/>
  </r>
  <r>
    <x v="434"/>
    <x v="5"/>
    <x v="3"/>
    <x v="7"/>
    <x v="44"/>
    <x v="393"/>
    <x v="1"/>
    <x v="1"/>
    <x v="0"/>
    <x v="0"/>
    <x v="0"/>
    <x v="1"/>
    <x v="0"/>
    <x v="2"/>
    <x v="0"/>
    <x v="0"/>
    <x v="0"/>
  </r>
  <r>
    <x v="435"/>
    <x v="5"/>
    <x v="3"/>
    <x v="7"/>
    <x v="44"/>
    <x v="394"/>
    <x v="0"/>
    <x v="1"/>
    <x v="0"/>
    <x v="0"/>
    <x v="0"/>
    <x v="1"/>
    <x v="0"/>
    <x v="2"/>
    <x v="0"/>
    <x v="0"/>
    <x v="0"/>
  </r>
  <r>
    <x v="436"/>
    <x v="5"/>
    <x v="3"/>
    <x v="7"/>
    <x v="44"/>
    <x v="395"/>
    <x v="1"/>
    <x v="1"/>
    <x v="0"/>
    <x v="0"/>
    <x v="0"/>
    <x v="1"/>
    <x v="0"/>
    <x v="2"/>
    <x v="0"/>
    <x v="0"/>
    <x v="0"/>
  </r>
  <r>
    <x v="437"/>
    <x v="5"/>
    <x v="3"/>
    <x v="7"/>
    <x v="44"/>
    <x v="396"/>
    <x v="0"/>
    <x v="10"/>
    <x v="5"/>
    <x v="0"/>
    <x v="0"/>
    <x v="6"/>
    <x v="2"/>
    <x v="2"/>
    <x v="0"/>
    <x v="0"/>
    <x v="0"/>
  </r>
  <r>
    <x v="438"/>
    <x v="5"/>
    <x v="3"/>
    <x v="7"/>
    <x v="44"/>
    <x v="397"/>
    <x v="1"/>
    <x v="1"/>
    <x v="0"/>
    <x v="0"/>
    <x v="0"/>
    <x v="1"/>
    <x v="0"/>
    <x v="2"/>
    <x v="0"/>
    <x v="0"/>
    <x v="0"/>
  </r>
  <r>
    <x v="439"/>
    <x v="5"/>
    <x v="3"/>
    <x v="7"/>
    <x v="44"/>
    <x v="398"/>
    <x v="1"/>
    <x v="1"/>
    <x v="0"/>
    <x v="0"/>
    <x v="0"/>
    <x v="1"/>
    <x v="0"/>
    <x v="2"/>
    <x v="0"/>
    <x v="0"/>
    <x v="0"/>
  </r>
  <r>
    <x v="440"/>
    <x v="5"/>
    <x v="3"/>
    <x v="7"/>
    <x v="44"/>
    <x v="399"/>
    <x v="1"/>
    <x v="1"/>
    <x v="0"/>
    <x v="0"/>
    <x v="0"/>
    <x v="1"/>
    <x v="0"/>
    <x v="2"/>
    <x v="0"/>
    <x v="0"/>
    <x v="0"/>
  </r>
  <r>
    <x v="441"/>
    <x v="5"/>
    <x v="3"/>
    <x v="7"/>
    <x v="44"/>
    <x v="400"/>
    <x v="1"/>
    <x v="1"/>
    <x v="0"/>
    <x v="0"/>
    <x v="0"/>
    <x v="1"/>
    <x v="0"/>
    <x v="2"/>
    <x v="0"/>
    <x v="0"/>
    <x v="0"/>
  </r>
  <r>
    <x v="442"/>
    <x v="5"/>
    <x v="3"/>
    <x v="7"/>
    <x v="44"/>
    <x v="401"/>
    <x v="0"/>
    <x v="1"/>
    <x v="0"/>
    <x v="0"/>
    <x v="0"/>
    <x v="1"/>
    <x v="0"/>
    <x v="2"/>
    <x v="0"/>
    <x v="0"/>
    <x v="0"/>
  </r>
  <r>
    <x v="443"/>
    <x v="5"/>
    <x v="3"/>
    <x v="7"/>
    <x v="44"/>
    <x v="402"/>
    <x v="7"/>
    <x v="6"/>
    <x v="1"/>
    <x v="0"/>
    <x v="0"/>
    <x v="3"/>
    <x v="0"/>
    <x v="2"/>
    <x v="0"/>
    <x v="0"/>
    <x v="0"/>
  </r>
  <r>
    <x v="444"/>
    <x v="5"/>
    <x v="3"/>
    <x v="7"/>
    <x v="44"/>
    <x v="403"/>
    <x v="6"/>
    <x v="1"/>
    <x v="0"/>
    <x v="0"/>
    <x v="0"/>
    <x v="1"/>
    <x v="0"/>
    <x v="2"/>
    <x v="0"/>
    <x v="0"/>
    <x v="0"/>
  </r>
  <r>
    <x v="445"/>
    <x v="5"/>
    <x v="3"/>
    <x v="7"/>
    <x v="44"/>
    <x v="404"/>
    <x v="6"/>
    <x v="0"/>
    <x v="0"/>
    <x v="1"/>
    <x v="1"/>
    <x v="1"/>
    <x v="0"/>
    <x v="2"/>
    <x v="1"/>
    <x v="1"/>
    <x v="3"/>
  </r>
  <r>
    <x v="446"/>
    <x v="5"/>
    <x v="3"/>
    <x v="7"/>
    <x v="44"/>
    <x v="405"/>
    <x v="1"/>
    <x v="1"/>
    <x v="1"/>
    <x v="0"/>
    <x v="0"/>
    <x v="3"/>
    <x v="0"/>
    <x v="2"/>
    <x v="0"/>
    <x v="0"/>
    <x v="0"/>
  </r>
  <r>
    <x v="447"/>
    <x v="5"/>
    <x v="3"/>
    <x v="7"/>
    <x v="44"/>
    <x v="406"/>
    <x v="1"/>
    <x v="1"/>
    <x v="0"/>
    <x v="0"/>
    <x v="0"/>
    <x v="1"/>
    <x v="0"/>
    <x v="2"/>
    <x v="0"/>
    <x v="0"/>
    <x v="0"/>
  </r>
  <r>
    <x v="448"/>
    <x v="5"/>
    <x v="3"/>
    <x v="7"/>
    <x v="44"/>
    <x v="407"/>
    <x v="0"/>
    <x v="1"/>
    <x v="0"/>
    <x v="0"/>
    <x v="0"/>
    <x v="1"/>
    <x v="0"/>
    <x v="2"/>
    <x v="0"/>
    <x v="0"/>
    <x v="0"/>
  </r>
  <r>
    <x v="449"/>
    <x v="5"/>
    <x v="3"/>
    <x v="7"/>
    <x v="44"/>
    <x v="408"/>
    <x v="0"/>
    <x v="1"/>
    <x v="0"/>
    <x v="0"/>
    <x v="0"/>
    <x v="1"/>
    <x v="0"/>
    <x v="2"/>
    <x v="0"/>
    <x v="0"/>
    <x v="0"/>
  </r>
  <r>
    <x v="450"/>
    <x v="5"/>
    <x v="3"/>
    <x v="7"/>
    <x v="44"/>
    <x v="409"/>
    <x v="1"/>
    <x v="1"/>
    <x v="0"/>
    <x v="0"/>
    <x v="0"/>
    <x v="1"/>
    <x v="0"/>
    <x v="2"/>
    <x v="0"/>
    <x v="0"/>
    <x v="0"/>
  </r>
  <r>
    <x v="451"/>
    <x v="5"/>
    <x v="3"/>
    <x v="7"/>
    <x v="44"/>
    <x v="410"/>
    <x v="0"/>
    <x v="1"/>
    <x v="0"/>
    <x v="0"/>
    <x v="0"/>
    <x v="1"/>
    <x v="0"/>
    <x v="2"/>
    <x v="0"/>
    <x v="0"/>
    <x v="0"/>
  </r>
  <r>
    <x v="452"/>
    <x v="5"/>
    <x v="3"/>
    <x v="7"/>
    <x v="44"/>
    <x v="411"/>
    <x v="4"/>
    <x v="1"/>
    <x v="0"/>
    <x v="0"/>
    <x v="0"/>
    <x v="1"/>
    <x v="0"/>
    <x v="2"/>
    <x v="0"/>
    <x v="0"/>
    <x v="0"/>
  </r>
  <r>
    <x v="453"/>
    <x v="5"/>
    <x v="3"/>
    <x v="7"/>
    <x v="44"/>
    <x v="412"/>
    <x v="6"/>
    <x v="1"/>
    <x v="0"/>
    <x v="0"/>
    <x v="0"/>
    <x v="1"/>
    <x v="0"/>
    <x v="2"/>
    <x v="0"/>
    <x v="0"/>
    <x v="0"/>
  </r>
  <r>
    <x v="454"/>
    <x v="5"/>
    <x v="3"/>
    <x v="7"/>
    <x v="44"/>
    <x v="413"/>
    <x v="6"/>
    <x v="0"/>
    <x v="0"/>
    <x v="1"/>
    <x v="1"/>
    <x v="1"/>
    <x v="0"/>
    <x v="2"/>
    <x v="1"/>
    <x v="1"/>
    <x v="3"/>
  </r>
  <r>
    <x v="455"/>
    <x v="5"/>
    <x v="3"/>
    <x v="7"/>
    <x v="44"/>
    <x v="414"/>
    <x v="6"/>
    <x v="1"/>
    <x v="0"/>
    <x v="0"/>
    <x v="0"/>
    <x v="1"/>
    <x v="0"/>
    <x v="2"/>
    <x v="0"/>
    <x v="0"/>
    <x v="0"/>
  </r>
  <r>
    <x v="456"/>
    <x v="5"/>
    <x v="3"/>
    <x v="7"/>
    <x v="44"/>
    <x v="415"/>
    <x v="6"/>
    <x v="1"/>
    <x v="0"/>
    <x v="0"/>
    <x v="0"/>
    <x v="1"/>
    <x v="0"/>
    <x v="2"/>
    <x v="0"/>
    <x v="0"/>
    <x v="0"/>
  </r>
  <r>
    <x v="457"/>
    <x v="5"/>
    <x v="3"/>
    <x v="7"/>
    <x v="44"/>
    <x v="416"/>
    <x v="7"/>
    <x v="4"/>
    <x v="0"/>
    <x v="0"/>
    <x v="0"/>
    <x v="5"/>
    <x v="0"/>
    <x v="2"/>
    <x v="0"/>
    <x v="0"/>
    <x v="0"/>
  </r>
  <r>
    <x v="458"/>
    <x v="5"/>
    <x v="3"/>
    <x v="7"/>
    <x v="44"/>
    <x v="417"/>
    <x v="7"/>
    <x v="4"/>
    <x v="0"/>
    <x v="1"/>
    <x v="1"/>
    <x v="1"/>
    <x v="0"/>
    <x v="2"/>
    <x v="2"/>
    <x v="3"/>
    <x v="0"/>
  </r>
  <r>
    <x v="459"/>
    <x v="5"/>
    <x v="3"/>
    <x v="7"/>
    <x v="44"/>
    <x v="418"/>
    <x v="7"/>
    <x v="12"/>
    <x v="0"/>
    <x v="0"/>
    <x v="0"/>
    <x v="5"/>
    <x v="0"/>
    <x v="2"/>
    <x v="0"/>
    <x v="0"/>
    <x v="0"/>
  </r>
  <r>
    <x v="460"/>
    <x v="6"/>
    <x v="3"/>
    <x v="7"/>
    <x v="47"/>
    <x v="419"/>
    <x v="6"/>
    <x v="3"/>
    <x v="2"/>
    <x v="0"/>
    <x v="0"/>
    <x v="13"/>
    <x v="7"/>
    <x v="2"/>
    <x v="0"/>
    <x v="0"/>
    <x v="0"/>
  </r>
  <r>
    <x v="461"/>
    <x v="5"/>
    <x v="3"/>
    <x v="7"/>
    <x v="44"/>
    <x v="420"/>
    <x v="1"/>
    <x v="6"/>
    <x v="0"/>
    <x v="1"/>
    <x v="1"/>
    <x v="1"/>
    <x v="0"/>
    <x v="2"/>
    <x v="2"/>
    <x v="3"/>
    <x v="0"/>
  </r>
  <r>
    <x v="462"/>
    <x v="5"/>
    <x v="3"/>
    <x v="7"/>
    <x v="44"/>
    <x v="421"/>
    <x v="1"/>
    <x v="6"/>
    <x v="0"/>
    <x v="0"/>
    <x v="0"/>
    <x v="5"/>
    <x v="0"/>
    <x v="2"/>
    <x v="0"/>
    <x v="0"/>
    <x v="0"/>
  </r>
  <r>
    <x v="463"/>
    <x v="5"/>
    <x v="3"/>
    <x v="7"/>
    <x v="44"/>
    <x v="422"/>
    <x v="0"/>
    <x v="1"/>
    <x v="0"/>
    <x v="1"/>
    <x v="1"/>
    <x v="1"/>
    <x v="0"/>
    <x v="2"/>
    <x v="2"/>
    <x v="3"/>
    <x v="0"/>
  </r>
  <r>
    <x v="464"/>
    <x v="5"/>
    <x v="3"/>
    <x v="7"/>
    <x v="44"/>
    <x v="423"/>
    <x v="4"/>
    <x v="0"/>
    <x v="0"/>
    <x v="1"/>
    <x v="1"/>
    <x v="1"/>
    <x v="0"/>
    <x v="2"/>
    <x v="1"/>
    <x v="1"/>
    <x v="0"/>
  </r>
  <r>
    <x v="465"/>
    <x v="5"/>
    <x v="3"/>
    <x v="7"/>
    <x v="44"/>
    <x v="424"/>
    <x v="4"/>
    <x v="0"/>
    <x v="0"/>
    <x v="1"/>
    <x v="1"/>
    <x v="1"/>
    <x v="0"/>
    <x v="2"/>
    <x v="1"/>
    <x v="1"/>
    <x v="0"/>
  </r>
  <r>
    <x v="466"/>
    <x v="6"/>
    <x v="3"/>
    <x v="7"/>
    <x v="47"/>
    <x v="425"/>
    <x v="5"/>
    <x v="7"/>
    <x v="0"/>
    <x v="1"/>
    <x v="1"/>
    <x v="1"/>
    <x v="0"/>
    <x v="2"/>
    <x v="2"/>
    <x v="4"/>
    <x v="1"/>
  </r>
  <r>
    <x v="467"/>
    <x v="6"/>
    <x v="3"/>
    <x v="7"/>
    <x v="47"/>
    <x v="426"/>
    <x v="5"/>
    <x v="1"/>
    <x v="0"/>
    <x v="0"/>
    <x v="0"/>
    <x v="1"/>
    <x v="0"/>
    <x v="2"/>
    <x v="0"/>
    <x v="0"/>
    <x v="1"/>
  </r>
  <r>
    <x v="468"/>
    <x v="5"/>
    <x v="3"/>
    <x v="7"/>
    <x v="44"/>
    <x v="427"/>
    <x v="6"/>
    <x v="1"/>
    <x v="0"/>
    <x v="0"/>
    <x v="0"/>
    <x v="1"/>
    <x v="0"/>
    <x v="2"/>
    <x v="0"/>
    <x v="0"/>
    <x v="3"/>
  </r>
  <r>
    <x v="469"/>
    <x v="5"/>
    <x v="3"/>
    <x v="7"/>
    <x v="44"/>
    <x v="428"/>
    <x v="6"/>
    <x v="0"/>
    <x v="0"/>
    <x v="1"/>
    <x v="1"/>
    <x v="1"/>
    <x v="0"/>
    <x v="2"/>
    <x v="1"/>
    <x v="1"/>
    <x v="0"/>
  </r>
  <r>
    <x v="470"/>
    <x v="5"/>
    <x v="3"/>
    <x v="8"/>
    <x v="44"/>
    <x v="429"/>
    <x v="7"/>
    <x v="0"/>
    <x v="0"/>
    <x v="0"/>
    <x v="0"/>
    <x v="11"/>
    <x v="0"/>
    <x v="2"/>
    <x v="0"/>
    <x v="0"/>
    <x v="0"/>
  </r>
  <r>
    <x v="471"/>
    <x v="5"/>
    <x v="3"/>
    <x v="8"/>
    <x v="44"/>
    <x v="430"/>
    <x v="1"/>
    <x v="0"/>
    <x v="0"/>
    <x v="1"/>
    <x v="1"/>
    <x v="1"/>
    <x v="0"/>
    <x v="2"/>
    <x v="1"/>
    <x v="1"/>
    <x v="0"/>
  </r>
  <r>
    <x v="472"/>
    <x v="5"/>
    <x v="3"/>
    <x v="8"/>
    <x v="44"/>
    <x v="431"/>
    <x v="1"/>
    <x v="0"/>
    <x v="0"/>
    <x v="0"/>
    <x v="0"/>
    <x v="8"/>
    <x v="0"/>
    <x v="2"/>
    <x v="0"/>
    <x v="0"/>
    <x v="0"/>
  </r>
  <r>
    <x v="473"/>
    <x v="3"/>
    <x v="3"/>
    <x v="8"/>
    <x v="52"/>
    <x v="11"/>
    <x v="4"/>
    <x v="1"/>
    <x v="0"/>
    <x v="0"/>
    <x v="0"/>
    <x v="1"/>
    <x v="0"/>
    <x v="2"/>
    <x v="0"/>
    <x v="0"/>
    <x v="0"/>
  </r>
  <r>
    <x v="474"/>
    <x v="2"/>
    <x v="3"/>
    <x v="8"/>
    <x v="53"/>
    <x v="432"/>
    <x v="3"/>
    <x v="1"/>
    <x v="0"/>
    <x v="0"/>
    <x v="0"/>
    <x v="1"/>
    <x v="0"/>
    <x v="2"/>
    <x v="0"/>
    <x v="0"/>
    <x v="0"/>
  </r>
  <r>
    <x v="475"/>
    <x v="1"/>
    <x v="3"/>
    <x v="8"/>
    <x v="44"/>
    <x v="433"/>
    <x v="5"/>
    <x v="1"/>
    <x v="0"/>
    <x v="0"/>
    <x v="0"/>
    <x v="1"/>
    <x v="0"/>
    <x v="2"/>
    <x v="0"/>
    <x v="0"/>
    <x v="0"/>
  </r>
  <r>
    <x v="476"/>
    <x v="5"/>
    <x v="3"/>
    <x v="8"/>
    <x v="44"/>
    <x v="434"/>
    <x v="0"/>
    <x v="1"/>
    <x v="0"/>
    <x v="0"/>
    <x v="0"/>
    <x v="1"/>
    <x v="0"/>
    <x v="2"/>
    <x v="0"/>
    <x v="0"/>
    <x v="0"/>
  </r>
  <r>
    <x v="477"/>
    <x v="5"/>
    <x v="3"/>
    <x v="8"/>
    <x v="44"/>
    <x v="435"/>
    <x v="0"/>
    <x v="10"/>
    <x v="5"/>
    <x v="0"/>
    <x v="0"/>
    <x v="6"/>
    <x v="2"/>
    <x v="2"/>
    <x v="0"/>
    <x v="0"/>
    <x v="0"/>
  </r>
  <r>
    <x v="478"/>
    <x v="5"/>
    <x v="3"/>
    <x v="8"/>
    <x v="44"/>
    <x v="436"/>
    <x v="7"/>
    <x v="1"/>
    <x v="0"/>
    <x v="0"/>
    <x v="0"/>
    <x v="1"/>
    <x v="0"/>
    <x v="2"/>
    <x v="0"/>
    <x v="0"/>
    <x v="0"/>
  </r>
  <r>
    <x v="479"/>
    <x v="5"/>
    <x v="3"/>
    <x v="8"/>
    <x v="44"/>
    <x v="437"/>
    <x v="0"/>
    <x v="1"/>
    <x v="0"/>
    <x v="0"/>
    <x v="0"/>
    <x v="1"/>
    <x v="0"/>
    <x v="2"/>
    <x v="0"/>
    <x v="0"/>
    <x v="0"/>
  </r>
  <r>
    <x v="480"/>
    <x v="5"/>
    <x v="3"/>
    <x v="8"/>
    <x v="44"/>
    <x v="438"/>
    <x v="0"/>
    <x v="1"/>
    <x v="0"/>
    <x v="0"/>
    <x v="0"/>
    <x v="1"/>
    <x v="0"/>
    <x v="2"/>
    <x v="0"/>
    <x v="0"/>
    <x v="0"/>
  </r>
  <r>
    <x v="481"/>
    <x v="5"/>
    <x v="3"/>
    <x v="8"/>
    <x v="44"/>
    <x v="439"/>
    <x v="0"/>
    <x v="1"/>
    <x v="0"/>
    <x v="0"/>
    <x v="0"/>
    <x v="1"/>
    <x v="0"/>
    <x v="2"/>
    <x v="0"/>
    <x v="0"/>
    <x v="0"/>
  </r>
  <r>
    <x v="482"/>
    <x v="5"/>
    <x v="3"/>
    <x v="8"/>
    <x v="44"/>
    <x v="440"/>
    <x v="0"/>
    <x v="1"/>
    <x v="0"/>
    <x v="0"/>
    <x v="0"/>
    <x v="1"/>
    <x v="0"/>
    <x v="2"/>
    <x v="0"/>
    <x v="0"/>
    <x v="0"/>
  </r>
  <r>
    <x v="483"/>
    <x v="5"/>
    <x v="3"/>
    <x v="8"/>
    <x v="44"/>
    <x v="441"/>
    <x v="0"/>
    <x v="1"/>
    <x v="0"/>
    <x v="0"/>
    <x v="0"/>
    <x v="1"/>
    <x v="0"/>
    <x v="2"/>
    <x v="0"/>
    <x v="0"/>
    <x v="0"/>
  </r>
  <r>
    <x v="484"/>
    <x v="5"/>
    <x v="3"/>
    <x v="8"/>
    <x v="44"/>
    <x v="442"/>
    <x v="7"/>
    <x v="1"/>
    <x v="0"/>
    <x v="0"/>
    <x v="0"/>
    <x v="1"/>
    <x v="0"/>
    <x v="2"/>
    <x v="0"/>
    <x v="0"/>
    <x v="0"/>
  </r>
  <r>
    <x v="485"/>
    <x v="5"/>
    <x v="3"/>
    <x v="8"/>
    <x v="44"/>
    <x v="443"/>
    <x v="0"/>
    <x v="1"/>
    <x v="0"/>
    <x v="0"/>
    <x v="0"/>
    <x v="1"/>
    <x v="0"/>
    <x v="2"/>
    <x v="0"/>
    <x v="0"/>
    <x v="0"/>
  </r>
  <r>
    <x v="486"/>
    <x v="5"/>
    <x v="3"/>
    <x v="8"/>
    <x v="44"/>
    <x v="444"/>
    <x v="0"/>
    <x v="1"/>
    <x v="0"/>
    <x v="0"/>
    <x v="0"/>
    <x v="1"/>
    <x v="0"/>
    <x v="2"/>
    <x v="0"/>
    <x v="0"/>
    <x v="0"/>
  </r>
  <r>
    <x v="487"/>
    <x v="5"/>
    <x v="3"/>
    <x v="8"/>
    <x v="44"/>
    <x v="445"/>
    <x v="0"/>
    <x v="1"/>
    <x v="0"/>
    <x v="0"/>
    <x v="0"/>
    <x v="1"/>
    <x v="0"/>
    <x v="2"/>
    <x v="0"/>
    <x v="0"/>
    <x v="0"/>
  </r>
  <r>
    <x v="488"/>
    <x v="5"/>
    <x v="3"/>
    <x v="8"/>
    <x v="44"/>
    <x v="446"/>
    <x v="7"/>
    <x v="1"/>
    <x v="0"/>
    <x v="0"/>
    <x v="0"/>
    <x v="1"/>
    <x v="0"/>
    <x v="2"/>
    <x v="0"/>
    <x v="0"/>
    <x v="0"/>
  </r>
  <r>
    <x v="489"/>
    <x v="5"/>
    <x v="3"/>
    <x v="8"/>
    <x v="44"/>
    <x v="447"/>
    <x v="1"/>
    <x v="1"/>
    <x v="0"/>
    <x v="0"/>
    <x v="0"/>
    <x v="1"/>
    <x v="0"/>
    <x v="2"/>
    <x v="0"/>
    <x v="0"/>
    <x v="0"/>
  </r>
  <r>
    <x v="490"/>
    <x v="5"/>
    <x v="3"/>
    <x v="8"/>
    <x v="44"/>
    <x v="448"/>
    <x v="1"/>
    <x v="1"/>
    <x v="0"/>
    <x v="0"/>
    <x v="0"/>
    <x v="1"/>
    <x v="0"/>
    <x v="2"/>
    <x v="0"/>
    <x v="0"/>
    <x v="0"/>
  </r>
  <r>
    <x v="491"/>
    <x v="5"/>
    <x v="3"/>
    <x v="8"/>
    <x v="44"/>
    <x v="449"/>
    <x v="0"/>
    <x v="1"/>
    <x v="0"/>
    <x v="0"/>
    <x v="0"/>
    <x v="1"/>
    <x v="0"/>
    <x v="2"/>
    <x v="0"/>
    <x v="0"/>
    <x v="0"/>
  </r>
  <r>
    <x v="492"/>
    <x v="5"/>
    <x v="3"/>
    <x v="8"/>
    <x v="44"/>
    <x v="450"/>
    <x v="2"/>
    <x v="1"/>
    <x v="0"/>
    <x v="0"/>
    <x v="0"/>
    <x v="1"/>
    <x v="0"/>
    <x v="2"/>
    <x v="0"/>
    <x v="0"/>
    <x v="0"/>
  </r>
  <r>
    <x v="493"/>
    <x v="5"/>
    <x v="3"/>
    <x v="8"/>
    <x v="44"/>
    <x v="451"/>
    <x v="1"/>
    <x v="1"/>
    <x v="0"/>
    <x v="0"/>
    <x v="0"/>
    <x v="1"/>
    <x v="0"/>
    <x v="2"/>
    <x v="0"/>
    <x v="0"/>
    <x v="0"/>
  </r>
  <r>
    <x v="494"/>
    <x v="5"/>
    <x v="3"/>
    <x v="8"/>
    <x v="44"/>
    <x v="452"/>
    <x v="1"/>
    <x v="1"/>
    <x v="0"/>
    <x v="0"/>
    <x v="0"/>
    <x v="1"/>
    <x v="0"/>
    <x v="2"/>
    <x v="0"/>
    <x v="0"/>
    <x v="0"/>
  </r>
  <r>
    <x v="495"/>
    <x v="5"/>
    <x v="3"/>
    <x v="8"/>
    <x v="44"/>
    <x v="453"/>
    <x v="1"/>
    <x v="1"/>
    <x v="0"/>
    <x v="0"/>
    <x v="0"/>
    <x v="1"/>
    <x v="0"/>
    <x v="2"/>
    <x v="0"/>
    <x v="0"/>
    <x v="0"/>
  </r>
  <r>
    <x v="496"/>
    <x v="5"/>
    <x v="3"/>
    <x v="8"/>
    <x v="44"/>
    <x v="454"/>
    <x v="1"/>
    <x v="1"/>
    <x v="0"/>
    <x v="0"/>
    <x v="0"/>
    <x v="1"/>
    <x v="0"/>
    <x v="2"/>
    <x v="0"/>
    <x v="0"/>
    <x v="0"/>
  </r>
  <r>
    <x v="497"/>
    <x v="5"/>
    <x v="3"/>
    <x v="8"/>
    <x v="44"/>
    <x v="455"/>
    <x v="1"/>
    <x v="1"/>
    <x v="0"/>
    <x v="0"/>
    <x v="0"/>
    <x v="1"/>
    <x v="0"/>
    <x v="2"/>
    <x v="0"/>
    <x v="0"/>
    <x v="0"/>
  </r>
  <r>
    <x v="498"/>
    <x v="5"/>
    <x v="3"/>
    <x v="8"/>
    <x v="44"/>
    <x v="456"/>
    <x v="0"/>
    <x v="1"/>
    <x v="0"/>
    <x v="0"/>
    <x v="0"/>
    <x v="1"/>
    <x v="0"/>
    <x v="2"/>
    <x v="0"/>
    <x v="0"/>
    <x v="0"/>
  </r>
  <r>
    <x v="499"/>
    <x v="5"/>
    <x v="3"/>
    <x v="8"/>
    <x v="44"/>
    <x v="457"/>
    <x v="0"/>
    <x v="1"/>
    <x v="0"/>
    <x v="0"/>
    <x v="0"/>
    <x v="1"/>
    <x v="0"/>
    <x v="2"/>
    <x v="0"/>
    <x v="0"/>
    <x v="0"/>
  </r>
  <r>
    <x v="500"/>
    <x v="5"/>
    <x v="3"/>
    <x v="8"/>
    <x v="44"/>
    <x v="458"/>
    <x v="0"/>
    <x v="1"/>
    <x v="0"/>
    <x v="0"/>
    <x v="0"/>
    <x v="1"/>
    <x v="0"/>
    <x v="2"/>
    <x v="0"/>
    <x v="0"/>
    <x v="0"/>
  </r>
  <r>
    <x v="501"/>
    <x v="5"/>
    <x v="3"/>
    <x v="8"/>
    <x v="44"/>
    <x v="459"/>
    <x v="1"/>
    <x v="1"/>
    <x v="0"/>
    <x v="0"/>
    <x v="0"/>
    <x v="1"/>
    <x v="0"/>
    <x v="2"/>
    <x v="0"/>
    <x v="0"/>
    <x v="0"/>
  </r>
  <r>
    <x v="502"/>
    <x v="5"/>
    <x v="3"/>
    <x v="8"/>
    <x v="44"/>
    <x v="460"/>
    <x v="0"/>
    <x v="1"/>
    <x v="0"/>
    <x v="0"/>
    <x v="0"/>
    <x v="1"/>
    <x v="0"/>
    <x v="2"/>
    <x v="0"/>
    <x v="0"/>
    <x v="0"/>
  </r>
  <r>
    <x v="503"/>
    <x v="5"/>
    <x v="3"/>
    <x v="8"/>
    <x v="44"/>
    <x v="461"/>
    <x v="1"/>
    <x v="1"/>
    <x v="0"/>
    <x v="0"/>
    <x v="0"/>
    <x v="1"/>
    <x v="0"/>
    <x v="2"/>
    <x v="0"/>
    <x v="0"/>
    <x v="0"/>
  </r>
  <r>
    <x v="504"/>
    <x v="5"/>
    <x v="3"/>
    <x v="8"/>
    <x v="44"/>
    <x v="462"/>
    <x v="1"/>
    <x v="1"/>
    <x v="0"/>
    <x v="0"/>
    <x v="0"/>
    <x v="1"/>
    <x v="0"/>
    <x v="2"/>
    <x v="0"/>
    <x v="0"/>
    <x v="0"/>
  </r>
  <r>
    <x v="505"/>
    <x v="5"/>
    <x v="3"/>
    <x v="8"/>
    <x v="44"/>
    <x v="463"/>
    <x v="0"/>
    <x v="1"/>
    <x v="0"/>
    <x v="0"/>
    <x v="0"/>
    <x v="1"/>
    <x v="0"/>
    <x v="2"/>
    <x v="0"/>
    <x v="0"/>
    <x v="0"/>
  </r>
  <r>
    <x v="506"/>
    <x v="5"/>
    <x v="3"/>
    <x v="8"/>
    <x v="44"/>
    <x v="464"/>
    <x v="6"/>
    <x v="1"/>
    <x v="0"/>
    <x v="0"/>
    <x v="0"/>
    <x v="1"/>
    <x v="0"/>
    <x v="2"/>
    <x v="0"/>
    <x v="0"/>
    <x v="0"/>
  </r>
  <r>
    <x v="507"/>
    <x v="5"/>
    <x v="3"/>
    <x v="8"/>
    <x v="44"/>
    <x v="465"/>
    <x v="6"/>
    <x v="1"/>
    <x v="0"/>
    <x v="0"/>
    <x v="0"/>
    <x v="1"/>
    <x v="0"/>
    <x v="2"/>
    <x v="0"/>
    <x v="0"/>
    <x v="0"/>
  </r>
  <r>
    <x v="508"/>
    <x v="5"/>
    <x v="3"/>
    <x v="8"/>
    <x v="44"/>
    <x v="466"/>
    <x v="6"/>
    <x v="1"/>
    <x v="0"/>
    <x v="0"/>
    <x v="0"/>
    <x v="1"/>
    <x v="0"/>
    <x v="2"/>
    <x v="0"/>
    <x v="0"/>
    <x v="0"/>
  </r>
  <r>
    <x v="509"/>
    <x v="5"/>
    <x v="3"/>
    <x v="8"/>
    <x v="44"/>
    <x v="467"/>
    <x v="0"/>
    <x v="1"/>
    <x v="0"/>
    <x v="0"/>
    <x v="0"/>
    <x v="1"/>
    <x v="0"/>
    <x v="2"/>
    <x v="0"/>
    <x v="0"/>
    <x v="0"/>
  </r>
  <r>
    <x v="510"/>
    <x v="5"/>
    <x v="3"/>
    <x v="8"/>
    <x v="44"/>
    <x v="468"/>
    <x v="0"/>
    <x v="1"/>
    <x v="0"/>
    <x v="0"/>
    <x v="0"/>
    <x v="1"/>
    <x v="0"/>
    <x v="2"/>
    <x v="0"/>
    <x v="0"/>
    <x v="0"/>
  </r>
  <r>
    <x v="511"/>
    <x v="5"/>
    <x v="3"/>
    <x v="8"/>
    <x v="44"/>
    <x v="469"/>
    <x v="1"/>
    <x v="6"/>
    <x v="0"/>
    <x v="1"/>
    <x v="1"/>
    <x v="1"/>
    <x v="0"/>
    <x v="2"/>
    <x v="2"/>
    <x v="3"/>
    <x v="0"/>
  </r>
  <r>
    <x v="512"/>
    <x v="5"/>
    <x v="3"/>
    <x v="8"/>
    <x v="44"/>
    <x v="470"/>
    <x v="7"/>
    <x v="11"/>
    <x v="0"/>
    <x v="1"/>
    <x v="1"/>
    <x v="1"/>
    <x v="0"/>
    <x v="2"/>
    <x v="2"/>
    <x v="3"/>
    <x v="0"/>
  </r>
  <r>
    <x v="513"/>
    <x v="5"/>
    <x v="3"/>
    <x v="8"/>
    <x v="44"/>
    <x v="471"/>
    <x v="7"/>
    <x v="11"/>
    <x v="0"/>
    <x v="1"/>
    <x v="1"/>
    <x v="1"/>
    <x v="0"/>
    <x v="2"/>
    <x v="2"/>
    <x v="3"/>
    <x v="0"/>
  </r>
  <r>
    <x v="514"/>
    <x v="5"/>
    <x v="3"/>
    <x v="8"/>
    <x v="44"/>
    <x v="472"/>
    <x v="7"/>
    <x v="11"/>
    <x v="0"/>
    <x v="1"/>
    <x v="1"/>
    <x v="1"/>
    <x v="0"/>
    <x v="2"/>
    <x v="2"/>
    <x v="3"/>
    <x v="0"/>
  </r>
  <r>
    <x v="515"/>
    <x v="5"/>
    <x v="3"/>
    <x v="8"/>
    <x v="44"/>
    <x v="473"/>
    <x v="4"/>
    <x v="1"/>
    <x v="0"/>
    <x v="1"/>
    <x v="1"/>
    <x v="1"/>
    <x v="0"/>
    <x v="2"/>
    <x v="2"/>
    <x v="3"/>
    <x v="0"/>
  </r>
  <r>
    <x v="516"/>
    <x v="5"/>
    <x v="3"/>
    <x v="8"/>
    <x v="44"/>
    <x v="474"/>
    <x v="7"/>
    <x v="11"/>
    <x v="0"/>
    <x v="1"/>
    <x v="1"/>
    <x v="1"/>
    <x v="0"/>
    <x v="2"/>
    <x v="2"/>
    <x v="3"/>
    <x v="0"/>
  </r>
  <r>
    <x v="517"/>
    <x v="5"/>
    <x v="3"/>
    <x v="8"/>
    <x v="44"/>
    <x v="475"/>
    <x v="1"/>
    <x v="1"/>
    <x v="0"/>
    <x v="0"/>
    <x v="0"/>
    <x v="11"/>
    <x v="0"/>
    <x v="2"/>
    <x v="0"/>
    <x v="0"/>
    <x v="0"/>
  </r>
  <r>
    <x v="518"/>
    <x v="5"/>
    <x v="3"/>
    <x v="8"/>
    <x v="44"/>
    <x v="476"/>
    <x v="1"/>
    <x v="1"/>
    <x v="0"/>
    <x v="0"/>
    <x v="0"/>
    <x v="11"/>
    <x v="0"/>
    <x v="2"/>
    <x v="0"/>
    <x v="0"/>
    <x v="0"/>
  </r>
  <r>
    <x v="519"/>
    <x v="5"/>
    <x v="3"/>
    <x v="8"/>
    <x v="44"/>
    <x v="477"/>
    <x v="1"/>
    <x v="6"/>
    <x v="0"/>
    <x v="1"/>
    <x v="1"/>
    <x v="1"/>
    <x v="0"/>
    <x v="2"/>
    <x v="2"/>
    <x v="3"/>
    <x v="0"/>
  </r>
  <r>
    <x v="520"/>
    <x v="5"/>
    <x v="3"/>
    <x v="8"/>
    <x v="44"/>
    <x v="478"/>
    <x v="1"/>
    <x v="1"/>
    <x v="0"/>
    <x v="1"/>
    <x v="1"/>
    <x v="1"/>
    <x v="0"/>
    <x v="2"/>
    <x v="2"/>
    <x v="3"/>
    <x v="0"/>
  </r>
  <r>
    <x v="521"/>
    <x v="6"/>
    <x v="3"/>
    <x v="8"/>
    <x v="47"/>
    <x v="479"/>
    <x v="5"/>
    <x v="1"/>
    <x v="0"/>
    <x v="0"/>
    <x v="0"/>
    <x v="1"/>
    <x v="0"/>
    <x v="2"/>
    <x v="0"/>
    <x v="0"/>
    <x v="1"/>
  </r>
  <r>
    <x v="522"/>
    <x v="6"/>
    <x v="3"/>
    <x v="8"/>
    <x v="47"/>
    <x v="480"/>
    <x v="5"/>
    <x v="1"/>
    <x v="0"/>
    <x v="0"/>
    <x v="0"/>
    <x v="1"/>
    <x v="0"/>
    <x v="2"/>
    <x v="0"/>
    <x v="0"/>
    <x v="1"/>
  </r>
  <r>
    <x v="523"/>
    <x v="6"/>
    <x v="3"/>
    <x v="8"/>
    <x v="47"/>
    <x v="481"/>
    <x v="5"/>
    <x v="1"/>
    <x v="0"/>
    <x v="0"/>
    <x v="0"/>
    <x v="1"/>
    <x v="0"/>
    <x v="2"/>
    <x v="0"/>
    <x v="0"/>
    <x v="1"/>
  </r>
  <r>
    <x v="524"/>
    <x v="6"/>
    <x v="3"/>
    <x v="8"/>
    <x v="47"/>
    <x v="482"/>
    <x v="5"/>
    <x v="1"/>
    <x v="0"/>
    <x v="0"/>
    <x v="0"/>
    <x v="1"/>
    <x v="0"/>
    <x v="2"/>
    <x v="0"/>
    <x v="0"/>
    <x v="1"/>
  </r>
  <r>
    <x v="525"/>
    <x v="4"/>
    <x v="3"/>
    <x v="8"/>
    <x v="44"/>
    <x v="483"/>
    <x v="6"/>
    <x v="1"/>
    <x v="0"/>
    <x v="0"/>
    <x v="0"/>
    <x v="1"/>
    <x v="0"/>
    <x v="2"/>
    <x v="0"/>
    <x v="0"/>
    <x v="0"/>
  </r>
  <r>
    <x v="526"/>
    <x v="5"/>
    <x v="3"/>
    <x v="8"/>
    <x v="44"/>
    <x v="484"/>
    <x v="6"/>
    <x v="1"/>
    <x v="0"/>
    <x v="0"/>
    <x v="0"/>
    <x v="1"/>
    <x v="0"/>
    <x v="2"/>
    <x v="0"/>
    <x v="0"/>
    <x v="3"/>
  </r>
  <r>
    <x v="527"/>
    <x v="5"/>
    <x v="3"/>
    <x v="8"/>
    <x v="44"/>
    <x v="485"/>
    <x v="6"/>
    <x v="8"/>
    <x v="0"/>
    <x v="1"/>
    <x v="1"/>
    <x v="1"/>
    <x v="0"/>
    <x v="2"/>
    <x v="2"/>
    <x v="4"/>
    <x v="3"/>
  </r>
  <r>
    <x v="528"/>
    <x v="5"/>
    <x v="3"/>
    <x v="8"/>
    <x v="44"/>
    <x v="486"/>
    <x v="6"/>
    <x v="1"/>
    <x v="0"/>
    <x v="0"/>
    <x v="0"/>
    <x v="1"/>
    <x v="0"/>
    <x v="2"/>
    <x v="0"/>
    <x v="0"/>
    <x v="0"/>
  </r>
  <r>
    <x v="529"/>
    <x v="5"/>
    <x v="3"/>
    <x v="9"/>
    <x v="44"/>
    <x v="487"/>
    <x v="1"/>
    <x v="0"/>
    <x v="0"/>
    <x v="1"/>
    <x v="1"/>
    <x v="1"/>
    <x v="0"/>
    <x v="2"/>
    <x v="1"/>
    <x v="1"/>
    <x v="0"/>
  </r>
  <r>
    <x v="530"/>
    <x v="5"/>
    <x v="3"/>
    <x v="9"/>
    <x v="44"/>
    <x v="488"/>
    <x v="1"/>
    <x v="0"/>
    <x v="0"/>
    <x v="1"/>
    <x v="1"/>
    <x v="1"/>
    <x v="0"/>
    <x v="2"/>
    <x v="1"/>
    <x v="1"/>
    <x v="0"/>
  </r>
  <r>
    <x v="531"/>
    <x v="5"/>
    <x v="3"/>
    <x v="9"/>
    <x v="44"/>
    <x v="489"/>
    <x v="1"/>
    <x v="0"/>
    <x v="0"/>
    <x v="1"/>
    <x v="1"/>
    <x v="1"/>
    <x v="0"/>
    <x v="2"/>
    <x v="1"/>
    <x v="1"/>
    <x v="0"/>
  </r>
  <r>
    <x v="532"/>
    <x v="5"/>
    <x v="3"/>
    <x v="9"/>
    <x v="44"/>
    <x v="490"/>
    <x v="0"/>
    <x v="0"/>
    <x v="0"/>
    <x v="0"/>
    <x v="0"/>
    <x v="2"/>
    <x v="0"/>
    <x v="2"/>
    <x v="0"/>
    <x v="0"/>
    <x v="0"/>
  </r>
  <r>
    <x v="533"/>
    <x v="1"/>
    <x v="3"/>
    <x v="9"/>
    <x v="44"/>
    <x v="491"/>
    <x v="5"/>
    <x v="1"/>
    <x v="0"/>
    <x v="0"/>
    <x v="0"/>
    <x v="1"/>
    <x v="0"/>
    <x v="2"/>
    <x v="0"/>
    <x v="0"/>
    <x v="0"/>
  </r>
  <r>
    <x v="534"/>
    <x v="5"/>
    <x v="3"/>
    <x v="9"/>
    <x v="44"/>
    <x v="492"/>
    <x v="0"/>
    <x v="1"/>
    <x v="0"/>
    <x v="0"/>
    <x v="0"/>
    <x v="1"/>
    <x v="0"/>
    <x v="2"/>
    <x v="0"/>
    <x v="0"/>
    <x v="0"/>
  </r>
  <r>
    <x v="535"/>
    <x v="5"/>
    <x v="3"/>
    <x v="9"/>
    <x v="44"/>
    <x v="493"/>
    <x v="0"/>
    <x v="1"/>
    <x v="0"/>
    <x v="0"/>
    <x v="0"/>
    <x v="1"/>
    <x v="0"/>
    <x v="2"/>
    <x v="0"/>
    <x v="0"/>
    <x v="0"/>
  </r>
  <r>
    <x v="536"/>
    <x v="5"/>
    <x v="3"/>
    <x v="9"/>
    <x v="44"/>
    <x v="494"/>
    <x v="0"/>
    <x v="1"/>
    <x v="0"/>
    <x v="0"/>
    <x v="0"/>
    <x v="1"/>
    <x v="0"/>
    <x v="2"/>
    <x v="0"/>
    <x v="0"/>
    <x v="0"/>
  </r>
  <r>
    <x v="537"/>
    <x v="5"/>
    <x v="3"/>
    <x v="9"/>
    <x v="44"/>
    <x v="495"/>
    <x v="1"/>
    <x v="1"/>
    <x v="0"/>
    <x v="0"/>
    <x v="0"/>
    <x v="1"/>
    <x v="0"/>
    <x v="2"/>
    <x v="0"/>
    <x v="0"/>
    <x v="0"/>
  </r>
  <r>
    <x v="538"/>
    <x v="5"/>
    <x v="3"/>
    <x v="9"/>
    <x v="44"/>
    <x v="496"/>
    <x v="0"/>
    <x v="1"/>
    <x v="0"/>
    <x v="0"/>
    <x v="0"/>
    <x v="1"/>
    <x v="0"/>
    <x v="2"/>
    <x v="0"/>
    <x v="0"/>
    <x v="0"/>
  </r>
  <r>
    <x v="539"/>
    <x v="5"/>
    <x v="3"/>
    <x v="9"/>
    <x v="44"/>
    <x v="497"/>
    <x v="7"/>
    <x v="1"/>
    <x v="0"/>
    <x v="0"/>
    <x v="0"/>
    <x v="1"/>
    <x v="0"/>
    <x v="2"/>
    <x v="0"/>
    <x v="0"/>
    <x v="0"/>
  </r>
  <r>
    <x v="540"/>
    <x v="5"/>
    <x v="3"/>
    <x v="9"/>
    <x v="44"/>
    <x v="498"/>
    <x v="1"/>
    <x v="1"/>
    <x v="0"/>
    <x v="0"/>
    <x v="0"/>
    <x v="1"/>
    <x v="0"/>
    <x v="2"/>
    <x v="0"/>
    <x v="0"/>
    <x v="0"/>
  </r>
  <r>
    <x v="541"/>
    <x v="5"/>
    <x v="3"/>
    <x v="9"/>
    <x v="44"/>
    <x v="499"/>
    <x v="0"/>
    <x v="1"/>
    <x v="0"/>
    <x v="0"/>
    <x v="0"/>
    <x v="1"/>
    <x v="0"/>
    <x v="2"/>
    <x v="0"/>
    <x v="0"/>
    <x v="0"/>
  </r>
  <r>
    <x v="542"/>
    <x v="5"/>
    <x v="3"/>
    <x v="9"/>
    <x v="44"/>
    <x v="500"/>
    <x v="7"/>
    <x v="1"/>
    <x v="0"/>
    <x v="0"/>
    <x v="0"/>
    <x v="1"/>
    <x v="0"/>
    <x v="2"/>
    <x v="0"/>
    <x v="0"/>
    <x v="0"/>
  </r>
  <r>
    <x v="543"/>
    <x v="5"/>
    <x v="3"/>
    <x v="9"/>
    <x v="44"/>
    <x v="501"/>
    <x v="0"/>
    <x v="1"/>
    <x v="0"/>
    <x v="0"/>
    <x v="0"/>
    <x v="1"/>
    <x v="0"/>
    <x v="2"/>
    <x v="0"/>
    <x v="0"/>
    <x v="0"/>
  </r>
  <r>
    <x v="544"/>
    <x v="5"/>
    <x v="3"/>
    <x v="9"/>
    <x v="44"/>
    <x v="502"/>
    <x v="0"/>
    <x v="1"/>
    <x v="0"/>
    <x v="0"/>
    <x v="0"/>
    <x v="1"/>
    <x v="0"/>
    <x v="2"/>
    <x v="0"/>
    <x v="0"/>
    <x v="0"/>
  </r>
  <r>
    <x v="545"/>
    <x v="5"/>
    <x v="3"/>
    <x v="9"/>
    <x v="44"/>
    <x v="503"/>
    <x v="0"/>
    <x v="1"/>
    <x v="0"/>
    <x v="0"/>
    <x v="0"/>
    <x v="1"/>
    <x v="0"/>
    <x v="2"/>
    <x v="0"/>
    <x v="0"/>
    <x v="0"/>
  </r>
  <r>
    <x v="546"/>
    <x v="5"/>
    <x v="3"/>
    <x v="9"/>
    <x v="44"/>
    <x v="504"/>
    <x v="0"/>
    <x v="1"/>
    <x v="0"/>
    <x v="0"/>
    <x v="0"/>
    <x v="1"/>
    <x v="0"/>
    <x v="2"/>
    <x v="0"/>
    <x v="0"/>
    <x v="0"/>
  </r>
  <r>
    <x v="547"/>
    <x v="5"/>
    <x v="3"/>
    <x v="9"/>
    <x v="44"/>
    <x v="505"/>
    <x v="0"/>
    <x v="1"/>
    <x v="0"/>
    <x v="0"/>
    <x v="0"/>
    <x v="1"/>
    <x v="0"/>
    <x v="2"/>
    <x v="0"/>
    <x v="0"/>
    <x v="0"/>
  </r>
  <r>
    <x v="548"/>
    <x v="5"/>
    <x v="3"/>
    <x v="9"/>
    <x v="44"/>
    <x v="506"/>
    <x v="0"/>
    <x v="1"/>
    <x v="0"/>
    <x v="0"/>
    <x v="0"/>
    <x v="1"/>
    <x v="0"/>
    <x v="2"/>
    <x v="0"/>
    <x v="0"/>
    <x v="0"/>
  </r>
  <r>
    <x v="549"/>
    <x v="5"/>
    <x v="3"/>
    <x v="9"/>
    <x v="44"/>
    <x v="507"/>
    <x v="0"/>
    <x v="1"/>
    <x v="0"/>
    <x v="0"/>
    <x v="0"/>
    <x v="1"/>
    <x v="0"/>
    <x v="2"/>
    <x v="0"/>
    <x v="0"/>
    <x v="0"/>
  </r>
  <r>
    <x v="550"/>
    <x v="5"/>
    <x v="3"/>
    <x v="9"/>
    <x v="44"/>
    <x v="508"/>
    <x v="4"/>
    <x v="1"/>
    <x v="0"/>
    <x v="0"/>
    <x v="0"/>
    <x v="1"/>
    <x v="0"/>
    <x v="2"/>
    <x v="0"/>
    <x v="0"/>
    <x v="0"/>
  </r>
  <r>
    <x v="551"/>
    <x v="5"/>
    <x v="3"/>
    <x v="9"/>
    <x v="44"/>
    <x v="509"/>
    <x v="0"/>
    <x v="1"/>
    <x v="0"/>
    <x v="0"/>
    <x v="0"/>
    <x v="1"/>
    <x v="0"/>
    <x v="2"/>
    <x v="0"/>
    <x v="0"/>
    <x v="0"/>
  </r>
  <r>
    <x v="552"/>
    <x v="5"/>
    <x v="3"/>
    <x v="9"/>
    <x v="44"/>
    <x v="510"/>
    <x v="0"/>
    <x v="1"/>
    <x v="0"/>
    <x v="0"/>
    <x v="0"/>
    <x v="1"/>
    <x v="0"/>
    <x v="2"/>
    <x v="0"/>
    <x v="0"/>
    <x v="0"/>
  </r>
  <r>
    <x v="553"/>
    <x v="5"/>
    <x v="3"/>
    <x v="9"/>
    <x v="44"/>
    <x v="511"/>
    <x v="0"/>
    <x v="1"/>
    <x v="0"/>
    <x v="0"/>
    <x v="0"/>
    <x v="1"/>
    <x v="0"/>
    <x v="2"/>
    <x v="0"/>
    <x v="0"/>
    <x v="0"/>
  </r>
  <r>
    <x v="554"/>
    <x v="5"/>
    <x v="3"/>
    <x v="9"/>
    <x v="44"/>
    <x v="512"/>
    <x v="0"/>
    <x v="1"/>
    <x v="0"/>
    <x v="0"/>
    <x v="0"/>
    <x v="1"/>
    <x v="0"/>
    <x v="2"/>
    <x v="0"/>
    <x v="0"/>
    <x v="0"/>
  </r>
  <r>
    <x v="555"/>
    <x v="5"/>
    <x v="3"/>
    <x v="9"/>
    <x v="44"/>
    <x v="513"/>
    <x v="0"/>
    <x v="1"/>
    <x v="0"/>
    <x v="0"/>
    <x v="0"/>
    <x v="1"/>
    <x v="0"/>
    <x v="2"/>
    <x v="0"/>
    <x v="0"/>
    <x v="0"/>
  </r>
  <r>
    <x v="556"/>
    <x v="5"/>
    <x v="3"/>
    <x v="9"/>
    <x v="44"/>
    <x v="514"/>
    <x v="1"/>
    <x v="1"/>
    <x v="0"/>
    <x v="0"/>
    <x v="0"/>
    <x v="1"/>
    <x v="0"/>
    <x v="2"/>
    <x v="0"/>
    <x v="0"/>
    <x v="0"/>
  </r>
  <r>
    <x v="557"/>
    <x v="5"/>
    <x v="3"/>
    <x v="9"/>
    <x v="44"/>
    <x v="515"/>
    <x v="0"/>
    <x v="1"/>
    <x v="0"/>
    <x v="0"/>
    <x v="0"/>
    <x v="1"/>
    <x v="0"/>
    <x v="2"/>
    <x v="0"/>
    <x v="0"/>
    <x v="0"/>
  </r>
  <r>
    <x v="558"/>
    <x v="5"/>
    <x v="3"/>
    <x v="9"/>
    <x v="44"/>
    <x v="516"/>
    <x v="0"/>
    <x v="1"/>
    <x v="0"/>
    <x v="0"/>
    <x v="0"/>
    <x v="1"/>
    <x v="0"/>
    <x v="2"/>
    <x v="0"/>
    <x v="0"/>
    <x v="0"/>
  </r>
  <r>
    <x v="559"/>
    <x v="5"/>
    <x v="3"/>
    <x v="9"/>
    <x v="44"/>
    <x v="517"/>
    <x v="0"/>
    <x v="1"/>
    <x v="0"/>
    <x v="0"/>
    <x v="0"/>
    <x v="1"/>
    <x v="0"/>
    <x v="2"/>
    <x v="0"/>
    <x v="0"/>
    <x v="0"/>
  </r>
  <r>
    <x v="560"/>
    <x v="5"/>
    <x v="3"/>
    <x v="9"/>
    <x v="44"/>
    <x v="518"/>
    <x v="0"/>
    <x v="1"/>
    <x v="0"/>
    <x v="0"/>
    <x v="0"/>
    <x v="1"/>
    <x v="0"/>
    <x v="2"/>
    <x v="0"/>
    <x v="0"/>
    <x v="0"/>
  </r>
  <r>
    <x v="561"/>
    <x v="5"/>
    <x v="3"/>
    <x v="9"/>
    <x v="44"/>
    <x v="519"/>
    <x v="0"/>
    <x v="1"/>
    <x v="0"/>
    <x v="0"/>
    <x v="0"/>
    <x v="1"/>
    <x v="0"/>
    <x v="2"/>
    <x v="0"/>
    <x v="0"/>
    <x v="0"/>
  </r>
  <r>
    <x v="562"/>
    <x v="5"/>
    <x v="3"/>
    <x v="9"/>
    <x v="44"/>
    <x v="520"/>
    <x v="0"/>
    <x v="1"/>
    <x v="0"/>
    <x v="0"/>
    <x v="0"/>
    <x v="1"/>
    <x v="0"/>
    <x v="2"/>
    <x v="0"/>
    <x v="0"/>
    <x v="0"/>
  </r>
  <r>
    <x v="563"/>
    <x v="5"/>
    <x v="3"/>
    <x v="9"/>
    <x v="44"/>
    <x v="521"/>
    <x v="1"/>
    <x v="1"/>
    <x v="0"/>
    <x v="0"/>
    <x v="0"/>
    <x v="1"/>
    <x v="0"/>
    <x v="2"/>
    <x v="0"/>
    <x v="0"/>
    <x v="0"/>
  </r>
  <r>
    <x v="564"/>
    <x v="5"/>
    <x v="3"/>
    <x v="9"/>
    <x v="44"/>
    <x v="522"/>
    <x v="1"/>
    <x v="1"/>
    <x v="0"/>
    <x v="0"/>
    <x v="0"/>
    <x v="1"/>
    <x v="0"/>
    <x v="2"/>
    <x v="0"/>
    <x v="0"/>
    <x v="0"/>
  </r>
  <r>
    <x v="565"/>
    <x v="5"/>
    <x v="3"/>
    <x v="9"/>
    <x v="44"/>
    <x v="523"/>
    <x v="1"/>
    <x v="1"/>
    <x v="0"/>
    <x v="0"/>
    <x v="0"/>
    <x v="1"/>
    <x v="0"/>
    <x v="2"/>
    <x v="0"/>
    <x v="0"/>
    <x v="0"/>
  </r>
  <r>
    <x v="566"/>
    <x v="5"/>
    <x v="3"/>
    <x v="9"/>
    <x v="44"/>
    <x v="524"/>
    <x v="1"/>
    <x v="1"/>
    <x v="0"/>
    <x v="0"/>
    <x v="0"/>
    <x v="1"/>
    <x v="0"/>
    <x v="2"/>
    <x v="0"/>
    <x v="0"/>
    <x v="0"/>
  </r>
  <r>
    <x v="567"/>
    <x v="5"/>
    <x v="3"/>
    <x v="9"/>
    <x v="44"/>
    <x v="525"/>
    <x v="0"/>
    <x v="1"/>
    <x v="0"/>
    <x v="0"/>
    <x v="0"/>
    <x v="1"/>
    <x v="0"/>
    <x v="2"/>
    <x v="0"/>
    <x v="0"/>
    <x v="0"/>
  </r>
  <r>
    <x v="568"/>
    <x v="5"/>
    <x v="3"/>
    <x v="9"/>
    <x v="44"/>
    <x v="526"/>
    <x v="0"/>
    <x v="1"/>
    <x v="0"/>
    <x v="0"/>
    <x v="0"/>
    <x v="1"/>
    <x v="0"/>
    <x v="2"/>
    <x v="0"/>
    <x v="0"/>
    <x v="0"/>
  </r>
  <r>
    <x v="569"/>
    <x v="5"/>
    <x v="3"/>
    <x v="9"/>
    <x v="44"/>
    <x v="527"/>
    <x v="1"/>
    <x v="1"/>
    <x v="0"/>
    <x v="0"/>
    <x v="0"/>
    <x v="1"/>
    <x v="0"/>
    <x v="2"/>
    <x v="0"/>
    <x v="0"/>
    <x v="0"/>
  </r>
  <r>
    <x v="570"/>
    <x v="5"/>
    <x v="3"/>
    <x v="9"/>
    <x v="44"/>
    <x v="528"/>
    <x v="1"/>
    <x v="1"/>
    <x v="0"/>
    <x v="0"/>
    <x v="0"/>
    <x v="1"/>
    <x v="0"/>
    <x v="2"/>
    <x v="0"/>
    <x v="0"/>
    <x v="0"/>
  </r>
  <r>
    <x v="571"/>
    <x v="5"/>
    <x v="3"/>
    <x v="9"/>
    <x v="44"/>
    <x v="529"/>
    <x v="1"/>
    <x v="1"/>
    <x v="0"/>
    <x v="0"/>
    <x v="0"/>
    <x v="1"/>
    <x v="0"/>
    <x v="2"/>
    <x v="0"/>
    <x v="0"/>
    <x v="0"/>
  </r>
  <r>
    <x v="572"/>
    <x v="5"/>
    <x v="3"/>
    <x v="9"/>
    <x v="44"/>
    <x v="530"/>
    <x v="0"/>
    <x v="1"/>
    <x v="0"/>
    <x v="0"/>
    <x v="0"/>
    <x v="2"/>
    <x v="0"/>
    <x v="2"/>
    <x v="0"/>
    <x v="0"/>
    <x v="0"/>
  </r>
  <r>
    <x v="573"/>
    <x v="5"/>
    <x v="3"/>
    <x v="9"/>
    <x v="44"/>
    <x v="531"/>
    <x v="0"/>
    <x v="3"/>
    <x v="2"/>
    <x v="0"/>
    <x v="0"/>
    <x v="6"/>
    <x v="2"/>
    <x v="2"/>
    <x v="0"/>
    <x v="0"/>
    <x v="0"/>
  </r>
  <r>
    <x v="574"/>
    <x v="5"/>
    <x v="3"/>
    <x v="9"/>
    <x v="44"/>
    <x v="532"/>
    <x v="1"/>
    <x v="1"/>
    <x v="0"/>
    <x v="0"/>
    <x v="0"/>
    <x v="1"/>
    <x v="0"/>
    <x v="2"/>
    <x v="0"/>
    <x v="0"/>
    <x v="0"/>
  </r>
  <r>
    <x v="575"/>
    <x v="5"/>
    <x v="3"/>
    <x v="9"/>
    <x v="44"/>
    <x v="533"/>
    <x v="6"/>
    <x v="1"/>
    <x v="0"/>
    <x v="0"/>
    <x v="0"/>
    <x v="1"/>
    <x v="0"/>
    <x v="2"/>
    <x v="0"/>
    <x v="0"/>
    <x v="0"/>
  </r>
  <r>
    <x v="576"/>
    <x v="5"/>
    <x v="3"/>
    <x v="9"/>
    <x v="44"/>
    <x v="534"/>
    <x v="6"/>
    <x v="1"/>
    <x v="0"/>
    <x v="0"/>
    <x v="0"/>
    <x v="1"/>
    <x v="0"/>
    <x v="2"/>
    <x v="0"/>
    <x v="0"/>
    <x v="0"/>
  </r>
  <r>
    <x v="577"/>
    <x v="5"/>
    <x v="3"/>
    <x v="9"/>
    <x v="44"/>
    <x v="535"/>
    <x v="6"/>
    <x v="1"/>
    <x v="0"/>
    <x v="0"/>
    <x v="0"/>
    <x v="1"/>
    <x v="0"/>
    <x v="2"/>
    <x v="0"/>
    <x v="0"/>
    <x v="0"/>
  </r>
  <r>
    <x v="578"/>
    <x v="5"/>
    <x v="3"/>
    <x v="9"/>
    <x v="44"/>
    <x v="536"/>
    <x v="0"/>
    <x v="1"/>
    <x v="0"/>
    <x v="0"/>
    <x v="0"/>
    <x v="1"/>
    <x v="0"/>
    <x v="2"/>
    <x v="0"/>
    <x v="0"/>
    <x v="0"/>
  </r>
  <r>
    <x v="579"/>
    <x v="5"/>
    <x v="3"/>
    <x v="9"/>
    <x v="44"/>
    <x v="537"/>
    <x v="6"/>
    <x v="3"/>
    <x v="2"/>
    <x v="0"/>
    <x v="0"/>
    <x v="13"/>
    <x v="7"/>
    <x v="2"/>
    <x v="0"/>
    <x v="0"/>
    <x v="0"/>
  </r>
  <r>
    <x v="580"/>
    <x v="5"/>
    <x v="3"/>
    <x v="9"/>
    <x v="44"/>
    <x v="538"/>
    <x v="6"/>
    <x v="3"/>
    <x v="2"/>
    <x v="0"/>
    <x v="0"/>
    <x v="13"/>
    <x v="7"/>
    <x v="2"/>
    <x v="0"/>
    <x v="0"/>
    <x v="0"/>
  </r>
  <r>
    <x v="581"/>
    <x v="5"/>
    <x v="3"/>
    <x v="9"/>
    <x v="44"/>
    <x v="539"/>
    <x v="6"/>
    <x v="1"/>
    <x v="0"/>
    <x v="0"/>
    <x v="0"/>
    <x v="1"/>
    <x v="0"/>
    <x v="2"/>
    <x v="0"/>
    <x v="0"/>
    <x v="3"/>
  </r>
  <r>
    <x v="582"/>
    <x v="5"/>
    <x v="3"/>
    <x v="9"/>
    <x v="44"/>
    <x v="540"/>
    <x v="6"/>
    <x v="1"/>
    <x v="0"/>
    <x v="0"/>
    <x v="0"/>
    <x v="1"/>
    <x v="0"/>
    <x v="2"/>
    <x v="0"/>
    <x v="0"/>
    <x v="3"/>
  </r>
  <r>
    <x v="583"/>
    <x v="5"/>
    <x v="3"/>
    <x v="9"/>
    <x v="44"/>
    <x v="541"/>
    <x v="6"/>
    <x v="1"/>
    <x v="0"/>
    <x v="0"/>
    <x v="0"/>
    <x v="1"/>
    <x v="0"/>
    <x v="2"/>
    <x v="0"/>
    <x v="0"/>
    <x v="3"/>
  </r>
  <r>
    <x v="584"/>
    <x v="5"/>
    <x v="3"/>
    <x v="9"/>
    <x v="44"/>
    <x v="542"/>
    <x v="6"/>
    <x v="3"/>
    <x v="2"/>
    <x v="0"/>
    <x v="0"/>
    <x v="13"/>
    <x v="7"/>
    <x v="2"/>
    <x v="0"/>
    <x v="0"/>
    <x v="0"/>
  </r>
  <r>
    <x v="585"/>
    <x v="5"/>
    <x v="3"/>
    <x v="9"/>
    <x v="44"/>
    <x v="543"/>
    <x v="6"/>
    <x v="3"/>
    <x v="2"/>
    <x v="0"/>
    <x v="0"/>
    <x v="13"/>
    <x v="7"/>
    <x v="2"/>
    <x v="0"/>
    <x v="0"/>
    <x v="0"/>
  </r>
  <r>
    <x v="586"/>
    <x v="5"/>
    <x v="3"/>
    <x v="9"/>
    <x v="44"/>
    <x v="544"/>
    <x v="7"/>
    <x v="11"/>
    <x v="0"/>
    <x v="1"/>
    <x v="1"/>
    <x v="1"/>
    <x v="0"/>
    <x v="2"/>
    <x v="2"/>
    <x v="3"/>
    <x v="0"/>
  </r>
  <r>
    <x v="587"/>
    <x v="5"/>
    <x v="3"/>
    <x v="9"/>
    <x v="44"/>
    <x v="545"/>
    <x v="0"/>
    <x v="4"/>
    <x v="0"/>
    <x v="1"/>
    <x v="1"/>
    <x v="1"/>
    <x v="0"/>
    <x v="2"/>
    <x v="2"/>
    <x v="3"/>
    <x v="0"/>
  </r>
  <r>
    <x v="588"/>
    <x v="5"/>
    <x v="3"/>
    <x v="9"/>
    <x v="44"/>
    <x v="546"/>
    <x v="7"/>
    <x v="11"/>
    <x v="0"/>
    <x v="1"/>
    <x v="1"/>
    <x v="1"/>
    <x v="0"/>
    <x v="2"/>
    <x v="2"/>
    <x v="3"/>
    <x v="0"/>
  </r>
  <r>
    <x v="589"/>
    <x v="5"/>
    <x v="3"/>
    <x v="9"/>
    <x v="44"/>
    <x v="547"/>
    <x v="1"/>
    <x v="6"/>
    <x v="0"/>
    <x v="0"/>
    <x v="0"/>
    <x v="1"/>
    <x v="0"/>
    <x v="2"/>
    <x v="0"/>
    <x v="0"/>
    <x v="0"/>
  </r>
  <r>
    <x v="590"/>
    <x v="5"/>
    <x v="3"/>
    <x v="9"/>
    <x v="44"/>
    <x v="548"/>
    <x v="1"/>
    <x v="6"/>
    <x v="0"/>
    <x v="1"/>
    <x v="1"/>
    <x v="1"/>
    <x v="0"/>
    <x v="2"/>
    <x v="2"/>
    <x v="3"/>
    <x v="0"/>
  </r>
  <r>
    <x v="591"/>
    <x v="5"/>
    <x v="3"/>
    <x v="9"/>
    <x v="44"/>
    <x v="549"/>
    <x v="0"/>
    <x v="1"/>
    <x v="0"/>
    <x v="1"/>
    <x v="1"/>
    <x v="1"/>
    <x v="0"/>
    <x v="2"/>
    <x v="2"/>
    <x v="3"/>
    <x v="0"/>
  </r>
  <r>
    <x v="592"/>
    <x v="5"/>
    <x v="3"/>
    <x v="9"/>
    <x v="44"/>
    <x v="550"/>
    <x v="1"/>
    <x v="6"/>
    <x v="0"/>
    <x v="1"/>
    <x v="1"/>
    <x v="1"/>
    <x v="0"/>
    <x v="2"/>
    <x v="2"/>
    <x v="3"/>
    <x v="0"/>
  </r>
  <r>
    <x v="593"/>
    <x v="5"/>
    <x v="3"/>
    <x v="9"/>
    <x v="44"/>
    <x v="551"/>
    <x v="1"/>
    <x v="13"/>
    <x v="0"/>
    <x v="1"/>
    <x v="1"/>
    <x v="1"/>
    <x v="0"/>
    <x v="2"/>
    <x v="2"/>
    <x v="3"/>
    <x v="0"/>
  </r>
  <r>
    <x v="594"/>
    <x v="6"/>
    <x v="3"/>
    <x v="9"/>
    <x v="47"/>
    <x v="552"/>
    <x v="5"/>
    <x v="1"/>
    <x v="0"/>
    <x v="0"/>
    <x v="0"/>
    <x v="1"/>
    <x v="0"/>
    <x v="2"/>
    <x v="0"/>
    <x v="0"/>
    <x v="1"/>
  </r>
  <r>
    <x v="595"/>
    <x v="6"/>
    <x v="3"/>
    <x v="9"/>
    <x v="47"/>
    <x v="553"/>
    <x v="5"/>
    <x v="1"/>
    <x v="0"/>
    <x v="0"/>
    <x v="0"/>
    <x v="1"/>
    <x v="0"/>
    <x v="2"/>
    <x v="0"/>
    <x v="0"/>
    <x v="1"/>
  </r>
  <r>
    <x v="596"/>
    <x v="6"/>
    <x v="3"/>
    <x v="9"/>
    <x v="47"/>
    <x v="554"/>
    <x v="5"/>
    <x v="1"/>
    <x v="0"/>
    <x v="0"/>
    <x v="0"/>
    <x v="1"/>
    <x v="0"/>
    <x v="2"/>
    <x v="0"/>
    <x v="0"/>
    <x v="1"/>
  </r>
  <r>
    <x v="597"/>
    <x v="6"/>
    <x v="3"/>
    <x v="9"/>
    <x v="47"/>
    <x v="555"/>
    <x v="5"/>
    <x v="7"/>
    <x v="0"/>
    <x v="1"/>
    <x v="1"/>
    <x v="1"/>
    <x v="0"/>
    <x v="2"/>
    <x v="2"/>
    <x v="4"/>
    <x v="1"/>
  </r>
  <r>
    <x v="598"/>
    <x v="6"/>
    <x v="3"/>
    <x v="9"/>
    <x v="47"/>
    <x v="556"/>
    <x v="5"/>
    <x v="1"/>
    <x v="0"/>
    <x v="0"/>
    <x v="0"/>
    <x v="1"/>
    <x v="0"/>
    <x v="2"/>
    <x v="0"/>
    <x v="0"/>
    <x v="1"/>
  </r>
  <r>
    <x v="599"/>
    <x v="5"/>
    <x v="3"/>
    <x v="9"/>
    <x v="44"/>
    <x v="557"/>
    <x v="6"/>
    <x v="0"/>
    <x v="0"/>
    <x v="1"/>
    <x v="1"/>
    <x v="1"/>
    <x v="0"/>
    <x v="2"/>
    <x v="1"/>
    <x v="1"/>
    <x v="3"/>
  </r>
  <r>
    <x v="600"/>
    <x v="5"/>
    <x v="3"/>
    <x v="9"/>
    <x v="44"/>
    <x v="558"/>
    <x v="6"/>
    <x v="8"/>
    <x v="0"/>
    <x v="1"/>
    <x v="1"/>
    <x v="1"/>
    <x v="0"/>
    <x v="2"/>
    <x v="2"/>
    <x v="4"/>
    <x v="3"/>
  </r>
  <r>
    <x v="601"/>
    <x v="7"/>
    <x v="4"/>
    <x v="10"/>
    <x v="54"/>
    <x v="559"/>
    <x v="0"/>
    <x v="3"/>
    <x v="2"/>
    <x v="0"/>
    <x v="0"/>
    <x v="14"/>
    <x v="8"/>
    <x v="3"/>
    <x v="0"/>
    <x v="0"/>
    <x v="0"/>
  </r>
  <r>
    <x v="602"/>
    <x v="4"/>
    <x v="4"/>
    <x v="10"/>
    <x v="55"/>
    <x v="560"/>
    <x v="0"/>
    <x v="3"/>
    <x v="2"/>
    <x v="0"/>
    <x v="0"/>
    <x v="14"/>
    <x v="8"/>
    <x v="3"/>
    <x v="0"/>
    <x v="0"/>
    <x v="0"/>
  </r>
  <r>
    <x v="603"/>
    <x v="4"/>
    <x v="4"/>
    <x v="10"/>
    <x v="56"/>
    <x v="561"/>
    <x v="0"/>
    <x v="1"/>
    <x v="0"/>
    <x v="0"/>
    <x v="0"/>
    <x v="1"/>
    <x v="0"/>
    <x v="3"/>
    <x v="0"/>
    <x v="0"/>
    <x v="0"/>
  </r>
  <r>
    <x v="604"/>
    <x v="6"/>
    <x v="4"/>
    <x v="10"/>
    <x v="57"/>
    <x v="562"/>
    <x v="0"/>
    <x v="1"/>
    <x v="0"/>
    <x v="0"/>
    <x v="0"/>
    <x v="1"/>
    <x v="0"/>
    <x v="3"/>
    <x v="0"/>
    <x v="0"/>
    <x v="0"/>
  </r>
  <r>
    <x v="605"/>
    <x v="7"/>
    <x v="4"/>
    <x v="10"/>
    <x v="58"/>
    <x v="563"/>
    <x v="0"/>
    <x v="3"/>
    <x v="2"/>
    <x v="0"/>
    <x v="0"/>
    <x v="14"/>
    <x v="8"/>
    <x v="3"/>
    <x v="0"/>
    <x v="0"/>
    <x v="0"/>
  </r>
  <r>
    <x v="606"/>
    <x v="7"/>
    <x v="4"/>
    <x v="10"/>
    <x v="59"/>
    <x v="564"/>
    <x v="0"/>
    <x v="3"/>
    <x v="2"/>
    <x v="0"/>
    <x v="0"/>
    <x v="14"/>
    <x v="8"/>
    <x v="3"/>
    <x v="0"/>
    <x v="0"/>
    <x v="0"/>
  </r>
  <r>
    <x v="607"/>
    <x v="7"/>
    <x v="4"/>
    <x v="10"/>
    <x v="60"/>
    <x v="565"/>
    <x v="0"/>
    <x v="14"/>
    <x v="5"/>
    <x v="0"/>
    <x v="0"/>
    <x v="10"/>
    <x v="9"/>
    <x v="3"/>
    <x v="0"/>
    <x v="0"/>
    <x v="0"/>
  </r>
  <r>
    <x v="608"/>
    <x v="4"/>
    <x v="4"/>
    <x v="10"/>
    <x v="61"/>
    <x v="566"/>
    <x v="0"/>
    <x v="1"/>
    <x v="0"/>
    <x v="0"/>
    <x v="0"/>
    <x v="1"/>
    <x v="0"/>
    <x v="3"/>
    <x v="0"/>
    <x v="0"/>
    <x v="0"/>
  </r>
  <r>
    <x v="609"/>
    <x v="8"/>
    <x v="4"/>
    <x v="10"/>
    <x v="62"/>
    <x v="567"/>
    <x v="0"/>
    <x v="1"/>
    <x v="0"/>
    <x v="0"/>
    <x v="0"/>
    <x v="2"/>
    <x v="0"/>
    <x v="3"/>
    <x v="0"/>
    <x v="0"/>
    <x v="0"/>
  </r>
  <r>
    <x v="610"/>
    <x v="5"/>
    <x v="4"/>
    <x v="10"/>
    <x v="63"/>
    <x v="568"/>
    <x v="0"/>
    <x v="3"/>
    <x v="2"/>
    <x v="0"/>
    <x v="0"/>
    <x v="14"/>
    <x v="8"/>
    <x v="3"/>
    <x v="0"/>
    <x v="0"/>
    <x v="0"/>
  </r>
  <r>
    <x v="611"/>
    <x v="4"/>
    <x v="4"/>
    <x v="10"/>
    <x v="64"/>
    <x v="569"/>
    <x v="1"/>
    <x v="15"/>
    <x v="0"/>
    <x v="0"/>
    <x v="0"/>
    <x v="1"/>
    <x v="10"/>
    <x v="3"/>
    <x v="0"/>
    <x v="0"/>
    <x v="0"/>
  </r>
  <r>
    <x v="612"/>
    <x v="4"/>
    <x v="4"/>
    <x v="10"/>
    <x v="65"/>
    <x v="570"/>
    <x v="1"/>
    <x v="0"/>
    <x v="0"/>
    <x v="0"/>
    <x v="0"/>
    <x v="8"/>
    <x v="11"/>
    <x v="3"/>
    <x v="0"/>
    <x v="0"/>
    <x v="0"/>
  </r>
  <r>
    <x v="613"/>
    <x v="4"/>
    <x v="4"/>
    <x v="10"/>
    <x v="66"/>
    <x v="571"/>
    <x v="1"/>
    <x v="16"/>
    <x v="6"/>
    <x v="0"/>
    <x v="0"/>
    <x v="15"/>
    <x v="11"/>
    <x v="3"/>
    <x v="0"/>
    <x v="0"/>
    <x v="0"/>
  </r>
  <r>
    <x v="614"/>
    <x v="9"/>
    <x v="4"/>
    <x v="10"/>
    <x v="67"/>
    <x v="572"/>
    <x v="1"/>
    <x v="0"/>
    <x v="0"/>
    <x v="1"/>
    <x v="1"/>
    <x v="1"/>
    <x v="0"/>
    <x v="3"/>
    <x v="1"/>
    <x v="1"/>
    <x v="0"/>
  </r>
  <r>
    <x v="615"/>
    <x v="5"/>
    <x v="4"/>
    <x v="10"/>
    <x v="68"/>
    <x v="573"/>
    <x v="1"/>
    <x v="1"/>
    <x v="0"/>
    <x v="0"/>
    <x v="0"/>
    <x v="1"/>
    <x v="0"/>
    <x v="3"/>
    <x v="0"/>
    <x v="0"/>
    <x v="0"/>
  </r>
  <r>
    <x v="616"/>
    <x v="5"/>
    <x v="4"/>
    <x v="10"/>
    <x v="69"/>
    <x v="574"/>
    <x v="1"/>
    <x v="0"/>
    <x v="0"/>
    <x v="1"/>
    <x v="1"/>
    <x v="1"/>
    <x v="0"/>
    <x v="3"/>
    <x v="1"/>
    <x v="1"/>
    <x v="0"/>
  </r>
  <r>
    <x v="617"/>
    <x v="6"/>
    <x v="4"/>
    <x v="10"/>
    <x v="70"/>
    <x v="575"/>
    <x v="1"/>
    <x v="17"/>
    <x v="6"/>
    <x v="0"/>
    <x v="0"/>
    <x v="15"/>
    <x v="12"/>
    <x v="3"/>
    <x v="0"/>
    <x v="0"/>
    <x v="0"/>
  </r>
  <r>
    <x v="618"/>
    <x v="6"/>
    <x v="4"/>
    <x v="10"/>
    <x v="71"/>
    <x v="576"/>
    <x v="1"/>
    <x v="18"/>
    <x v="6"/>
    <x v="0"/>
    <x v="0"/>
    <x v="15"/>
    <x v="11"/>
    <x v="3"/>
    <x v="0"/>
    <x v="0"/>
    <x v="0"/>
  </r>
  <r>
    <x v="619"/>
    <x v="6"/>
    <x v="4"/>
    <x v="10"/>
    <x v="72"/>
    <x v="577"/>
    <x v="1"/>
    <x v="1"/>
    <x v="0"/>
    <x v="0"/>
    <x v="0"/>
    <x v="1"/>
    <x v="0"/>
    <x v="3"/>
    <x v="0"/>
    <x v="0"/>
    <x v="0"/>
  </r>
  <r>
    <x v="620"/>
    <x v="6"/>
    <x v="4"/>
    <x v="10"/>
    <x v="73"/>
    <x v="578"/>
    <x v="1"/>
    <x v="1"/>
    <x v="0"/>
    <x v="0"/>
    <x v="0"/>
    <x v="1"/>
    <x v="0"/>
    <x v="3"/>
    <x v="0"/>
    <x v="0"/>
    <x v="0"/>
  </r>
  <r>
    <x v="621"/>
    <x v="6"/>
    <x v="4"/>
    <x v="10"/>
    <x v="74"/>
    <x v="579"/>
    <x v="1"/>
    <x v="0"/>
    <x v="0"/>
    <x v="1"/>
    <x v="1"/>
    <x v="1"/>
    <x v="0"/>
    <x v="3"/>
    <x v="1"/>
    <x v="1"/>
    <x v="0"/>
  </r>
  <r>
    <x v="622"/>
    <x v="7"/>
    <x v="4"/>
    <x v="10"/>
    <x v="75"/>
    <x v="580"/>
    <x v="1"/>
    <x v="1"/>
    <x v="0"/>
    <x v="0"/>
    <x v="0"/>
    <x v="1"/>
    <x v="0"/>
    <x v="3"/>
    <x v="0"/>
    <x v="0"/>
    <x v="0"/>
  </r>
  <r>
    <x v="623"/>
    <x v="7"/>
    <x v="4"/>
    <x v="10"/>
    <x v="76"/>
    <x v="581"/>
    <x v="1"/>
    <x v="0"/>
    <x v="0"/>
    <x v="3"/>
    <x v="1"/>
    <x v="1"/>
    <x v="10"/>
    <x v="3"/>
    <x v="1"/>
    <x v="1"/>
    <x v="0"/>
  </r>
  <r>
    <x v="624"/>
    <x v="5"/>
    <x v="4"/>
    <x v="10"/>
    <x v="77"/>
    <x v="582"/>
    <x v="1"/>
    <x v="0"/>
    <x v="0"/>
    <x v="1"/>
    <x v="1"/>
    <x v="1"/>
    <x v="0"/>
    <x v="3"/>
    <x v="1"/>
    <x v="1"/>
    <x v="0"/>
  </r>
  <r>
    <x v="625"/>
    <x v="6"/>
    <x v="4"/>
    <x v="10"/>
    <x v="78"/>
    <x v="583"/>
    <x v="1"/>
    <x v="1"/>
    <x v="0"/>
    <x v="0"/>
    <x v="0"/>
    <x v="1"/>
    <x v="0"/>
    <x v="3"/>
    <x v="0"/>
    <x v="0"/>
    <x v="0"/>
  </r>
  <r>
    <x v="626"/>
    <x v="5"/>
    <x v="4"/>
    <x v="10"/>
    <x v="79"/>
    <x v="584"/>
    <x v="1"/>
    <x v="1"/>
    <x v="0"/>
    <x v="0"/>
    <x v="0"/>
    <x v="1"/>
    <x v="0"/>
    <x v="3"/>
    <x v="0"/>
    <x v="0"/>
    <x v="0"/>
  </r>
  <r>
    <x v="627"/>
    <x v="5"/>
    <x v="4"/>
    <x v="10"/>
    <x v="80"/>
    <x v="585"/>
    <x v="4"/>
    <x v="3"/>
    <x v="2"/>
    <x v="0"/>
    <x v="0"/>
    <x v="15"/>
    <x v="12"/>
    <x v="3"/>
    <x v="0"/>
    <x v="0"/>
    <x v="0"/>
  </r>
  <r>
    <x v="628"/>
    <x v="5"/>
    <x v="4"/>
    <x v="10"/>
    <x v="81"/>
    <x v="586"/>
    <x v="4"/>
    <x v="3"/>
    <x v="2"/>
    <x v="0"/>
    <x v="0"/>
    <x v="15"/>
    <x v="12"/>
    <x v="3"/>
    <x v="0"/>
    <x v="0"/>
    <x v="0"/>
  </r>
  <r>
    <x v="629"/>
    <x v="5"/>
    <x v="4"/>
    <x v="10"/>
    <x v="82"/>
    <x v="587"/>
    <x v="4"/>
    <x v="3"/>
    <x v="2"/>
    <x v="0"/>
    <x v="0"/>
    <x v="15"/>
    <x v="12"/>
    <x v="3"/>
    <x v="0"/>
    <x v="0"/>
    <x v="0"/>
  </r>
  <r>
    <x v="630"/>
    <x v="5"/>
    <x v="4"/>
    <x v="10"/>
    <x v="83"/>
    <x v="588"/>
    <x v="4"/>
    <x v="3"/>
    <x v="2"/>
    <x v="0"/>
    <x v="0"/>
    <x v="15"/>
    <x v="12"/>
    <x v="3"/>
    <x v="0"/>
    <x v="0"/>
    <x v="0"/>
  </r>
  <r>
    <x v="631"/>
    <x v="5"/>
    <x v="4"/>
    <x v="10"/>
    <x v="84"/>
    <x v="589"/>
    <x v="4"/>
    <x v="3"/>
    <x v="2"/>
    <x v="0"/>
    <x v="0"/>
    <x v="15"/>
    <x v="12"/>
    <x v="3"/>
    <x v="0"/>
    <x v="0"/>
    <x v="0"/>
  </r>
  <r>
    <x v="632"/>
    <x v="5"/>
    <x v="4"/>
    <x v="10"/>
    <x v="85"/>
    <x v="590"/>
    <x v="4"/>
    <x v="10"/>
    <x v="5"/>
    <x v="0"/>
    <x v="0"/>
    <x v="16"/>
    <x v="13"/>
    <x v="3"/>
    <x v="0"/>
    <x v="0"/>
    <x v="0"/>
  </r>
  <r>
    <x v="633"/>
    <x v="5"/>
    <x v="4"/>
    <x v="10"/>
    <x v="86"/>
    <x v="591"/>
    <x v="4"/>
    <x v="3"/>
    <x v="2"/>
    <x v="0"/>
    <x v="0"/>
    <x v="15"/>
    <x v="12"/>
    <x v="3"/>
    <x v="0"/>
    <x v="0"/>
    <x v="0"/>
  </r>
  <r>
    <x v="634"/>
    <x v="5"/>
    <x v="4"/>
    <x v="10"/>
    <x v="87"/>
    <x v="592"/>
    <x v="2"/>
    <x v="1"/>
    <x v="0"/>
    <x v="0"/>
    <x v="0"/>
    <x v="1"/>
    <x v="0"/>
    <x v="3"/>
    <x v="0"/>
    <x v="0"/>
    <x v="0"/>
  </r>
  <r>
    <x v="635"/>
    <x v="5"/>
    <x v="4"/>
    <x v="10"/>
    <x v="88"/>
    <x v="593"/>
    <x v="4"/>
    <x v="1"/>
    <x v="6"/>
    <x v="0"/>
    <x v="0"/>
    <x v="15"/>
    <x v="11"/>
    <x v="3"/>
    <x v="0"/>
    <x v="0"/>
    <x v="0"/>
  </r>
  <r>
    <x v="636"/>
    <x v="5"/>
    <x v="4"/>
    <x v="10"/>
    <x v="89"/>
    <x v="594"/>
    <x v="4"/>
    <x v="19"/>
    <x v="5"/>
    <x v="0"/>
    <x v="0"/>
    <x v="17"/>
    <x v="11"/>
    <x v="3"/>
    <x v="0"/>
    <x v="0"/>
    <x v="0"/>
  </r>
  <r>
    <x v="637"/>
    <x v="5"/>
    <x v="4"/>
    <x v="10"/>
    <x v="90"/>
    <x v="595"/>
    <x v="4"/>
    <x v="1"/>
    <x v="0"/>
    <x v="0"/>
    <x v="0"/>
    <x v="1"/>
    <x v="0"/>
    <x v="3"/>
    <x v="0"/>
    <x v="0"/>
    <x v="0"/>
  </r>
  <r>
    <x v="638"/>
    <x v="5"/>
    <x v="4"/>
    <x v="10"/>
    <x v="91"/>
    <x v="596"/>
    <x v="4"/>
    <x v="1"/>
    <x v="0"/>
    <x v="0"/>
    <x v="0"/>
    <x v="1"/>
    <x v="0"/>
    <x v="3"/>
    <x v="0"/>
    <x v="0"/>
    <x v="0"/>
  </r>
  <r>
    <x v="639"/>
    <x v="10"/>
    <x v="4"/>
    <x v="10"/>
    <x v="92"/>
    <x v="580"/>
    <x v="1"/>
    <x v="20"/>
    <x v="7"/>
    <x v="0"/>
    <x v="0"/>
    <x v="18"/>
    <x v="14"/>
    <x v="3"/>
    <x v="0"/>
    <x v="0"/>
    <x v="0"/>
  </r>
  <r>
    <x v="640"/>
    <x v="5"/>
    <x v="4"/>
    <x v="10"/>
    <x v="93"/>
    <x v="597"/>
    <x v="2"/>
    <x v="1"/>
    <x v="0"/>
    <x v="0"/>
    <x v="0"/>
    <x v="1"/>
    <x v="0"/>
    <x v="3"/>
    <x v="0"/>
    <x v="0"/>
    <x v="0"/>
  </r>
  <r>
    <x v="641"/>
    <x v="6"/>
    <x v="4"/>
    <x v="10"/>
    <x v="94"/>
    <x v="598"/>
    <x v="1"/>
    <x v="0"/>
    <x v="0"/>
    <x v="0"/>
    <x v="0"/>
    <x v="8"/>
    <x v="0"/>
    <x v="3"/>
    <x v="0"/>
    <x v="0"/>
    <x v="0"/>
  </r>
  <r>
    <x v="642"/>
    <x v="5"/>
    <x v="4"/>
    <x v="10"/>
    <x v="95"/>
    <x v="599"/>
    <x v="1"/>
    <x v="21"/>
    <x v="6"/>
    <x v="0"/>
    <x v="0"/>
    <x v="15"/>
    <x v="15"/>
    <x v="3"/>
    <x v="0"/>
    <x v="0"/>
    <x v="0"/>
  </r>
  <r>
    <x v="643"/>
    <x v="6"/>
    <x v="4"/>
    <x v="10"/>
    <x v="96"/>
    <x v="600"/>
    <x v="5"/>
    <x v="22"/>
    <x v="8"/>
    <x v="0"/>
    <x v="0"/>
    <x v="19"/>
    <x v="16"/>
    <x v="3"/>
    <x v="0"/>
    <x v="0"/>
    <x v="0"/>
  </r>
  <r>
    <x v="644"/>
    <x v="6"/>
    <x v="4"/>
    <x v="10"/>
    <x v="96"/>
    <x v="601"/>
    <x v="5"/>
    <x v="23"/>
    <x v="0"/>
    <x v="0"/>
    <x v="0"/>
    <x v="1"/>
    <x v="17"/>
    <x v="3"/>
    <x v="0"/>
    <x v="0"/>
    <x v="0"/>
  </r>
  <r>
    <x v="645"/>
    <x v="6"/>
    <x v="4"/>
    <x v="10"/>
    <x v="96"/>
    <x v="602"/>
    <x v="5"/>
    <x v="0"/>
    <x v="0"/>
    <x v="1"/>
    <x v="1"/>
    <x v="1"/>
    <x v="0"/>
    <x v="3"/>
    <x v="1"/>
    <x v="1"/>
    <x v="0"/>
  </r>
  <r>
    <x v="646"/>
    <x v="6"/>
    <x v="4"/>
    <x v="10"/>
    <x v="96"/>
    <x v="603"/>
    <x v="5"/>
    <x v="24"/>
    <x v="6"/>
    <x v="0"/>
    <x v="0"/>
    <x v="15"/>
    <x v="15"/>
    <x v="3"/>
    <x v="0"/>
    <x v="0"/>
    <x v="0"/>
  </r>
  <r>
    <x v="647"/>
    <x v="1"/>
    <x v="4"/>
    <x v="10"/>
    <x v="44"/>
    <x v="604"/>
    <x v="5"/>
    <x v="1"/>
    <x v="0"/>
    <x v="0"/>
    <x v="0"/>
    <x v="1"/>
    <x v="0"/>
    <x v="3"/>
    <x v="0"/>
    <x v="0"/>
    <x v="0"/>
  </r>
  <r>
    <x v="648"/>
    <x v="5"/>
    <x v="4"/>
    <x v="10"/>
    <x v="44"/>
    <x v="605"/>
    <x v="6"/>
    <x v="1"/>
    <x v="0"/>
    <x v="0"/>
    <x v="0"/>
    <x v="1"/>
    <x v="0"/>
    <x v="3"/>
    <x v="0"/>
    <x v="0"/>
    <x v="3"/>
  </r>
  <r>
    <x v="649"/>
    <x v="5"/>
    <x v="4"/>
    <x v="10"/>
    <x v="44"/>
    <x v="606"/>
    <x v="6"/>
    <x v="8"/>
    <x v="0"/>
    <x v="1"/>
    <x v="1"/>
    <x v="1"/>
    <x v="0"/>
    <x v="3"/>
    <x v="2"/>
    <x v="4"/>
    <x v="3"/>
  </r>
  <r>
    <x v="650"/>
    <x v="11"/>
    <x v="4"/>
    <x v="11"/>
    <x v="97"/>
    <x v="607"/>
    <x v="1"/>
    <x v="0"/>
    <x v="0"/>
    <x v="1"/>
    <x v="1"/>
    <x v="1"/>
    <x v="0"/>
    <x v="3"/>
    <x v="1"/>
    <x v="1"/>
    <x v="0"/>
  </r>
  <r>
    <x v="651"/>
    <x v="11"/>
    <x v="4"/>
    <x v="11"/>
    <x v="98"/>
    <x v="608"/>
    <x v="1"/>
    <x v="0"/>
    <x v="0"/>
    <x v="1"/>
    <x v="1"/>
    <x v="1"/>
    <x v="0"/>
    <x v="3"/>
    <x v="1"/>
    <x v="1"/>
    <x v="0"/>
  </r>
  <r>
    <x v="652"/>
    <x v="12"/>
    <x v="4"/>
    <x v="11"/>
    <x v="99"/>
    <x v="609"/>
    <x v="0"/>
    <x v="1"/>
    <x v="0"/>
    <x v="0"/>
    <x v="0"/>
    <x v="4"/>
    <x v="0"/>
    <x v="3"/>
    <x v="0"/>
    <x v="0"/>
    <x v="0"/>
  </r>
  <r>
    <x v="653"/>
    <x v="5"/>
    <x v="4"/>
    <x v="11"/>
    <x v="100"/>
    <x v="610"/>
    <x v="1"/>
    <x v="0"/>
    <x v="0"/>
    <x v="1"/>
    <x v="1"/>
    <x v="1"/>
    <x v="0"/>
    <x v="3"/>
    <x v="1"/>
    <x v="1"/>
    <x v="0"/>
  </r>
  <r>
    <x v="654"/>
    <x v="5"/>
    <x v="4"/>
    <x v="11"/>
    <x v="101"/>
    <x v="611"/>
    <x v="1"/>
    <x v="0"/>
    <x v="0"/>
    <x v="1"/>
    <x v="1"/>
    <x v="1"/>
    <x v="0"/>
    <x v="3"/>
    <x v="1"/>
    <x v="1"/>
    <x v="0"/>
  </r>
  <r>
    <x v="655"/>
    <x v="10"/>
    <x v="4"/>
    <x v="11"/>
    <x v="102"/>
    <x v="612"/>
    <x v="1"/>
    <x v="0"/>
    <x v="0"/>
    <x v="1"/>
    <x v="1"/>
    <x v="1"/>
    <x v="0"/>
    <x v="3"/>
    <x v="1"/>
    <x v="1"/>
    <x v="0"/>
  </r>
  <r>
    <x v="656"/>
    <x v="6"/>
    <x v="4"/>
    <x v="11"/>
    <x v="103"/>
    <x v="613"/>
    <x v="1"/>
    <x v="0"/>
    <x v="0"/>
    <x v="1"/>
    <x v="1"/>
    <x v="1"/>
    <x v="0"/>
    <x v="3"/>
    <x v="1"/>
    <x v="1"/>
    <x v="0"/>
  </r>
  <r>
    <x v="657"/>
    <x v="6"/>
    <x v="4"/>
    <x v="11"/>
    <x v="104"/>
    <x v="614"/>
    <x v="1"/>
    <x v="0"/>
    <x v="0"/>
    <x v="1"/>
    <x v="1"/>
    <x v="1"/>
    <x v="0"/>
    <x v="3"/>
    <x v="1"/>
    <x v="1"/>
    <x v="0"/>
  </r>
  <r>
    <x v="658"/>
    <x v="11"/>
    <x v="4"/>
    <x v="11"/>
    <x v="105"/>
    <x v="615"/>
    <x v="0"/>
    <x v="1"/>
    <x v="0"/>
    <x v="0"/>
    <x v="0"/>
    <x v="1"/>
    <x v="0"/>
    <x v="3"/>
    <x v="0"/>
    <x v="0"/>
    <x v="0"/>
  </r>
  <r>
    <x v="659"/>
    <x v="0"/>
    <x v="4"/>
    <x v="11"/>
    <x v="106"/>
    <x v="616"/>
    <x v="0"/>
    <x v="1"/>
    <x v="0"/>
    <x v="0"/>
    <x v="0"/>
    <x v="1"/>
    <x v="0"/>
    <x v="3"/>
    <x v="0"/>
    <x v="0"/>
    <x v="0"/>
  </r>
  <r>
    <x v="660"/>
    <x v="11"/>
    <x v="4"/>
    <x v="11"/>
    <x v="107"/>
    <x v="617"/>
    <x v="1"/>
    <x v="1"/>
    <x v="0"/>
    <x v="0"/>
    <x v="0"/>
    <x v="1"/>
    <x v="0"/>
    <x v="3"/>
    <x v="0"/>
    <x v="0"/>
    <x v="0"/>
  </r>
  <r>
    <x v="661"/>
    <x v="12"/>
    <x v="4"/>
    <x v="11"/>
    <x v="108"/>
    <x v="618"/>
    <x v="0"/>
    <x v="3"/>
    <x v="2"/>
    <x v="0"/>
    <x v="0"/>
    <x v="6"/>
    <x v="2"/>
    <x v="3"/>
    <x v="0"/>
    <x v="0"/>
    <x v="0"/>
  </r>
  <r>
    <x v="662"/>
    <x v="11"/>
    <x v="4"/>
    <x v="11"/>
    <x v="109"/>
    <x v="560"/>
    <x v="0"/>
    <x v="20"/>
    <x v="7"/>
    <x v="0"/>
    <x v="0"/>
    <x v="6"/>
    <x v="2"/>
    <x v="3"/>
    <x v="0"/>
    <x v="0"/>
    <x v="0"/>
  </r>
  <r>
    <x v="663"/>
    <x v="11"/>
    <x v="4"/>
    <x v="11"/>
    <x v="110"/>
    <x v="619"/>
    <x v="0"/>
    <x v="3"/>
    <x v="2"/>
    <x v="0"/>
    <x v="0"/>
    <x v="6"/>
    <x v="2"/>
    <x v="3"/>
    <x v="0"/>
    <x v="0"/>
    <x v="0"/>
  </r>
  <r>
    <x v="664"/>
    <x v="6"/>
    <x v="4"/>
    <x v="11"/>
    <x v="111"/>
    <x v="620"/>
    <x v="1"/>
    <x v="0"/>
    <x v="0"/>
    <x v="1"/>
    <x v="1"/>
    <x v="1"/>
    <x v="0"/>
    <x v="3"/>
    <x v="1"/>
    <x v="1"/>
    <x v="0"/>
  </r>
  <r>
    <x v="665"/>
    <x v="11"/>
    <x v="4"/>
    <x v="11"/>
    <x v="112"/>
    <x v="621"/>
    <x v="1"/>
    <x v="20"/>
    <x v="7"/>
    <x v="0"/>
    <x v="0"/>
    <x v="6"/>
    <x v="2"/>
    <x v="3"/>
    <x v="0"/>
    <x v="0"/>
    <x v="0"/>
  </r>
  <r>
    <x v="666"/>
    <x v="11"/>
    <x v="4"/>
    <x v="11"/>
    <x v="113"/>
    <x v="622"/>
    <x v="1"/>
    <x v="1"/>
    <x v="0"/>
    <x v="0"/>
    <x v="0"/>
    <x v="1"/>
    <x v="0"/>
    <x v="3"/>
    <x v="0"/>
    <x v="0"/>
    <x v="0"/>
  </r>
  <r>
    <x v="667"/>
    <x v="11"/>
    <x v="4"/>
    <x v="11"/>
    <x v="114"/>
    <x v="623"/>
    <x v="1"/>
    <x v="20"/>
    <x v="7"/>
    <x v="0"/>
    <x v="0"/>
    <x v="6"/>
    <x v="2"/>
    <x v="3"/>
    <x v="0"/>
    <x v="0"/>
    <x v="0"/>
  </r>
  <r>
    <x v="668"/>
    <x v="6"/>
    <x v="4"/>
    <x v="11"/>
    <x v="115"/>
    <x v="624"/>
    <x v="1"/>
    <x v="0"/>
    <x v="0"/>
    <x v="1"/>
    <x v="1"/>
    <x v="1"/>
    <x v="0"/>
    <x v="3"/>
    <x v="1"/>
    <x v="1"/>
    <x v="0"/>
  </r>
  <r>
    <x v="669"/>
    <x v="11"/>
    <x v="4"/>
    <x v="11"/>
    <x v="116"/>
    <x v="625"/>
    <x v="1"/>
    <x v="20"/>
    <x v="7"/>
    <x v="0"/>
    <x v="0"/>
    <x v="6"/>
    <x v="2"/>
    <x v="3"/>
    <x v="0"/>
    <x v="0"/>
    <x v="0"/>
  </r>
  <r>
    <x v="670"/>
    <x v="11"/>
    <x v="4"/>
    <x v="11"/>
    <x v="117"/>
    <x v="626"/>
    <x v="1"/>
    <x v="1"/>
    <x v="0"/>
    <x v="0"/>
    <x v="0"/>
    <x v="1"/>
    <x v="0"/>
    <x v="3"/>
    <x v="0"/>
    <x v="0"/>
    <x v="0"/>
  </r>
  <r>
    <x v="671"/>
    <x v="11"/>
    <x v="4"/>
    <x v="11"/>
    <x v="118"/>
    <x v="627"/>
    <x v="0"/>
    <x v="1"/>
    <x v="0"/>
    <x v="0"/>
    <x v="0"/>
    <x v="1"/>
    <x v="0"/>
    <x v="3"/>
    <x v="0"/>
    <x v="0"/>
    <x v="0"/>
  </r>
  <r>
    <x v="672"/>
    <x v="11"/>
    <x v="4"/>
    <x v="11"/>
    <x v="119"/>
    <x v="628"/>
    <x v="1"/>
    <x v="20"/>
    <x v="7"/>
    <x v="0"/>
    <x v="0"/>
    <x v="6"/>
    <x v="2"/>
    <x v="3"/>
    <x v="0"/>
    <x v="0"/>
    <x v="0"/>
  </r>
  <r>
    <x v="673"/>
    <x v="11"/>
    <x v="4"/>
    <x v="11"/>
    <x v="120"/>
    <x v="629"/>
    <x v="0"/>
    <x v="10"/>
    <x v="5"/>
    <x v="0"/>
    <x v="0"/>
    <x v="17"/>
    <x v="18"/>
    <x v="3"/>
    <x v="0"/>
    <x v="0"/>
    <x v="0"/>
  </r>
  <r>
    <x v="674"/>
    <x v="11"/>
    <x v="4"/>
    <x v="11"/>
    <x v="121"/>
    <x v="630"/>
    <x v="1"/>
    <x v="1"/>
    <x v="0"/>
    <x v="0"/>
    <x v="0"/>
    <x v="1"/>
    <x v="0"/>
    <x v="3"/>
    <x v="0"/>
    <x v="0"/>
    <x v="0"/>
  </r>
  <r>
    <x v="675"/>
    <x v="11"/>
    <x v="4"/>
    <x v="11"/>
    <x v="122"/>
    <x v="631"/>
    <x v="0"/>
    <x v="20"/>
    <x v="7"/>
    <x v="0"/>
    <x v="0"/>
    <x v="6"/>
    <x v="2"/>
    <x v="3"/>
    <x v="0"/>
    <x v="0"/>
    <x v="0"/>
  </r>
  <r>
    <x v="676"/>
    <x v="5"/>
    <x v="4"/>
    <x v="11"/>
    <x v="123"/>
    <x v="632"/>
    <x v="4"/>
    <x v="3"/>
    <x v="2"/>
    <x v="0"/>
    <x v="0"/>
    <x v="13"/>
    <x v="7"/>
    <x v="3"/>
    <x v="0"/>
    <x v="0"/>
    <x v="0"/>
  </r>
  <r>
    <x v="677"/>
    <x v="5"/>
    <x v="4"/>
    <x v="11"/>
    <x v="124"/>
    <x v="633"/>
    <x v="4"/>
    <x v="3"/>
    <x v="2"/>
    <x v="0"/>
    <x v="0"/>
    <x v="13"/>
    <x v="7"/>
    <x v="3"/>
    <x v="0"/>
    <x v="0"/>
    <x v="0"/>
  </r>
  <r>
    <x v="678"/>
    <x v="6"/>
    <x v="4"/>
    <x v="11"/>
    <x v="125"/>
    <x v="634"/>
    <x v="1"/>
    <x v="0"/>
    <x v="0"/>
    <x v="0"/>
    <x v="0"/>
    <x v="8"/>
    <x v="0"/>
    <x v="3"/>
    <x v="0"/>
    <x v="0"/>
    <x v="0"/>
  </r>
  <r>
    <x v="679"/>
    <x v="6"/>
    <x v="4"/>
    <x v="11"/>
    <x v="126"/>
    <x v="635"/>
    <x v="1"/>
    <x v="1"/>
    <x v="0"/>
    <x v="0"/>
    <x v="0"/>
    <x v="1"/>
    <x v="0"/>
    <x v="3"/>
    <x v="0"/>
    <x v="0"/>
    <x v="0"/>
  </r>
  <r>
    <x v="680"/>
    <x v="11"/>
    <x v="4"/>
    <x v="11"/>
    <x v="127"/>
    <x v="636"/>
    <x v="0"/>
    <x v="1"/>
    <x v="0"/>
    <x v="0"/>
    <x v="0"/>
    <x v="1"/>
    <x v="0"/>
    <x v="3"/>
    <x v="0"/>
    <x v="0"/>
    <x v="0"/>
  </r>
  <r>
    <x v="681"/>
    <x v="11"/>
    <x v="4"/>
    <x v="11"/>
    <x v="128"/>
    <x v="637"/>
    <x v="1"/>
    <x v="20"/>
    <x v="7"/>
    <x v="0"/>
    <x v="0"/>
    <x v="6"/>
    <x v="2"/>
    <x v="3"/>
    <x v="0"/>
    <x v="0"/>
    <x v="0"/>
  </r>
  <r>
    <x v="682"/>
    <x v="11"/>
    <x v="4"/>
    <x v="11"/>
    <x v="129"/>
    <x v="638"/>
    <x v="1"/>
    <x v="20"/>
    <x v="7"/>
    <x v="0"/>
    <x v="0"/>
    <x v="6"/>
    <x v="2"/>
    <x v="3"/>
    <x v="0"/>
    <x v="0"/>
    <x v="0"/>
  </r>
  <r>
    <x v="683"/>
    <x v="10"/>
    <x v="4"/>
    <x v="11"/>
    <x v="130"/>
    <x v="639"/>
    <x v="0"/>
    <x v="20"/>
    <x v="7"/>
    <x v="0"/>
    <x v="0"/>
    <x v="6"/>
    <x v="2"/>
    <x v="3"/>
    <x v="0"/>
    <x v="0"/>
    <x v="0"/>
  </r>
  <r>
    <x v="684"/>
    <x v="0"/>
    <x v="4"/>
    <x v="11"/>
    <x v="131"/>
    <x v="640"/>
    <x v="1"/>
    <x v="1"/>
    <x v="0"/>
    <x v="0"/>
    <x v="0"/>
    <x v="1"/>
    <x v="0"/>
    <x v="3"/>
    <x v="0"/>
    <x v="0"/>
    <x v="0"/>
  </r>
  <r>
    <x v="685"/>
    <x v="5"/>
    <x v="4"/>
    <x v="11"/>
    <x v="132"/>
    <x v="641"/>
    <x v="4"/>
    <x v="3"/>
    <x v="2"/>
    <x v="0"/>
    <x v="0"/>
    <x v="13"/>
    <x v="7"/>
    <x v="3"/>
    <x v="0"/>
    <x v="0"/>
    <x v="0"/>
  </r>
  <r>
    <x v="686"/>
    <x v="6"/>
    <x v="4"/>
    <x v="11"/>
    <x v="133"/>
    <x v="642"/>
    <x v="0"/>
    <x v="10"/>
    <x v="5"/>
    <x v="0"/>
    <x v="0"/>
    <x v="17"/>
    <x v="18"/>
    <x v="3"/>
    <x v="0"/>
    <x v="0"/>
    <x v="0"/>
  </r>
  <r>
    <x v="687"/>
    <x v="11"/>
    <x v="4"/>
    <x v="11"/>
    <x v="134"/>
    <x v="643"/>
    <x v="0"/>
    <x v="3"/>
    <x v="2"/>
    <x v="0"/>
    <x v="0"/>
    <x v="6"/>
    <x v="2"/>
    <x v="3"/>
    <x v="0"/>
    <x v="0"/>
    <x v="0"/>
  </r>
  <r>
    <x v="688"/>
    <x v="5"/>
    <x v="4"/>
    <x v="11"/>
    <x v="135"/>
    <x v="644"/>
    <x v="6"/>
    <x v="25"/>
    <x v="9"/>
    <x v="0"/>
    <x v="0"/>
    <x v="20"/>
    <x v="19"/>
    <x v="3"/>
    <x v="0"/>
    <x v="0"/>
    <x v="0"/>
  </r>
  <r>
    <x v="689"/>
    <x v="11"/>
    <x v="4"/>
    <x v="11"/>
    <x v="136"/>
    <x v="645"/>
    <x v="0"/>
    <x v="1"/>
    <x v="0"/>
    <x v="0"/>
    <x v="0"/>
    <x v="1"/>
    <x v="0"/>
    <x v="3"/>
    <x v="0"/>
    <x v="0"/>
    <x v="0"/>
  </r>
  <r>
    <x v="690"/>
    <x v="11"/>
    <x v="4"/>
    <x v="11"/>
    <x v="137"/>
    <x v="646"/>
    <x v="6"/>
    <x v="10"/>
    <x v="10"/>
    <x v="0"/>
    <x v="0"/>
    <x v="20"/>
    <x v="19"/>
    <x v="3"/>
    <x v="0"/>
    <x v="0"/>
    <x v="0"/>
  </r>
  <r>
    <x v="691"/>
    <x v="6"/>
    <x v="4"/>
    <x v="11"/>
    <x v="138"/>
    <x v="647"/>
    <x v="1"/>
    <x v="20"/>
    <x v="7"/>
    <x v="0"/>
    <x v="0"/>
    <x v="6"/>
    <x v="2"/>
    <x v="3"/>
    <x v="0"/>
    <x v="0"/>
    <x v="0"/>
  </r>
  <r>
    <x v="692"/>
    <x v="5"/>
    <x v="4"/>
    <x v="11"/>
    <x v="139"/>
    <x v="648"/>
    <x v="4"/>
    <x v="3"/>
    <x v="2"/>
    <x v="0"/>
    <x v="0"/>
    <x v="13"/>
    <x v="7"/>
    <x v="3"/>
    <x v="0"/>
    <x v="0"/>
    <x v="0"/>
  </r>
  <r>
    <x v="693"/>
    <x v="10"/>
    <x v="4"/>
    <x v="11"/>
    <x v="140"/>
    <x v="649"/>
    <x v="0"/>
    <x v="20"/>
    <x v="7"/>
    <x v="0"/>
    <x v="0"/>
    <x v="6"/>
    <x v="2"/>
    <x v="3"/>
    <x v="0"/>
    <x v="0"/>
    <x v="0"/>
  </r>
  <r>
    <x v="694"/>
    <x v="6"/>
    <x v="4"/>
    <x v="11"/>
    <x v="141"/>
    <x v="650"/>
    <x v="1"/>
    <x v="3"/>
    <x v="2"/>
    <x v="0"/>
    <x v="0"/>
    <x v="6"/>
    <x v="2"/>
    <x v="3"/>
    <x v="0"/>
    <x v="0"/>
    <x v="0"/>
  </r>
  <r>
    <x v="695"/>
    <x v="0"/>
    <x v="4"/>
    <x v="11"/>
    <x v="142"/>
    <x v="651"/>
    <x v="6"/>
    <x v="10"/>
    <x v="5"/>
    <x v="0"/>
    <x v="0"/>
    <x v="20"/>
    <x v="19"/>
    <x v="3"/>
    <x v="0"/>
    <x v="0"/>
    <x v="0"/>
  </r>
  <r>
    <x v="696"/>
    <x v="6"/>
    <x v="4"/>
    <x v="11"/>
    <x v="143"/>
    <x v="652"/>
    <x v="1"/>
    <x v="20"/>
    <x v="7"/>
    <x v="0"/>
    <x v="0"/>
    <x v="6"/>
    <x v="2"/>
    <x v="3"/>
    <x v="0"/>
    <x v="0"/>
    <x v="0"/>
  </r>
  <r>
    <x v="697"/>
    <x v="0"/>
    <x v="4"/>
    <x v="11"/>
    <x v="144"/>
    <x v="653"/>
    <x v="6"/>
    <x v="3"/>
    <x v="2"/>
    <x v="0"/>
    <x v="0"/>
    <x v="6"/>
    <x v="2"/>
    <x v="3"/>
    <x v="0"/>
    <x v="0"/>
    <x v="0"/>
  </r>
  <r>
    <x v="698"/>
    <x v="6"/>
    <x v="4"/>
    <x v="11"/>
    <x v="145"/>
    <x v="654"/>
    <x v="1"/>
    <x v="20"/>
    <x v="7"/>
    <x v="0"/>
    <x v="0"/>
    <x v="6"/>
    <x v="2"/>
    <x v="3"/>
    <x v="0"/>
    <x v="0"/>
    <x v="0"/>
  </r>
  <r>
    <x v="699"/>
    <x v="5"/>
    <x v="4"/>
    <x v="11"/>
    <x v="146"/>
    <x v="655"/>
    <x v="4"/>
    <x v="3"/>
    <x v="2"/>
    <x v="0"/>
    <x v="0"/>
    <x v="13"/>
    <x v="7"/>
    <x v="3"/>
    <x v="0"/>
    <x v="0"/>
    <x v="0"/>
  </r>
  <r>
    <x v="700"/>
    <x v="6"/>
    <x v="4"/>
    <x v="11"/>
    <x v="147"/>
    <x v="656"/>
    <x v="1"/>
    <x v="20"/>
    <x v="7"/>
    <x v="0"/>
    <x v="0"/>
    <x v="6"/>
    <x v="2"/>
    <x v="3"/>
    <x v="0"/>
    <x v="0"/>
    <x v="0"/>
  </r>
  <r>
    <x v="701"/>
    <x v="10"/>
    <x v="4"/>
    <x v="11"/>
    <x v="148"/>
    <x v="657"/>
    <x v="1"/>
    <x v="20"/>
    <x v="7"/>
    <x v="0"/>
    <x v="0"/>
    <x v="6"/>
    <x v="2"/>
    <x v="3"/>
    <x v="0"/>
    <x v="0"/>
    <x v="0"/>
  </r>
  <r>
    <x v="702"/>
    <x v="10"/>
    <x v="4"/>
    <x v="11"/>
    <x v="149"/>
    <x v="658"/>
    <x v="1"/>
    <x v="1"/>
    <x v="0"/>
    <x v="0"/>
    <x v="0"/>
    <x v="1"/>
    <x v="0"/>
    <x v="3"/>
    <x v="0"/>
    <x v="0"/>
    <x v="0"/>
  </r>
  <r>
    <x v="703"/>
    <x v="6"/>
    <x v="4"/>
    <x v="11"/>
    <x v="150"/>
    <x v="659"/>
    <x v="1"/>
    <x v="20"/>
    <x v="7"/>
    <x v="0"/>
    <x v="0"/>
    <x v="6"/>
    <x v="2"/>
    <x v="3"/>
    <x v="0"/>
    <x v="0"/>
    <x v="0"/>
  </r>
  <r>
    <x v="704"/>
    <x v="6"/>
    <x v="4"/>
    <x v="11"/>
    <x v="151"/>
    <x v="660"/>
    <x v="1"/>
    <x v="1"/>
    <x v="1"/>
    <x v="0"/>
    <x v="0"/>
    <x v="3"/>
    <x v="0"/>
    <x v="3"/>
    <x v="0"/>
    <x v="0"/>
    <x v="0"/>
  </r>
  <r>
    <x v="705"/>
    <x v="0"/>
    <x v="4"/>
    <x v="11"/>
    <x v="152"/>
    <x v="661"/>
    <x v="0"/>
    <x v="3"/>
    <x v="2"/>
    <x v="0"/>
    <x v="0"/>
    <x v="6"/>
    <x v="2"/>
    <x v="3"/>
    <x v="0"/>
    <x v="0"/>
    <x v="0"/>
  </r>
  <r>
    <x v="706"/>
    <x v="10"/>
    <x v="4"/>
    <x v="11"/>
    <x v="153"/>
    <x v="662"/>
    <x v="1"/>
    <x v="1"/>
    <x v="0"/>
    <x v="0"/>
    <x v="0"/>
    <x v="1"/>
    <x v="0"/>
    <x v="3"/>
    <x v="0"/>
    <x v="0"/>
    <x v="0"/>
  </r>
  <r>
    <x v="707"/>
    <x v="12"/>
    <x v="4"/>
    <x v="11"/>
    <x v="154"/>
    <x v="663"/>
    <x v="0"/>
    <x v="10"/>
    <x v="5"/>
    <x v="0"/>
    <x v="0"/>
    <x v="18"/>
    <x v="14"/>
    <x v="3"/>
    <x v="0"/>
    <x v="0"/>
    <x v="0"/>
  </r>
  <r>
    <x v="708"/>
    <x v="5"/>
    <x v="4"/>
    <x v="11"/>
    <x v="155"/>
    <x v="664"/>
    <x v="1"/>
    <x v="1"/>
    <x v="0"/>
    <x v="0"/>
    <x v="0"/>
    <x v="1"/>
    <x v="0"/>
    <x v="3"/>
    <x v="0"/>
    <x v="0"/>
    <x v="0"/>
  </r>
  <r>
    <x v="709"/>
    <x v="10"/>
    <x v="4"/>
    <x v="11"/>
    <x v="156"/>
    <x v="665"/>
    <x v="1"/>
    <x v="20"/>
    <x v="7"/>
    <x v="0"/>
    <x v="0"/>
    <x v="6"/>
    <x v="2"/>
    <x v="3"/>
    <x v="0"/>
    <x v="0"/>
    <x v="0"/>
  </r>
  <r>
    <x v="710"/>
    <x v="10"/>
    <x v="4"/>
    <x v="11"/>
    <x v="157"/>
    <x v="666"/>
    <x v="1"/>
    <x v="1"/>
    <x v="0"/>
    <x v="0"/>
    <x v="0"/>
    <x v="1"/>
    <x v="0"/>
    <x v="3"/>
    <x v="0"/>
    <x v="0"/>
    <x v="0"/>
  </r>
  <r>
    <x v="711"/>
    <x v="5"/>
    <x v="4"/>
    <x v="11"/>
    <x v="158"/>
    <x v="667"/>
    <x v="4"/>
    <x v="26"/>
    <x v="0"/>
    <x v="0"/>
    <x v="0"/>
    <x v="21"/>
    <x v="0"/>
    <x v="3"/>
    <x v="0"/>
    <x v="0"/>
    <x v="0"/>
  </r>
  <r>
    <x v="712"/>
    <x v="5"/>
    <x v="4"/>
    <x v="11"/>
    <x v="159"/>
    <x v="668"/>
    <x v="1"/>
    <x v="20"/>
    <x v="7"/>
    <x v="0"/>
    <x v="0"/>
    <x v="6"/>
    <x v="2"/>
    <x v="3"/>
    <x v="0"/>
    <x v="0"/>
    <x v="0"/>
  </r>
  <r>
    <x v="713"/>
    <x v="10"/>
    <x v="4"/>
    <x v="11"/>
    <x v="160"/>
    <x v="669"/>
    <x v="1"/>
    <x v="27"/>
    <x v="11"/>
    <x v="0"/>
    <x v="0"/>
    <x v="22"/>
    <x v="20"/>
    <x v="3"/>
    <x v="0"/>
    <x v="0"/>
    <x v="0"/>
  </r>
  <r>
    <x v="714"/>
    <x v="5"/>
    <x v="4"/>
    <x v="11"/>
    <x v="161"/>
    <x v="670"/>
    <x v="1"/>
    <x v="20"/>
    <x v="7"/>
    <x v="0"/>
    <x v="0"/>
    <x v="6"/>
    <x v="2"/>
    <x v="3"/>
    <x v="0"/>
    <x v="0"/>
    <x v="0"/>
  </r>
  <r>
    <x v="715"/>
    <x v="0"/>
    <x v="4"/>
    <x v="11"/>
    <x v="162"/>
    <x v="671"/>
    <x v="6"/>
    <x v="20"/>
    <x v="7"/>
    <x v="0"/>
    <x v="0"/>
    <x v="6"/>
    <x v="2"/>
    <x v="3"/>
    <x v="0"/>
    <x v="0"/>
    <x v="0"/>
  </r>
  <r>
    <x v="716"/>
    <x v="10"/>
    <x v="4"/>
    <x v="11"/>
    <x v="163"/>
    <x v="672"/>
    <x v="0"/>
    <x v="10"/>
    <x v="5"/>
    <x v="0"/>
    <x v="0"/>
    <x v="18"/>
    <x v="14"/>
    <x v="3"/>
    <x v="0"/>
    <x v="0"/>
    <x v="0"/>
  </r>
  <r>
    <x v="717"/>
    <x v="10"/>
    <x v="4"/>
    <x v="11"/>
    <x v="164"/>
    <x v="673"/>
    <x v="1"/>
    <x v="1"/>
    <x v="0"/>
    <x v="0"/>
    <x v="0"/>
    <x v="1"/>
    <x v="0"/>
    <x v="3"/>
    <x v="0"/>
    <x v="0"/>
    <x v="0"/>
  </r>
  <r>
    <x v="718"/>
    <x v="6"/>
    <x v="4"/>
    <x v="11"/>
    <x v="165"/>
    <x v="674"/>
    <x v="1"/>
    <x v="28"/>
    <x v="5"/>
    <x v="0"/>
    <x v="0"/>
    <x v="20"/>
    <x v="19"/>
    <x v="3"/>
    <x v="0"/>
    <x v="0"/>
    <x v="0"/>
  </r>
  <r>
    <x v="719"/>
    <x v="6"/>
    <x v="4"/>
    <x v="11"/>
    <x v="166"/>
    <x v="675"/>
    <x v="1"/>
    <x v="29"/>
    <x v="12"/>
    <x v="0"/>
    <x v="0"/>
    <x v="20"/>
    <x v="15"/>
    <x v="3"/>
    <x v="0"/>
    <x v="0"/>
    <x v="0"/>
  </r>
  <r>
    <x v="720"/>
    <x v="5"/>
    <x v="4"/>
    <x v="11"/>
    <x v="167"/>
    <x v="676"/>
    <x v="1"/>
    <x v="1"/>
    <x v="0"/>
    <x v="0"/>
    <x v="0"/>
    <x v="1"/>
    <x v="0"/>
    <x v="3"/>
    <x v="0"/>
    <x v="0"/>
    <x v="0"/>
  </r>
  <r>
    <x v="721"/>
    <x v="6"/>
    <x v="4"/>
    <x v="11"/>
    <x v="168"/>
    <x v="677"/>
    <x v="1"/>
    <x v="20"/>
    <x v="7"/>
    <x v="0"/>
    <x v="0"/>
    <x v="6"/>
    <x v="2"/>
    <x v="3"/>
    <x v="0"/>
    <x v="0"/>
    <x v="0"/>
  </r>
  <r>
    <x v="722"/>
    <x v="6"/>
    <x v="4"/>
    <x v="11"/>
    <x v="169"/>
    <x v="678"/>
    <x v="6"/>
    <x v="30"/>
    <x v="5"/>
    <x v="0"/>
    <x v="0"/>
    <x v="20"/>
    <x v="19"/>
    <x v="3"/>
    <x v="0"/>
    <x v="0"/>
    <x v="0"/>
  </r>
  <r>
    <x v="723"/>
    <x v="12"/>
    <x v="4"/>
    <x v="11"/>
    <x v="170"/>
    <x v="679"/>
    <x v="6"/>
    <x v="10"/>
    <x v="5"/>
    <x v="0"/>
    <x v="0"/>
    <x v="20"/>
    <x v="19"/>
    <x v="3"/>
    <x v="0"/>
    <x v="0"/>
    <x v="0"/>
  </r>
  <r>
    <x v="724"/>
    <x v="6"/>
    <x v="4"/>
    <x v="11"/>
    <x v="171"/>
    <x v="680"/>
    <x v="0"/>
    <x v="10"/>
    <x v="5"/>
    <x v="0"/>
    <x v="0"/>
    <x v="18"/>
    <x v="14"/>
    <x v="3"/>
    <x v="0"/>
    <x v="0"/>
    <x v="0"/>
  </r>
  <r>
    <x v="725"/>
    <x v="10"/>
    <x v="4"/>
    <x v="11"/>
    <x v="172"/>
    <x v="681"/>
    <x v="6"/>
    <x v="0"/>
    <x v="0"/>
    <x v="0"/>
    <x v="0"/>
    <x v="0"/>
    <x v="0"/>
    <x v="3"/>
    <x v="0"/>
    <x v="0"/>
    <x v="3"/>
  </r>
  <r>
    <x v="726"/>
    <x v="5"/>
    <x v="4"/>
    <x v="11"/>
    <x v="173"/>
    <x v="682"/>
    <x v="4"/>
    <x v="1"/>
    <x v="0"/>
    <x v="0"/>
    <x v="0"/>
    <x v="1"/>
    <x v="0"/>
    <x v="3"/>
    <x v="0"/>
    <x v="0"/>
    <x v="0"/>
  </r>
  <r>
    <x v="727"/>
    <x v="1"/>
    <x v="4"/>
    <x v="11"/>
    <x v="174"/>
    <x v="683"/>
    <x v="0"/>
    <x v="31"/>
    <x v="13"/>
    <x v="0"/>
    <x v="0"/>
    <x v="6"/>
    <x v="2"/>
    <x v="3"/>
    <x v="0"/>
    <x v="0"/>
    <x v="0"/>
  </r>
  <r>
    <x v="728"/>
    <x v="12"/>
    <x v="4"/>
    <x v="11"/>
    <x v="175"/>
    <x v="684"/>
    <x v="0"/>
    <x v="10"/>
    <x v="5"/>
    <x v="0"/>
    <x v="0"/>
    <x v="6"/>
    <x v="2"/>
    <x v="3"/>
    <x v="0"/>
    <x v="0"/>
    <x v="0"/>
  </r>
  <r>
    <x v="729"/>
    <x v="10"/>
    <x v="4"/>
    <x v="11"/>
    <x v="176"/>
    <x v="685"/>
    <x v="0"/>
    <x v="20"/>
    <x v="7"/>
    <x v="0"/>
    <x v="0"/>
    <x v="6"/>
    <x v="2"/>
    <x v="3"/>
    <x v="0"/>
    <x v="0"/>
    <x v="0"/>
  </r>
  <r>
    <x v="730"/>
    <x v="5"/>
    <x v="4"/>
    <x v="11"/>
    <x v="177"/>
    <x v="686"/>
    <x v="0"/>
    <x v="1"/>
    <x v="0"/>
    <x v="0"/>
    <x v="0"/>
    <x v="1"/>
    <x v="0"/>
    <x v="3"/>
    <x v="0"/>
    <x v="0"/>
    <x v="0"/>
  </r>
  <r>
    <x v="731"/>
    <x v="11"/>
    <x v="4"/>
    <x v="11"/>
    <x v="178"/>
    <x v="687"/>
    <x v="2"/>
    <x v="1"/>
    <x v="0"/>
    <x v="0"/>
    <x v="0"/>
    <x v="1"/>
    <x v="0"/>
    <x v="3"/>
    <x v="0"/>
    <x v="0"/>
    <x v="0"/>
  </r>
  <r>
    <x v="732"/>
    <x v="11"/>
    <x v="4"/>
    <x v="11"/>
    <x v="179"/>
    <x v="688"/>
    <x v="2"/>
    <x v="1"/>
    <x v="0"/>
    <x v="0"/>
    <x v="0"/>
    <x v="1"/>
    <x v="0"/>
    <x v="3"/>
    <x v="0"/>
    <x v="0"/>
    <x v="0"/>
  </r>
  <r>
    <x v="733"/>
    <x v="5"/>
    <x v="4"/>
    <x v="11"/>
    <x v="180"/>
    <x v="689"/>
    <x v="2"/>
    <x v="1"/>
    <x v="0"/>
    <x v="0"/>
    <x v="0"/>
    <x v="1"/>
    <x v="0"/>
    <x v="3"/>
    <x v="0"/>
    <x v="0"/>
    <x v="0"/>
  </r>
  <r>
    <x v="734"/>
    <x v="11"/>
    <x v="4"/>
    <x v="11"/>
    <x v="181"/>
    <x v="690"/>
    <x v="2"/>
    <x v="1"/>
    <x v="0"/>
    <x v="0"/>
    <x v="0"/>
    <x v="1"/>
    <x v="0"/>
    <x v="3"/>
    <x v="0"/>
    <x v="0"/>
    <x v="0"/>
  </r>
  <r>
    <x v="735"/>
    <x v="11"/>
    <x v="4"/>
    <x v="11"/>
    <x v="182"/>
    <x v="691"/>
    <x v="2"/>
    <x v="1"/>
    <x v="0"/>
    <x v="0"/>
    <x v="0"/>
    <x v="1"/>
    <x v="0"/>
    <x v="3"/>
    <x v="0"/>
    <x v="0"/>
    <x v="0"/>
  </r>
  <r>
    <x v="736"/>
    <x v="5"/>
    <x v="4"/>
    <x v="11"/>
    <x v="183"/>
    <x v="692"/>
    <x v="1"/>
    <x v="1"/>
    <x v="0"/>
    <x v="0"/>
    <x v="0"/>
    <x v="1"/>
    <x v="0"/>
    <x v="3"/>
    <x v="0"/>
    <x v="0"/>
    <x v="0"/>
  </r>
  <r>
    <x v="737"/>
    <x v="8"/>
    <x v="4"/>
    <x v="11"/>
    <x v="184"/>
    <x v="693"/>
    <x v="0"/>
    <x v="1"/>
    <x v="0"/>
    <x v="0"/>
    <x v="0"/>
    <x v="1"/>
    <x v="0"/>
    <x v="3"/>
    <x v="0"/>
    <x v="0"/>
    <x v="0"/>
  </r>
  <r>
    <x v="738"/>
    <x v="2"/>
    <x v="4"/>
    <x v="11"/>
    <x v="185"/>
    <x v="694"/>
    <x v="1"/>
    <x v="1"/>
    <x v="0"/>
    <x v="0"/>
    <x v="0"/>
    <x v="1"/>
    <x v="0"/>
    <x v="3"/>
    <x v="0"/>
    <x v="0"/>
    <x v="0"/>
  </r>
  <r>
    <x v="739"/>
    <x v="6"/>
    <x v="4"/>
    <x v="11"/>
    <x v="186"/>
    <x v="695"/>
    <x v="5"/>
    <x v="32"/>
    <x v="14"/>
    <x v="0"/>
    <x v="0"/>
    <x v="15"/>
    <x v="15"/>
    <x v="3"/>
    <x v="0"/>
    <x v="0"/>
    <x v="0"/>
  </r>
  <r>
    <x v="740"/>
    <x v="5"/>
    <x v="4"/>
    <x v="11"/>
    <x v="187"/>
    <x v="696"/>
    <x v="4"/>
    <x v="1"/>
    <x v="0"/>
    <x v="0"/>
    <x v="0"/>
    <x v="11"/>
    <x v="0"/>
    <x v="3"/>
    <x v="0"/>
    <x v="0"/>
    <x v="0"/>
  </r>
  <r>
    <x v="741"/>
    <x v="6"/>
    <x v="4"/>
    <x v="11"/>
    <x v="188"/>
    <x v="697"/>
    <x v="1"/>
    <x v="1"/>
    <x v="0"/>
    <x v="1"/>
    <x v="1"/>
    <x v="1"/>
    <x v="0"/>
    <x v="3"/>
    <x v="2"/>
    <x v="3"/>
    <x v="0"/>
  </r>
  <r>
    <x v="742"/>
    <x v="6"/>
    <x v="4"/>
    <x v="11"/>
    <x v="189"/>
    <x v="698"/>
    <x v="0"/>
    <x v="33"/>
    <x v="0"/>
    <x v="3"/>
    <x v="1"/>
    <x v="1"/>
    <x v="2"/>
    <x v="3"/>
    <x v="2"/>
    <x v="3"/>
    <x v="0"/>
  </r>
  <r>
    <x v="743"/>
    <x v="1"/>
    <x v="4"/>
    <x v="11"/>
    <x v="44"/>
    <x v="699"/>
    <x v="5"/>
    <x v="1"/>
    <x v="0"/>
    <x v="0"/>
    <x v="0"/>
    <x v="1"/>
    <x v="0"/>
    <x v="3"/>
    <x v="0"/>
    <x v="0"/>
    <x v="0"/>
  </r>
  <r>
    <x v="744"/>
    <x v="6"/>
    <x v="4"/>
    <x v="11"/>
    <x v="47"/>
    <x v="700"/>
    <x v="6"/>
    <x v="1"/>
    <x v="0"/>
    <x v="0"/>
    <x v="0"/>
    <x v="1"/>
    <x v="0"/>
    <x v="3"/>
    <x v="0"/>
    <x v="0"/>
    <x v="3"/>
  </r>
  <r>
    <x v="745"/>
    <x v="6"/>
    <x v="4"/>
    <x v="11"/>
    <x v="47"/>
    <x v="701"/>
    <x v="6"/>
    <x v="8"/>
    <x v="0"/>
    <x v="1"/>
    <x v="1"/>
    <x v="1"/>
    <x v="0"/>
    <x v="3"/>
    <x v="2"/>
    <x v="4"/>
    <x v="3"/>
  </r>
  <r>
    <x v="746"/>
    <x v="6"/>
    <x v="4"/>
    <x v="11"/>
    <x v="47"/>
    <x v="702"/>
    <x v="6"/>
    <x v="1"/>
    <x v="0"/>
    <x v="1"/>
    <x v="1"/>
    <x v="1"/>
    <x v="0"/>
    <x v="3"/>
    <x v="2"/>
    <x v="3"/>
    <x v="3"/>
  </r>
  <r>
    <x v="747"/>
    <x v="6"/>
    <x v="4"/>
    <x v="11"/>
    <x v="47"/>
    <x v="703"/>
    <x v="6"/>
    <x v="0"/>
    <x v="0"/>
    <x v="1"/>
    <x v="1"/>
    <x v="1"/>
    <x v="0"/>
    <x v="3"/>
    <x v="1"/>
    <x v="1"/>
    <x v="3"/>
  </r>
  <r>
    <x v="748"/>
    <x v="6"/>
    <x v="4"/>
    <x v="11"/>
    <x v="47"/>
    <x v="704"/>
    <x v="5"/>
    <x v="1"/>
    <x v="0"/>
    <x v="0"/>
    <x v="0"/>
    <x v="1"/>
    <x v="0"/>
    <x v="3"/>
    <x v="0"/>
    <x v="0"/>
    <x v="1"/>
  </r>
  <r>
    <x v="749"/>
    <x v="6"/>
    <x v="4"/>
    <x v="11"/>
    <x v="47"/>
    <x v="705"/>
    <x v="5"/>
    <x v="1"/>
    <x v="0"/>
    <x v="0"/>
    <x v="0"/>
    <x v="1"/>
    <x v="0"/>
    <x v="3"/>
    <x v="0"/>
    <x v="0"/>
    <x v="1"/>
  </r>
  <r>
    <x v="750"/>
    <x v="6"/>
    <x v="4"/>
    <x v="11"/>
    <x v="47"/>
    <x v="706"/>
    <x v="5"/>
    <x v="1"/>
    <x v="0"/>
    <x v="0"/>
    <x v="0"/>
    <x v="1"/>
    <x v="0"/>
    <x v="3"/>
    <x v="0"/>
    <x v="0"/>
    <x v="1"/>
  </r>
  <r>
    <x v="751"/>
    <x v="5"/>
    <x v="4"/>
    <x v="11"/>
    <x v="44"/>
    <x v="707"/>
    <x v="0"/>
    <x v="1"/>
    <x v="0"/>
    <x v="0"/>
    <x v="0"/>
    <x v="1"/>
    <x v="0"/>
    <x v="3"/>
    <x v="0"/>
    <x v="0"/>
    <x v="4"/>
  </r>
  <r>
    <x v="752"/>
    <x v="5"/>
    <x v="4"/>
    <x v="11"/>
    <x v="44"/>
    <x v="708"/>
    <x v="6"/>
    <x v="1"/>
    <x v="0"/>
    <x v="0"/>
    <x v="0"/>
    <x v="1"/>
    <x v="0"/>
    <x v="3"/>
    <x v="0"/>
    <x v="0"/>
    <x v="3"/>
  </r>
  <r>
    <x v="753"/>
    <x v="5"/>
    <x v="4"/>
    <x v="11"/>
    <x v="44"/>
    <x v="709"/>
    <x v="6"/>
    <x v="8"/>
    <x v="0"/>
    <x v="1"/>
    <x v="1"/>
    <x v="1"/>
    <x v="0"/>
    <x v="3"/>
    <x v="2"/>
    <x v="4"/>
    <x v="3"/>
  </r>
  <r>
    <x v="754"/>
    <x v="5"/>
    <x v="4"/>
    <x v="11"/>
    <x v="44"/>
    <x v="710"/>
    <x v="6"/>
    <x v="0"/>
    <x v="0"/>
    <x v="1"/>
    <x v="1"/>
    <x v="1"/>
    <x v="0"/>
    <x v="3"/>
    <x v="1"/>
    <x v="1"/>
    <x v="3"/>
  </r>
  <r>
    <x v="755"/>
    <x v="5"/>
    <x v="4"/>
    <x v="11"/>
    <x v="44"/>
    <x v="711"/>
    <x v="6"/>
    <x v="1"/>
    <x v="0"/>
    <x v="0"/>
    <x v="0"/>
    <x v="1"/>
    <x v="0"/>
    <x v="3"/>
    <x v="0"/>
    <x v="0"/>
    <x v="3"/>
  </r>
  <r>
    <x v="756"/>
    <x v="6"/>
    <x v="4"/>
    <x v="12"/>
    <x v="190"/>
    <x v="712"/>
    <x v="0"/>
    <x v="1"/>
    <x v="15"/>
    <x v="0"/>
    <x v="0"/>
    <x v="1"/>
    <x v="21"/>
    <x v="3"/>
    <x v="0"/>
    <x v="0"/>
    <x v="0"/>
  </r>
  <r>
    <x v="757"/>
    <x v="6"/>
    <x v="4"/>
    <x v="12"/>
    <x v="191"/>
    <x v="713"/>
    <x v="0"/>
    <x v="3"/>
    <x v="2"/>
    <x v="0"/>
    <x v="0"/>
    <x v="13"/>
    <x v="7"/>
    <x v="3"/>
    <x v="0"/>
    <x v="0"/>
    <x v="0"/>
  </r>
  <r>
    <x v="758"/>
    <x v="6"/>
    <x v="4"/>
    <x v="12"/>
    <x v="192"/>
    <x v="714"/>
    <x v="0"/>
    <x v="34"/>
    <x v="5"/>
    <x v="0"/>
    <x v="0"/>
    <x v="17"/>
    <x v="15"/>
    <x v="3"/>
    <x v="0"/>
    <x v="0"/>
    <x v="0"/>
  </r>
  <r>
    <x v="759"/>
    <x v="12"/>
    <x v="4"/>
    <x v="12"/>
    <x v="193"/>
    <x v="715"/>
    <x v="0"/>
    <x v="1"/>
    <x v="0"/>
    <x v="0"/>
    <x v="0"/>
    <x v="1"/>
    <x v="0"/>
    <x v="3"/>
    <x v="0"/>
    <x v="0"/>
    <x v="0"/>
  </r>
  <r>
    <x v="760"/>
    <x v="6"/>
    <x v="4"/>
    <x v="12"/>
    <x v="194"/>
    <x v="716"/>
    <x v="0"/>
    <x v="3"/>
    <x v="2"/>
    <x v="0"/>
    <x v="0"/>
    <x v="13"/>
    <x v="7"/>
    <x v="3"/>
    <x v="0"/>
    <x v="0"/>
    <x v="0"/>
  </r>
  <r>
    <x v="761"/>
    <x v="10"/>
    <x v="4"/>
    <x v="12"/>
    <x v="195"/>
    <x v="717"/>
    <x v="0"/>
    <x v="1"/>
    <x v="5"/>
    <x v="0"/>
    <x v="0"/>
    <x v="1"/>
    <x v="22"/>
    <x v="3"/>
    <x v="0"/>
    <x v="0"/>
    <x v="0"/>
  </r>
  <r>
    <x v="762"/>
    <x v="10"/>
    <x v="4"/>
    <x v="12"/>
    <x v="196"/>
    <x v="718"/>
    <x v="0"/>
    <x v="1"/>
    <x v="5"/>
    <x v="0"/>
    <x v="0"/>
    <x v="1"/>
    <x v="22"/>
    <x v="3"/>
    <x v="0"/>
    <x v="0"/>
    <x v="0"/>
  </r>
  <r>
    <x v="763"/>
    <x v="6"/>
    <x v="4"/>
    <x v="12"/>
    <x v="197"/>
    <x v="719"/>
    <x v="0"/>
    <x v="1"/>
    <x v="16"/>
    <x v="0"/>
    <x v="0"/>
    <x v="1"/>
    <x v="21"/>
    <x v="3"/>
    <x v="0"/>
    <x v="0"/>
    <x v="0"/>
  </r>
  <r>
    <x v="764"/>
    <x v="10"/>
    <x v="4"/>
    <x v="12"/>
    <x v="198"/>
    <x v="720"/>
    <x v="0"/>
    <x v="1"/>
    <x v="17"/>
    <x v="0"/>
    <x v="0"/>
    <x v="1"/>
    <x v="22"/>
    <x v="3"/>
    <x v="0"/>
    <x v="0"/>
    <x v="0"/>
  </r>
  <r>
    <x v="765"/>
    <x v="0"/>
    <x v="4"/>
    <x v="12"/>
    <x v="199"/>
    <x v="721"/>
    <x v="0"/>
    <x v="3"/>
    <x v="2"/>
    <x v="0"/>
    <x v="0"/>
    <x v="13"/>
    <x v="7"/>
    <x v="3"/>
    <x v="0"/>
    <x v="0"/>
    <x v="0"/>
  </r>
  <r>
    <x v="766"/>
    <x v="0"/>
    <x v="4"/>
    <x v="12"/>
    <x v="200"/>
    <x v="722"/>
    <x v="0"/>
    <x v="3"/>
    <x v="2"/>
    <x v="0"/>
    <x v="0"/>
    <x v="13"/>
    <x v="7"/>
    <x v="3"/>
    <x v="0"/>
    <x v="0"/>
    <x v="0"/>
  </r>
  <r>
    <x v="767"/>
    <x v="10"/>
    <x v="4"/>
    <x v="12"/>
    <x v="201"/>
    <x v="723"/>
    <x v="0"/>
    <x v="3"/>
    <x v="2"/>
    <x v="0"/>
    <x v="0"/>
    <x v="13"/>
    <x v="7"/>
    <x v="3"/>
    <x v="0"/>
    <x v="0"/>
    <x v="0"/>
  </r>
  <r>
    <x v="768"/>
    <x v="6"/>
    <x v="4"/>
    <x v="12"/>
    <x v="202"/>
    <x v="724"/>
    <x v="0"/>
    <x v="3"/>
    <x v="2"/>
    <x v="0"/>
    <x v="0"/>
    <x v="6"/>
    <x v="2"/>
    <x v="3"/>
    <x v="0"/>
    <x v="0"/>
    <x v="0"/>
  </r>
  <r>
    <x v="769"/>
    <x v="6"/>
    <x v="4"/>
    <x v="12"/>
    <x v="203"/>
    <x v="725"/>
    <x v="1"/>
    <x v="0"/>
    <x v="0"/>
    <x v="0"/>
    <x v="0"/>
    <x v="8"/>
    <x v="0"/>
    <x v="3"/>
    <x v="0"/>
    <x v="0"/>
    <x v="0"/>
  </r>
  <r>
    <x v="770"/>
    <x v="0"/>
    <x v="4"/>
    <x v="12"/>
    <x v="204"/>
    <x v="726"/>
    <x v="0"/>
    <x v="1"/>
    <x v="0"/>
    <x v="0"/>
    <x v="0"/>
    <x v="1"/>
    <x v="0"/>
    <x v="3"/>
    <x v="0"/>
    <x v="0"/>
    <x v="0"/>
  </r>
  <r>
    <x v="771"/>
    <x v="0"/>
    <x v="4"/>
    <x v="12"/>
    <x v="205"/>
    <x v="727"/>
    <x v="0"/>
    <x v="35"/>
    <x v="5"/>
    <x v="0"/>
    <x v="0"/>
    <x v="19"/>
    <x v="15"/>
    <x v="3"/>
    <x v="0"/>
    <x v="0"/>
    <x v="0"/>
  </r>
  <r>
    <x v="772"/>
    <x v="11"/>
    <x v="4"/>
    <x v="12"/>
    <x v="206"/>
    <x v="728"/>
    <x v="0"/>
    <x v="20"/>
    <x v="7"/>
    <x v="0"/>
    <x v="0"/>
    <x v="18"/>
    <x v="14"/>
    <x v="3"/>
    <x v="0"/>
    <x v="0"/>
    <x v="0"/>
  </r>
  <r>
    <x v="773"/>
    <x v="11"/>
    <x v="4"/>
    <x v="12"/>
    <x v="207"/>
    <x v="729"/>
    <x v="0"/>
    <x v="3"/>
    <x v="2"/>
    <x v="0"/>
    <x v="0"/>
    <x v="6"/>
    <x v="2"/>
    <x v="3"/>
    <x v="0"/>
    <x v="0"/>
    <x v="0"/>
  </r>
  <r>
    <x v="774"/>
    <x v="11"/>
    <x v="4"/>
    <x v="12"/>
    <x v="208"/>
    <x v="730"/>
    <x v="0"/>
    <x v="3"/>
    <x v="2"/>
    <x v="0"/>
    <x v="0"/>
    <x v="6"/>
    <x v="2"/>
    <x v="3"/>
    <x v="0"/>
    <x v="0"/>
    <x v="0"/>
  </r>
  <r>
    <x v="775"/>
    <x v="11"/>
    <x v="4"/>
    <x v="12"/>
    <x v="209"/>
    <x v="731"/>
    <x v="0"/>
    <x v="3"/>
    <x v="2"/>
    <x v="0"/>
    <x v="0"/>
    <x v="6"/>
    <x v="2"/>
    <x v="3"/>
    <x v="0"/>
    <x v="0"/>
    <x v="0"/>
  </r>
  <r>
    <x v="776"/>
    <x v="6"/>
    <x v="4"/>
    <x v="12"/>
    <x v="210"/>
    <x v="732"/>
    <x v="6"/>
    <x v="36"/>
    <x v="6"/>
    <x v="0"/>
    <x v="0"/>
    <x v="15"/>
    <x v="15"/>
    <x v="3"/>
    <x v="0"/>
    <x v="0"/>
    <x v="0"/>
  </r>
  <r>
    <x v="777"/>
    <x v="6"/>
    <x v="4"/>
    <x v="12"/>
    <x v="211"/>
    <x v="733"/>
    <x v="6"/>
    <x v="37"/>
    <x v="5"/>
    <x v="0"/>
    <x v="0"/>
    <x v="19"/>
    <x v="15"/>
    <x v="3"/>
    <x v="0"/>
    <x v="0"/>
    <x v="0"/>
  </r>
  <r>
    <x v="778"/>
    <x v="5"/>
    <x v="4"/>
    <x v="12"/>
    <x v="212"/>
    <x v="734"/>
    <x v="6"/>
    <x v="3"/>
    <x v="2"/>
    <x v="0"/>
    <x v="0"/>
    <x v="13"/>
    <x v="7"/>
    <x v="3"/>
    <x v="0"/>
    <x v="0"/>
    <x v="0"/>
  </r>
  <r>
    <x v="779"/>
    <x v="6"/>
    <x v="4"/>
    <x v="12"/>
    <x v="213"/>
    <x v="735"/>
    <x v="6"/>
    <x v="38"/>
    <x v="6"/>
    <x v="0"/>
    <x v="0"/>
    <x v="15"/>
    <x v="15"/>
    <x v="3"/>
    <x v="0"/>
    <x v="0"/>
    <x v="0"/>
  </r>
  <r>
    <x v="780"/>
    <x v="6"/>
    <x v="4"/>
    <x v="12"/>
    <x v="214"/>
    <x v="736"/>
    <x v="1"/>
    <x v="20"/>
    <x v="7"/>
    <x v="0"/>
    <x v="0"/>
    <x v="18"/>
    <x v="14"/>
    <x v="3"/>
    <x v="0"/>
    <x v="0"/>
    <x v="0"/>
  </r>
  <r>
    <x v="781"/>
    <x v="6"/>
    <x v="4"/>
    <x v="12"/>
    <x v="215"/>
    <x v="737"/>
    <x v="1"/>
    <x v="3"/>
    <x v="2"/>
    <x v="0"/>
    <x v="0"/>
    <x v="23"/>
    <x v="17"/>
    <x v="3"/>
    <x v="0"/>
    <x v="0"/>
    <x v="0"/>
  </r>
  <r>
    <x v="782"/>
    <x v="6"/>
    <x v="4"/>
    <x v="12"/>
    <x v="216"/>
    <x v="738"/>
    <x v="1"/>
    <x v="1"/>
    <x v="0"/>
    <x v="0"/>
    <x v="0"/>
    <x v="24"/>
    <x v="0"/>
    <x v="3"/>
    <x v="0"/>
    <x v="0"/>
    <x v="0"/>
  </r>
  <r>
    <x v="783"/>
    <x v="10"/>
    <x v="4"/>
    <x v="12"/>
    <x v="217"/>
    <x v="739"/>
    <x v="1"/>
    <x v="39"/>
    <x v="6"/>
    <x v="0"/>
    <x v="0"/>
    <x v="15"/>
    <x v="15"/>
    <x v="3"/>
    <x v="0"/>
    <x v="0"/>
    <x v="0"/>
  </r>
  <r>
    <x v="784"/>
    <x v="6"/>
    <x v="4"/>
    <x v="12"/>
    <x v="218"/>
    <x v="740"/>
    <x v="1"/>
    <x v="3"/>
    <x v="2"/>
    <x v="0"/>
    <x v="0"/>
    <x v="23"/>
    <x v="17"/>
    <x v="3"/>
    <x v="0"/>
    <x v="0"/>
    <x v="0"/>
  </r>
  <r>
    <x v="785"/>
    <x v="5"/>
    <x v="4"/>
    <x v="12"/>
    <x v="219"/>
    <x v="741"/>
    <x v="1"/>
    <x v="3"/>
    <x v="2"/>
    <x v="0"/>
    <x v="0"/>
    <x v="23"/>
    <x v="17"/>
    <x v="3"/>
    <x v="0"/>
    <x v="0"/>
    <x v="0"/>
  </r>
  <r>
    <x v="786"/>
    <x v="10"/>
    <x v="4"/>
    <x v="12"/>
    <x v="220"/>
    <x v="742"/>
    <x v="1"/>
    <x v="6"/>
    <x v="0"/>
    <x v="0"/>
    <x v="0"/>
    <x v="24"/>
    <x v="0"/>
    <x v="3"/>
    <x v="0"/>
    <x v="0"/>
    <x v="0"/>
  </r>
  <r>
    <x v="787"/>
    <x v="6"/>
    <x v="4"/>
    <x v="12"/>
    <x v="221"/>
    <x v="743"/>
    <x v="1"/>
    <x v="20"/>
    <x v="7"/>
    <x v="0"/>
    <x v="0"/>
    <x v="18"/>
    <x v="14"/>
    <x v="3"/>
    <x v="0"/>
    <x v="0"/>
    <x v="0"/>
  </r>
  <r>
    <x v="788"/>
    <x v="10"/>
    <x v="4"/>
    <x v="12"/>
    <x v="222"/>
    <x v="744"/>
    <x v="1"/>
    <x v="1"/>
    <x v="18"/>
    <x v="0"/>
    <x v="0"/>
    <x v="1"/>
    <x v="22"/>
    <x v="3"/>
    <x v="0"/>
    <x v="0"/>
    <x v="0"/>
  </r>
  <r>
    <x v="789"/>
    <x v="6"/>
    <x v="4"/>
    <x v="12"/>
    <x v="223"/>
    <x v="745"/>
    <x v="1"/>
    <x v="3"/>
    <x v="2"/>
    <x v="0"/>
    <x v="0"/>
    <x v="23"/>
    <x v="17"/>
    <x v="3"/>
    <x v="0"/>
    <x v="0"/>
    <x v="0"/>
  </r>
  <r>
    <x v="790"/>
    <x v="6"/>
    <x v="4"/>
    <x v="12"/>
    <x v="224"/>
    <x v="746"/>
    <x v="1"/>
    <x v="1"/>
    <x v="1"/>
    <x v="0"/>
    <x v="0"/>
    <x v="3"/>
    <x v="0"/>
    <x v="3"/>
    <x v="0"/>
    <x v="0"/>
    <x v="0"/>
  </r>
  <r>
    <x v="791"/>
    <x v="6"/>
    <x v="4"/>
    <x v="12"/>
    <x v="225"/>
    <x v="747"/>
    <x v="1"/>
    <x v="40"/>
    <x v="6"/>
    <x v="0"/>
    <x v="0"/>
    <x v="15"/>
    <x v="15"/>
    <x v="3"/>
    <x v="0"/>
    <x v="0"/>
    <x v="0"/>
  </r>
  <r>
    <x v="792"/>
    <x v="6"/>
    <x v="4"/>
    <x v="12"/>
    <x v="226"/>
    <x v="748"/>
    <x v="1"/>
    <x v="1"/>
    <x v="19"/>
    <x v="0"/>
    <x v="0"/>
    <x v="1"/>
    <x v="22"/>
    <x v="3"/>
    <x v="0"/>
    <x v="0"/>
    <x v="0"/>
  </r>
  <r>
    <x v="793"/>
    <x v="10"/>
    <x v="4"/>
    <x v="12"/>
    <x v="227"/>
    <x v="749"/>
    <x v="1"/>
    <x v="0"/>
    <x v="0"/>
    <x v="0"/>
    <x v="0"/>
    <x v="8"/>
    <x v="0"/>
    <x v="3"/>
    <x v="0"/>
    <x v="0"/>
    <x v="0"/>
  </r>
  <r>
    <x v="794"/>
    <x v="6"/>
    <x v="4"/>
    <x v="12"/>
    <x v="228"/>
    <x v="750"/>
    <x v="1"/>
    <x v="3"/>
    <x v="2"/>
    <x v="0"/>
    <x v="0"/>
    <x v="23"/>
    <x v="17"/>
    <x v="3"/>
    <x v="0"/>
    <x v="0"/>
    <x v="0"/>
  </r>
  <r>
    <x v="795"/>
    <x v="6"/>
    <x v="4"/>
    <x v="12"/>
    <x v="229"/>
    <x v="751"/>
    <x v="1"/>
    <x v="0"/>
    <x v="0"/>
    <x v="0"/>
    <x v="0"/>
    <x v="5"/>
    <x v="0"/>
    <x v="3"/>
    <x v="0"/>
    <x v="0"/>
    <x v="0"/>
  </r>
  <r>
    <x v="796"/>
    <x v="13"/>
    <x v="4"/>
    <x v="12"/>
    <x v="230"/>
    <x v="752"/>
    <x v="1"/>
    <x v="0"/>
    <x v="0"/>
    <x v="0"/>
    <x v="0"/>
    <x v="8"/>
    <x v="0"/>
    <x v="3"/>
    <x v="0"/>
    <x v="0"/>
    <x v="0"/>
  </r>
  <r>
    <x v="797"/>
    <x v="6"/>
    <x v="4"/>
    <x v="12"/>
    <x v="231"/>
    <x v="753"/>
    <x v="1"/>
    <x v="3"/>
    <x v="2"/>
    <x v="0"/>
    <x v="0"/>
    <x v="23"/>
    <x v="17"/>
    <x v="3"/>
    <x v="0"/>
    <x v="0"/>
    <x v="0"/>
  </r>
  <r>
    <x v="798"/>
    <x v="10"/>
    <x v="4"/>
    <x v="12"/>
    <x v="232"/>
    <x v="754"/>
    <x v="1"/>
    <x v="10"/>
    <x v="20"/>
    <x v="0"/>
    <x v="0"/>
    <x v="20"/>
    <x v="19"/>
    <x v="3"/>
    <x v="0"/>
    <x v="0"/>
    <x v="0"/>
  </r>
  <r>
    <x v="799"/>
    <x v="6"/>
    <x v="4"/>
    <x v="12"/>
    <x v="233"/>
    <x v="755"/>
    <x v="1"/>
    <x v="41"/>
    <x v="6"/>
    <x v="0"/>
    <x v="0"/>
    <x v="15"/>
    <x v="23"/>
    <x v="3"/>
    <x v="0"/>
    <x v="0"/>
    <x v="0"/>
  </r>
  <r>
    <x v="800"/>
    <x v="10"/>
    <x v="4"/>
    <x v="12"/>
    <x v="234"/>
    <x v="756"/>
    <x v="1"/>
    <x v="0"/>
    <x v="0"/>
    <x v="0"/>
    <x v="0"/>
    <x v="8"/>
    <x v="0"/>
    <x v="3"/>
    <x v="0"/>
    <x v="0"/>
    <x v="0"/>
  </r>
  <r>
    <x v="801"/>
    <x v="10"/>
    <x v="4"/>
    <x v="12"/>
    <x v="235"/>
    <x v="757"/>
    <x v="1"/>
    <x v="10"/>
    <x v="21"/>
    <x v="0"/>
    <x v="0"/>
    <x v="13"/>
    <x v="7"/>
    <x v="3"/>
    <x v="0"/>
    <x v="0"/>
    <x v="0"/>
  </r>
  <r>
    <x v="802"/>
    <x v="13"/>
    <x v="4"/>
    <x v="12"/>
    <x v="236"/>
    <x v="758"/>
    <x v="1"/>
    <x v="20"/>
    <x v="7"/>
    <x v="0"/>
    <x v="0"/>
    <x v="18"/>
    <x v="14"/>
    <x v="3"/>
    <x v="0"/>
    <x v="0"/>
    <x v="0"/>
  </r>
  <r>
    <x v="803"/>
    <x v="6"/>
    <x v="4"/>
    <x v="12"/>
    <x v="237"/>
    <x v="759"/>
    <x v="1"/>
    <x v="3"/>
    <x v="2"/>
    <x v="0"/>
    <x v="0"/>
    <x v="23"/>
    <x v="17"/>
    <x v="3"/>
    <x v="0"/>
    <x v="0"/>
    <x v="0"/>
  </r>
  <r>
    <x v="804"/>
    <x v="11"/>
    <x v="4"/>
    <x v="12"/>
    <x v="238"/>
    <x v="760"/>
    <x v="1"/>
    <x v="3"/>
    <x v="2"/>
    <x v="0"/>
    <x v="0"/>
    <x v="25"/>
    <x v="24"/>
    <x v="3"/>
    <x v="0"/>
    <x v="0"/>
    <x v="0"/>
  </r>
  <r>
    <x v="805"/>
    <x v="11"/>
    <x v="4"/>
    <x v="12"/>
    <x v="239"/>
    <x v="761"/>
    <x v="1"/>
    <x v="20"/>
    <x v="7"/>
    <x v="0"/>
    <x v="0"/>
    <x v="18"/>
    <x v="14"/>
    <x v="3"/>
    <x v="0"/>
    <x v="0"/>
    <x v="0"/>
  </r>
  <r>
    <x v="806"/>
    <x v="6"/>
    <x v="4"/>
    <x v="12"/>
    <x v="240"/>
    <x v="762"/>
    <x v="1"/>
    <x v="0"/>
    <x v="0"/>
    <x v="1"/>
    <x v="1"/>
    <x v="1"/>
    <x v="0"/>
    <x v="3"/>
    <x v="1"/>
    <x v="1"/>
    <x v="0"/>
  </r>
  <r>
    <x v="807"/>
    <x v="10"/>
    <x v="4"/>
    <x v="12"/>
    <x v="241"/>
    <x v="763"/>
    <x v="1"/>
    <x v="0"/>
    <x v="0"/>
    <x v="0"/>
    <x v="0"/>
    <x v="1"/>
    <x v="0"/>
    <x v="3"/>
    <x v="0"/>
    <x v="0"/>
    <x v="0"/>
  </r>
  <r>
    <x v="808"/>
    <x v="13"/>
    <x v="4"/>
    <x v="12"/>
    <x v="242"/>
    <x v="764"/>
    <x v="1"/>
    <x v="3"/>
    <x v="2"/>
    <x v="0"/>
    <x v="0"/>
    <x v="23"/>
    <x v="17"/>
    <x v="3"/>
    <x v="0"/>
    <x v="0"/>
    <x v="0"/>
  </r>
  <r>
    <x v="809"/>
    <x v="6"/>
    <x v="4"/>
    <x v="12"/>
    <x v="243"/>
    <x v="765"/>
    <x v="1"/>
    <x v="1"/>
    <x v="0"/>
    <x v="0"/>
    <x v="0"/>
    <x v="1"/>
    <x v="0"/>
    <x v="3"/>
    <x v="0"/>
    <x v="0"/>
    <x v="0"/>
  </r>
  <r>
    <x v="810"/>
    <x v="6"/>
    <x v="4"/>
    <x v="12"/>
    <x v="244"/>
    <x v="766"/>
    <x v="1"/>
    <x v="1"/>
    <x v="22"/>
    <x v="0"/>
    <x v="0"/>
    <x v="1"/>
    <x v="22"/>
    <x v="3"/>
    <x v="0"/>
    <x v="0"/>
    <x v="0"/>
  </r>
  <r>
    <x v="811"/>
    <x v="6"/>
    <x v="4"/>
    <x v="12"/>
    <x v="245"/>
    <x v="767"/>
    <x v="1"/>
    <x v="42"/>
    <x v="6"/>
    <x v="0"/>
    <x v="0"/>
    <x v="15"/>
    <x v="15"/>
    <x v="3"/>
    <x v="0"/>
    <x v="0"/>
    <x v="0"/>
  </r>
  <r>
    <x v="812"/>
    <x v="11"/>
    <x v="4"/>
    <x v="12"/>
    <x v="246"/>
    <x v="607"/>
    <x v="1"/>
    <x v="0"/>
    <x v="0"/>
    <x v="1"/>
    <x v="1"/>
    <x v="1"/>
    <x v="0"/>
    <x v="3"/>
    <x v="1"/>
    <x v="1"/>
    <x v="0"/>
  </r>
  <r>
    <x v="813"/>
    <x v="6"/>
    <x v="4"/>
    <x v="12"/>
    <x v="247"/>
    <x v="768"/>
    <x v="1"/>
    <x v="20"/>
    <x v="7"/>
    <x v="0"/>
    <x v="0"/>
    <x v="6"/>
    <x v="2"/>
    <x v="3"/>
    <x v="0"/>
    <x v="0"/>
    <x v="0"/>
  </r>
  <r>
    <x v="814"/>
    <x v="6"/>
    <x v="4"/>
    <x v="12"/>
    <x v="248"/>
    <x v="769"/>
    <x v="1"/>
    <x v="43"/>
    <x v="6"/>
    <x v="0"/>
    <x v="0"/>
    <x v="15"/>
    <x v="15"/>
    <x v="3"/>
    <x v="0"/>
    <x v="0"/>
    <x v="0"/>
  </r>
  <r>
    <x v="815"/>
    <x v="11"/>
    <x v="4"/>
    <x v="12"/>
    <x v="249"/>
    <x v="770"/>
    <x v="1"/>
    <x v="3"/>
    <x v="2"/>
    <x v="0"/>
    <x v="0"/>
    <x v="23"/>
    <x v="17"/>
    <x v="3"/>
    <x v="0"/>
    <x v="0"/>
    <x v="0"/>
  </r>
  <r>
    <x v="816"/>
    <x v="11"/>
    <x v="4"/>
    <x v="12"/>
    <x v="250"/>
    <x v="771"/>
    <x v="1"/>
    <x v="3"/>
    <x v="2"/>
    <x v="0"/>
    <x v="0"/>
    <x v="25"/>
    <x v="24"/>
    <x v="3"/>
    <x v="0"/>
    <x v="0"/>
    <x v="0"/>
  </r>
  <r>
    <x v="817"/>
    <x v="11"/>
    <x v="4"/>
    <x v="12"/>
    <x v="251"/>
    <x v="772"/>
    <x v="1"/>
    <x v="20"/>
    <x v="7"/>
    <x v="0"/>
    <x v="0"/>
    <x v="6"/>
    <x v="2"/>
    <x v="3"/>
    <x v="0"/>
    <x v="0"/>
    <x v="0"/>
  </r>
  <r>
    <x v="818"/>
    <x v="11"/>
    <x v="4"/>
    <x v="12"/>
    <x v="252"/>
    <x v="773"/>
    <x v="1"/>
    <x v="1"/>
    <x v="0"/>
    <x v="0"/>
    <x v="0"/>
    <x v="1"/>
    <x v="0"/>
    <x v="3"/>
    <x v="0"/>
    <x v="0"/>
    <x v="0"/>
  </r>
  <r>
    <x v="819"/>
    <x v="6"/>
    <x v="4"/>
    <x v="12"/>
    <x v="253"/>
    <x v="774"/>
    <x v="4"/>
    <x v="3"/>
    <x v="2"/>
    <x v="0"/>
    <x v="0"/>
    <x v="26"/>
    <x v="25"/>
    <x v="3"/>
    <x v="0"/>
    <x v="0"/>
    <x v="0"/>
  </r>
  <r>
    <x v="820"/>
    <x v="6"/>
    <x v="4"/>
    <x v="12"/>
    <x v="254"/>
    <x v="775"/>
    <x v="4"/>
    <x v="3"/>
    <x v="2"/>
    <x v="0"/>
    <x v="0"/>
    <x v="16"/>
    <x v="13"/>
    <x v="3"/>
    <x v="0"/>
    <x v="0"/>
    <x v="0"/>
  </r>
  <r>
    <x v="821"/>
    <x v="5"/>
    <x v="4"/>
    <x v="12"/>
    <x v="255"/>
    <x v="776"/>
    <x v="4"/>
    <x v="3"/>
    <x v="2"/>
    <x v="0"/>
    <x v="0"/>
    <x v="16"/>
    <x v="13"/>
    <x v="3"/>
    <x v="0"/>
    <x v="0"/>
    <x v="0"/>
  </r>
  <r>
    <x v="822"/>
    <x v="5"/>
    <x v="4"/>
    <x v="12"/>
    <x v="256"/>
    <x v="777"/>
    <x v="4"/>
    <x v="3"/>
    <x v="2"/>
    <x v="0"/>
    <x v="0"/>
    <x v="16"/>
    <x v="13"/>
    <x v="3"/>
    <x v="0"/>
    <x v="0"/>
    <x v="0"/>
  </r>
  <r>
    <x v="823"/>
    <x v="5"/>
    <x v="4"/>
    <x v="12"/>
    <x v="257"/>
    <x v="778"/>
    <x v="4"/>
    <x v="3"/>
    <x v="2"/>
    <x v="0"/>
    <x v="0"/>
    <x v="26"/>
    <x v="25"/>
    <x v="3"/>
    <x v="0"/>
    <x v="0"/>
    <x v="0"/>
  </r>
  <r>
    <x v="824"/>
    <x v="5"/>
    <x v="4"/>
    <x v="12"/>
    <x v="258"/>
    <x v="779"/>
    <x v="4"/>
    <x v="3"/>
    <x v="2"/>
    <x v="0"/>
    <x v="0"/>
    <x v="26"/>
    <x v="25"/>
    <x v="3"/>
    <x v="0"/>
    <x v="0"/>
    <x v="0"/>
  </r>
  <r>
    <x v="825"/>
    <x v="5"/>
    <x v="4"/>
    <x v="12"/>
    <x v="259"/>
    <x v="780"/>
    <x v="4"/>
    <x v="3"/>
    <x v="2"/>
    <x v="0"/>
    <x v="0"/>
    <x v="26"/>
    <x v="25"/>
    <x v="3"/>
    <x v="0"/>
    <x v="0"/>
    <x v="0"/>
  </r>
  <r>
    <x v="826"/>
    <x v="5"/>
    <x v="4"/>
    <x v="12"/>
    <x v="260"/>
    <x v="781"/>
    <x v="4"/>
    <x v="3"/>
    <x v="2"/>
    <x v="0"/>
    <x v="0"/>
    <x v="26"/>
    <x v="25"/>
    <x v="3"/>
    <x v="0"/>
    <x v="0"/>
    <x v="0"/>
  </r>
  <r>
    <x v="827"/>
    <x v="5"/>
    <x v="4"/>
    <x v="12"/>
    <x v="261"/>
    <x v="782"/>
    <x v="4"/>
    <x v="3"/>
    <x v="2"/>
    <x v="0"/>
    <x v="0"/>
    <x v="26"/>
    <x v="25"/>
    <x v="3"/>
    <x v="0"/>
    <x v="0"/>
    <x v="0"/>
  </r>
  <r>
    <x v="828"/>
    <x v="5"/>
    <x v="4"/>
    <x v="12"/>
    <x v="262"/>
    <x v="783"/>
    <x v="4"/>
    <x v="3"/>
    <x v="2"/>
    <x v="0"/>
    <x v="0"/>
    <x v="26"/>
    <x v="25"/>
    <x v="3"/>
    <x v="0"/>
    <x v="0"/>
    <x v="0"/>
  </r>
  <r>
    <x v="829"/>
    <x v="5"/>
    <x v="4"/>
    <x v="12"/>
    <x v="263"/>
    <x v="784"/>
    <x v="4"/>
    <x v="44"/>
    <x v="23"/>
    <x v="0"/>
    <x v="0"/>
    <x v="16"/>
    <x v="13"/>
    <x v="3"/>
    <x v="0"/>
    <x v="0"/>
    <x v="0"/>
  </r>
  <r>
    <x v="830"/>
    <x v="5"/>
    <x v="4"/>
    <x v="12"/>
    <x v="264"/>
    <x v="785"/>
    <x v="4"/>
    <x v="3"/>
    <x v="2"/>
    <x v="0"/>
    <x v="0"/>
    <x v="26"/>
    <x v="25"/>
    <x v="3"/>
    <x v="0"/>
    <x v="0"/>
    <x v="0"/>
  </r>
  <r>
    <x v="831"/>
    <x v="5"/>
    <x v="4"/>
    <x v="12"/>
    <x v="265"/>
    <x v="786"/>
    <x v="4"/>
    <x v="3"/>
    <x v="2"/>
    <x v="0"/>
    <x v="0"/>
    <x v="26"/>
    <x v="25"/>
    <x v="3"/>
    <x v="0"/>
    <x v="0"/>
    <x v="0"/>
  </r>
  <r>
    <x v="832"/>
    <x v="5"/>
    <x v="4"/>
    <x v="12"/>
    <x v="266"/>
    <x v="787"/>
    <x v="4"/>
    <x v="3"/>
    <x v="2"/>
    <x v="0"/>
    <x v="0"/>
    <x v="26"/>
    <x v="25"/>
    <x v="3"/>
    <x v="0"/>
    <x v="0"/>
    <x v="0"/>
  </r>
  <r>
    <x v="833"/>
    <x v="5"/>
    <x v="4"/>
    <x v="12"/>
    <x v="267"/>
    <x v="788"/>
    <x v="4"/>
    <x v="45"/>
    <x v="6"/>
    <x v="0"/>
    <x v="0"/>
    <x v="15"/>
    <x v="15"/>
    <x v="3"/>
    <x v="0"/>
    <x v="0"/>
    <x v="0"/>
  </r>
  <r>
    <x v="834"/>
    <x v="11"/>
    <x v="4"/>
    <x v="12"/>
    <x v="268"/>
    <x v="789"/>
    <x v="2"/>
    <x v="46"/>
    <x v="24"/>
    <x v="0"/>
    <x v="0"/>
    <x v="22"/>
    <x v="20"/>
    <x v="3"/>
    <x v="0"/>
    <x v="0"/>
    <x v="0"/>
  </r>
  <r>
    <x v="835"/>
    <x v="11"/>
    <x v="4"/>
    <x v="12"/>
    <x v="269"/>
    <x v="790"/>
    <x v="2"/>
    <x v="47"/>
    <x v="11"/>
    <x v="0"/>
    <x v="0"/>
    <x v="22"/>
    <x v="20"/>
    <x v="3"/>
    <x v="0"/>
    <x v="0"/>
    <x v="0"/>
  </r>
  <r>
    <x v="836"/>
    <x v="11"/>
    <x v="4"/>
    <x v="12"/>
    <x v="270"/>
    <x v="791"/>
    <x v="2"/>
    <x v="46"/>
    <x v="11"/>
    <x v="0"/>
    <x v="0"/>
    <x v="22"/>
    <x v="20"/>
    <x v="3"/>
    <x v="0"/>
    <x v="0"/>
    <x v="0"/>
  </r>
  <r>
    <x v="837"/>
    <x v="2"/>
    <x v="4"/>
    <x v="12"/>
    <x v="271"/>
    <x v="694"/>
    <x v="1"/>
    <x v="1"/>
    <x v="0"/>
    <x v="0"/>
    <x v="0"/>
    <x v="1"/>
    <x v="0"/>
    <x v="3"/>
    <x v="0"/>
    <x v="0"/>
    <x v="0"/>
  </r>
  <r>
    <x v="838"/>
    <x v="6"/>
    <x v="4"/>
    <x v="12"/>
    <x v="272"/>
    <x v="792"/>
    <x v="5"/>
    <x v="1"/>
    <x v="25"/>
    <x v="0"/>
    <x v="0"/>
    <x v="1"/>
    <x v="21"/>
    <x v="3"/>
    <x v="0"/>
    <x v="0"/>
    <x v="0"/>
  </r>
  <r>
    <x v="839"/>
    <x v="6"/>
    <x v="4"/>
    <x v="12"/>
    <x v="272"/>
    <x v="793"/>
    <x v="5"/>
    <x v="1"/>
    <x v="26"/>
    <x v="0"/>
    <x v="0"/>
    <x v="1"/>
    <x v="22"/>
    <x v="3"/>
    <x v="0"/>
    <x v="0"/>
    <x v="0"/>
  </r>
  <r>
    <x v="840"/>
    <x v="6"/>
    <x v="4"/>
    <x v="12"/>
    <x v="272"/>
    <x v="794"/>
    <x v="5"/>
    <x v="48"/>
    <x v="27"/>
    <x v="0"/>
    <x v="0"/>
    <x v="15"/>
    <x v="15"/>
    <x v="3"/>
    <x v="0"/>
    <x v="0"/>
    <x v="0"/>
  </r>
  <r>
    <x v="841"/>
    <x v="0"/>
    <x v="4"/>
    <x v="12"/>
    <x v="273"/>
    <x v="795"/>
    <x v="0"/>
    <x v="49"/>
    <x v="0"/>
    <x v="0"/>
    <x v="0"/>
    <x v="4"/>
    <x v="0"/>
    <x v="3"/>
    <x v="0"/>
    <x v="0"/>
    <x v="0"/>
  </r>
  <r>
    <x v="842"/>
    <x v="10"/>
    <x v="4"/>
    <x v="12"/>
    <x v="274"/>
    <x v="796"/>
    <x v="1"/>
    <x v="6"/>
    <x v="0"/>
    <x v="0"/>
    <x v="0"/>
    <x v="8"/>
    <x v="0"/>
    <x v="3"/>
    <x v="0"/>
    <x v="0"/>
    <x v="0"/>
  </r>
  <r>
    <x v="843"/>
    <x v="13"/>
    <x v="4"/>
    <x v="12"/>
    <x v="275"/>
    <x v="797"/>
    <x v="1"/>
    <x v="1"/>
    <x v="0"/>
    <x v="1"/>
    <x v="1"/>
    <x v="1"/>
    <x v="0"/>
    <x v="3"/>
    <x v="2"/>
    <x v="3"/>
    <x v="0"/>
  </r>
  <r>
    <x v="844"/>
    <x v="6"/>
    <x v="4"/>
    <x v="12"/>
    <x v="276"/>
    <x v="798"/>
    <x v="1"/>
    <x v="6"/>
    <x v="0"/>
    <x v="1"/>
    <x v="1"/>
    <x v="1"/>
    <x v="0"/>
    <x v="3"/>
    <x v="2"/>
    <x v="3"/>
    <x v="0"/>
  </r>
  <r>
    <x v="845"/>
    <x v="5"/>
    <x v="4"/>
    <x v="12"/>
    <x v="277"/>
    <x v="799"/>
    <x v="3"/>
    <x v="20"/>
    <x v="7"/>
    <x v="0"/>
    <x v="0"/>
    <x v="18"/>
    <x v="14"/>
    <x v="3"/>
    <x v="0"/>
    <x v="0"/>
    <x v="0"/>
  </r>
  <r>
    <x v="846"/>
    <x v="1"/>
    <x v="4"/>
    <x v="12"/>
    <x v="44"/>
    <x v="800"/>
    <x v="5"/>
    <x v="1"/>
    <x v="0"/>
    <x v="0"/>
    <x v="0"/>
    <x v="1"/>
    <x v="0"/>
    <x v="3"/>
    <x v="0"/>
    <x v="0"/>
    <x v="0"/>
  </r>
  <r>
    <x v="847"/>
    <x v="5"/>
    <x v="4"/>
    <x v="12"/>
    <x v="278"/>
    <x v="801"/>
    <x v="3"/>
    <x v="8"/>
    <x v="0"/>
    <x v="1"/>
    <x v="1"/>
    <x v="1"/>
    <x v="0"/>
    <x v="3"/>
    <x v="2"/>
    <x v="4"/>
    <x v="0"/>
  </r>
  <r>
    <x v="848"/>
    <x v="5"/>
    <x v="4"/>
    <x v="12"/>
    <x v="44"/>
    <x v="802"/>
    <x v="0"/>
    <x v="1"/>
    <x v="0"/>
    <x v="0"/>
    <x v="0"/>
    <x v="1"/>
    <x v="0"/>
    <x v="3"/>
    <x v="0"/>
    <x v="0"/>
    <x v="0"/>
  </r>
  <r>
    <x v="849"/>
    <x v="5"/>
    <x v="4"/>
    <x v="12"/>
    <x v="44"/>
    <x v="803"/>
    <x v="0"/>
    <x v="1"/>
    <x v="0"/>
    <x v="0"/>
    <x v="0"/>
    <x v="1"/>
    <x v="0"/>
    <x v="3"/>
    <x v="0"/>
    <x v="0"/>
    <x v="4"/>
  </r>
  <r>
    <x v="850"/>
    <x v="5"/>
    <x v="4"/>
    <x v="12"/>
    <x v="44"/>
    <x v="804"/>
    <x v="0"/>
    <x v="1"/>
    <x v="0"/>
    <x v="0"/>
    <x v="0"/>
    <x v="1"/>
    <x v="0"/>
    <x v="3"/>
    <x v="0"/>
    <x v="0"/>
    <x v="4"/>
  </r>
  <r>
    <x v="851"/>
    <x v="5"/>
    <x v="4"/>
    <x v="12"/>
    <x v="44"/>
    <x v="805"/>
    <x v="0"/>
    <x v="1"/>
    <x v="0"/>
    <x v="0"/>
    <x v="0"/>
    <x v="0"/>
    <x v="0"/>
    <x v="3"/>
    <x v="0"/>
    <x v="0"/>
    <x v="4"/>
  </r>
  <r>
    <x v="852"/>
    <x v="5"/>
    <x v="4"/>
    <x v="12"/>
    <x v="44"/>
    <x v="806"/>
    <x v="6"/>
    <x v="0"/>
    <x v="0"/>
    <x v="1"/>
    <x v="1"/>
    <x v="1"/>
    <x v="0"/>
    <x v="3"/>
    <x v="1"/>
    <x v="1"/>
    <x v="3"/>
  </r>
  <r>
    <x v="853"/>
    <x v="5"/>
    <x v="4"/>
    <x v="12"/>
    <x v="44"/>
    <x v="807"/>
    <x v="6"/>
    <x v="8"/>
    <x v="0"/>
    <x v="1"/>
    <x v="1"/>
    <x v="1"/>
    <x v="0"/>
    <x v="3"/>
    <x v="2"/>
    <x v="4"/>
    <x v="3"/>
  </r>
  <r>
    <x v="854"/>
    <x v="5"/>
    <x v="4"/>
    <x v="12"/>
    <x v="44"/>
    <x v="808"/>
    <x v="6"/>
    <x v="0"/>
    <x v="0"/>
    <x v="1"/>
    <x v="1"/>
    <x v="1"/>
    <x v="0"/>
    <x v="3"/>
    <x v="1"/>
    <x v="1"/>
    <x v="3"/>
  </r>
  <r>
    <x v="855"/>
    <x v="6"/>
    <x v="4"/>
    <x v="13"/>
    <x v="279"/>
    <x v="809"/>
    <x v="1"/>
    <x v="0"/>
    <x v="0"/>
    <x v="0"/>
    <x v="0"/>
    <x v="8"/>
    <x v="0"/>
    <x v="3"/>
    <x v="0"/>
    <x v="0"/>
    <x v="0"/>
  </r>
  <r>
    <x v="856"/>
    <x v="12"/>
    <x v="4"/>
    <x v="13"/>
    <x v="280"/>
    <x v="810"/>
    <x v="0"/>
    <x v="1"/>
    <x v="0"/>
    <x v="0"/>
    <x v="0"/>
    <x v="1"/>
    <x v="0"/>
    <x v="3"/>
    <x v="0"/>
    <x v="0"/>
    <x v="0"/>
  </r>
  <r>
    <x v="857"/>
    <x v="5"/>
    <x v="4"/>
    <x v="13"/>
    <x v="281"/>
    <x v="811"/>
    <x v="3"/>
    <x v="50"/>
    <x v="5"/>
    <x v="0"/>
    <x v="0"/>
    <x v="17"/>
    <x v="15"/>
    <x v="3"/>
    <x v="0"/>
    <x v="0"/>
    <x v="0"/>
  </r>
  <r>
    <x v="858"/>
    <x v="10"/>
    <x v="4"/>
    <x v="13"/>
    <x v="282"/>
    <x v="812"/>
    <x v="0"/>
    <x v="51"/>
    <x v="6"/>
    <x v="0"/>
    <x v="0"/>
    <x v="15"/>
    <x v="15"/>
    <x v="3"/>
    <x v="0"/>
    <x v="0"/>
    <x v="0"/>
  </r>
  <r>
    <x v="859"/>
    <x v="0"/>
    <x v="4"/>
    <x v="13"/>
    <x v="283"/>
    <x v="813"/>
    <x v="3"/>
    <x v="52"/>
    <x v="28"/>
    <x v="0"/>
    <x v="0"/>
    <x v="27"/>
    <x v="15"/>
    <x v="3"/>
    <x v="0"/>
    <x v="0"/>
    <x v="0"/>
  </r>
  <r>
    <x v="860"/>
    <x v="0"/>
    <x v="4"/>
    <x v="13"/>
    <x v="284"/>
    <x v="814"/>
    <x v="3"/>
    <x v="53"/>
    <x v="28"/>
    <x v="0"/>
    <x v="0"/>
    <x v="27"/>
    <x v="26"/>
    <x v="3"/>
    <x v="0"/>
    <x v="0"/>
    <x v="0"/>
  </r>
  <r>
    <x v="861"/>
    <x v="6"/>
    <x v="4"/>
    <x v="13"/>
    <x v="285"/>
    <x v="815"/>
    <x v="3"/>
    <x v="53"/>
    <x v="28"/>
    <x v="0"/>
    <x v="0"/>
    <x v="27"/>
    <x v="26"/>
    <x v="3"/>
    <x v="0"/>
    <x v="0"/>
    <x v="0"/>
  </r>
  <r>
    <x v="862"/>
    <x v="0"/>
    <x v="4"/>
    <x v="13"/>
    <x v="286"/>
    <x v="816"/>
    <x v="0"/>
    <x v="3"/>
    <x v="2"/>
    <x v="0"/>
    <x v="0"/>
    <x v="25"/>
    <x v="24"/>
    <x v="3"/>
    <x v="0"/>
    <x v="0"/>
    <x v="0"/>
  </r>
  <r>
    <x v="863"/>
    <x v="0"/>
    <x v="4"/>
    <x v="13"/>
    <x v="287"/>
    <x v="817"/>
    <x v="0"/>
    <x v="3"/>
    <x v="2"/>
    <x v="0"/>
    <x v="0"/>
    <x v="25"/>
    <x v="24"/>
    <x v="3"/>
    <x v="0"/>
    <x v="0"/>
    <x v="0"/>
  </r>
  <r>
    <x v="864"/>
    <x v="6"/>
    <x v="4"/>
    <x v="13"/>
    <x v="288"/>
    <x v="818"/>
    <x v="0"/>
    <x v="3"/>
    <x v="2"/>
    <x v="0"/>
    <x v="0"/>
    <x v="10"/>
    <x v="5"/>
    <x v="3"/>
    <x v="0"/>
    <x v="0"/>
    <x v="0"/>
  </r>
  <r>
    <x v="865"/>
    <x v="6"/>
    <x v="4"/>
    <x v="13"/>
    <x v="289"/>
    <x v="819"/>
    <x v="0"/>
    <x v="3"/>
    <x v="2"/>
    <x v="0"/>
    <x v="0"/>
    <x v="10"/>
    <x v="5"/>
    <x v="3"/>
    <x v="0"/>
    <x v="0"/>
    <x v="0"/>
  </r>
  <r>
    <x v="866"/>
    <x v="6"/>
    <x v="4"/>
    <x v="13"/>
    <x v="290"/>
    <x v="820"/>
    <x v="0"/>
    <x v="3"/>
    <x v="2"/>
    <x v="0"/>
    <x v="0"/>
    <x v="15"/>
    <x v="12"/>
    <x v="3"/>
    <x v="0"/>
    <x v="0"/>
    <x v="0"/>
  </r>
  <r>
    <x v="867"/>
    <x v="12"/>
    <x v="4"/>
    <x v="13"/>
    <x v="291"/>
    <x v="821"/>
    <x v="0"/>
    <x v="3"/>
    <x v="2"/>
    <x v="0"/>
    <x v="0"/>
    <x v="25"/>
    <x v="24"/>
    <x v="3"/>
    <x v="0"/>
    <x v="0"/>
    <x v="0"/>
  </r>
  <r>
    <x v="868"/>
    <x v="10"/>
    <x v="4"/>
    <x v="13"/>
    <x v="292"/>
    <x v="822"/>
    <x v="0"/>
    <x v="3"/>
    <x v="2"/>
    <x v="0"/>
    <x v="0"/>
    <x v="10"/>
    <x v="5"/>
    <x v="3"/>
    <x v="0"/>
    <x v="0"/>
    <x v="0"/>
  </r>
  <r>
    <x v="869"/>
    <x v="6"/>
    <x v="4"/>
    <x v="13"/>
    <x v="293"/>
    <x v="823"/>
    <x v="0"/>
    <x v="54"/>
    <x v="5"/>
    <x v="0"/>
    <x v="0"/>
    <x v="19"/>
    <x v="15"/>
    <x v="3"/>
    <x v="0"/>
    <x v="0"/>
    <x v="0"/>
  </r>
  <r>
    <x v="870"/>
    <x v="10"/>
    <x v="4"/>
    <x v="13"/>
    <x v="294"/>
    <x v="824"/>
    <x v="0"/>
    <x v="3"/>
    <x v="2"/>
    <x v="0"/>
    <x v="0"/>
    <x v="10"/>
    <x v="5"/>
    <x v="3"/>
    <x v="0"/>
    <x v="0"/>
    <x v="0"/>
  </r>
  <r>
    <x v="871"/>
    <x v="10"/>
    <x v="4"/>
    <x v="13"/>
    <x v="295"/>
    <x v="825"/>
    <x v="0"/>
    <x v="1"/>
    <x v="0"/>
    <x v="0"/>
    <x v="0"/>
    <x v="1"/>
    <x v="0"/>
    <x v="3"/>
    <x v="0"/>
    <x v="0"/>
    <x v="0"/>
  </r>
  <r>
    <x v="872"/>
    <x v="10"/>
    <x v="4"/>
    <x v="13"/>
    <x v="296"/>
    <x v="826"/>
    <x v="0"/>
    <x v="1"/>
    <x v="0"/>
    <x v="0"/>
    <x v="0"/>
    <x v="1"/>
    <x v="0"/>
    <x v="3"/>
    <x v="0"/>
    <x v="0"/>
    <x v="0"/>
  </r>
  <r>
    <x v="873"/>
    <x v="10"/>
    <x v="4"/>
    <x v="13"/>
    <x v="297"/>
    <x v="827"/>
    <x v="0"/>
    <x v="3"/>
    <x v="2"/>
    <x v="0"/>
    <x v="0"/>
    <x v="15"/>
    <x v="12"/>
    <x v="3"/>
    <x v="0"/>
    <x v="0"/>
    <x v="0"/>
  </r>
  <r>
    <x v="874"/>
    <x v="10"/>
    <x v="4"/>
    <x v="13"/>
    <x v="298"/>
    <x v="828"/>
    <x v="0"/>
    <x v="3"/>
    <x v="2"/>
    <x v="0"/>
    <x v="0"/>
    <x v="25"/>
    <x v="24"/>
    <x v="3"/>
    <x v="0"/>
    <x v="0"/>
    <x v="0"/>
  </r>
  <r>
    <x v="875"/>
    <x v="10"/>
    <x v="4"/>
    <x v="13"/>
    <x v="299"/>
    <x v="829"/>
    <x v="0"/>
    <x v="3"/>
    <x v="2"/>
    <x v="0"/>
    <x v="0"/>
    <x v="10"/>
    <x v="5"/>
    <x v="3"/>
    <x v="0"/>
    <x v="0"/>
    <x v="0"/>
  </r>
  <r>
    <x v="876"/>
    <x v="10"/>
    <x v="4"/>
    <x v="13"/>
    <x v="300"/>
    <x v="830"/>
    <x v="0"/>
    <x v="55"/>
    <x v="6"/>
    <x v="0"/>
    <x v="0"/>
    <x v="15"/>
    <x v="15"/>
    <x v="3"/>
    <x v="0"/>
    <x v="0"/>
    <x v="0"/>
  </r>
  <r>
    <x v="877"/>
    <x v="0"/>
    <x v="4"/>
    <x v="13"/>
    <x v="301"/>
    <x v="831"/>
    <x v="0"/>
    <x v="1"/>
    <x v="29"/>
    <x v="0"/>
    <x v="0"/>
    <x v="15"/>
    <x v="12"/>
    <x v="3"/>
    <x v="0"/>
    <x v="0"/>
    <x v="0"/>
  </r>
  <r>
    <x v="878"/>
    <x v="6"/>
    <x v="4"/>
    <x v="13"/>
    <x v="302"/>
    <x v="832"/>
    <x v="0"/>
    <x v="3"/>
    <x v="2"/>
    <x v="0"/>
    <x v="0"/>
    <x v="10"/>
    <x v="5"/>
    <x v="3"/>
    <x v="0"/>
    <x v="0"/>
    <x v="0"/>
  </r>
  <r>
    <x v="879"/>
    <x v="6"/>
    <x v="4"/>
    <x v="13"/>
    <x v="303"/>
    <x v="833"/>
    <x v="0"/>
    <x v="56"/>
    <x v="6"/>
    <x v="0"/>
    <x v="0"/>
    <x v="15"/>
    <x v="15"/>
    <x v="3"/>
    <x v="0"/>
    <x v="0"/>
    <x v="0"/>
  </r>
  <r>
    <x v="880"/>
    <x v="12"/>
    <x v="4"/>
    <x v="13"/>
    <x v="304"/>
    <x v="834"/>
    <x v="0"/>
    <x v="57"/>
    <x v="6"/>
    <x v="0"/>
    <x v="0"/>
    <x v="28"/>
    <x v="15"/>
    <x v="3"/>
    <x v="0"/>
    <x v="0"/>
    <x v="0"/>
  </r>
  <r>
    <x v="881"/>
    <x v="6"/>
    <x v="4"/>
    <x v="13"/>
    <x v="305"/>
    <x v="835"/>
    <x v="1"/>
    <x v="58"/>
    <x v="6"/>
    <x v="0"/>
    <x v="0"/>
    <x v="15"/>
    <x v="15"/>
    <x v="3"/>
    <x v="0"/>
    <x v="0"/>
    <x v="0"/>
  </r>
  <r>
    <x v="882"/>
    <x v="5"/>
    <x v="4"/>
    <x v="13"/>
    <x v="306"/>
    <x v="836"/>
    <x v="1"/>
    <x v="3"/>
    <x v="2"/>
    <x v="0"/>
    <x v="0"/>
    <x v="29"/>
    <x v="9"/>
    <x v="3"/>
    <x v="0"/>
    <x v="0"/>
    <x v="0"/>
  </r>
  <r>
    <x v="883"/>
    <x v="5"/>
    <x v="4"/>
    <x v="13"/>
    <x v="307"/>
    <x v="837"/>
    <x v="1"/>
    <x v="3"/>
    <x v="2"/>
    <x v="0"/>
    <x v="0"/>
    <x v="29"/>
    <x v="9"/>
    <x v="3"/>
    <x v="0"/>
    <x v="0"/>
    <x v="0"/>
  </r>
  <r>
    <x v="884"/>
    <x v="6"/>
    <x v="4"/>
    <x v="13"/>
    <x v="308"/>
    <x v="838"/>
    <x v="1"/>
    <x v="3"/>
    <x v="2"/>
    <x v="0"/>
    <x v="0"/>
    <x v="29"/>
    <x v="9"/>
    <x v="3"/>
    <x v="0"/>
    <x v="0"/>
    <x v="0"/>
  </r>
  <r>
    <x v="885"/>
    <x v="5"/>
    <x v="4"/>
    <x v="13"/>
    <x v="309"/>
    <x v="839"/>
    <x v="1"/>
    <x v="1"/>
    <x v="0"/>
    <x v="0"/>
    <x v="0"/>
    <x v="1"/>
    <x v="0"/>
    <x v="3"/>
    <x v="0"/>
    <x v="0"/>
    <x v="0"/>
  </r>
  <r>
    <x v="886"/>
    <x v="6"/>
    <x v="4"/>
    <x v="13"/>
    <x v="310"/>
    <x v="840"/>
    <x v="1"/>
    <x v="17"/>
    <x v="6"/>
    <x v="0"/>
    <x v="0"/>
    <x v="15"/>
    <x v="12"/>
    <x v="3"/>
    <x v="0"/>
    <x v="0"/>
    <x v="0"/>
  </r>
  <r>
    <x v="887"/>
    <x v="6"/>
    <x v="4"/>
    <x v="13"/>
    <x v="311"/>
    <x v="841"/>
    <x v="1"/>
    <x v="1"/>
    <x v="0"/>
    <x v="0"/>
    <x v="0"/>
    <x v="1"/>
    <x v="0"/>
    <x v="3"/>
    <x v="0"/>
    <x v="0"/>
    <x v="0"/>
  </r>
  <r>
    <x v="888"/>
    <x v="5"/>
    <x v="4"/>
    <x v="13"/>
    <x v="312"/>
    <x v="842"/>
    <x v="1"/>
    <x v="1"/>
    <x v="0"/>
    <x v="0"/>
    <x v="0"/>
    <x v="1"/>
    <x v="0"/>
    <x v="3"/>
    <x v="0"/>
    <x v="0"/>
    <x v="0"/>
  </r>
  <r>
    <x v="889"/>
    <x v="5"/>
    <x v="4"/>
    <x v="13"/>
    <x v="313"/>
    <x v="843"/>
    <x v="1"/>
    <x v="59"/>
    <x v="6"/>
    <x v="0"/>
    <x v="0"/>
    <x v="15"/>
    <x v="15"/>
    <x v="3"/>
    <x v="0"/>
    <x v="0"/>
    <x v="0"/>
  </r>
  <r>
    <x v="890"/>
    <x v="10"/>
    <x v="4"/>
    <x v="13"/>
    <x v="314"/>
    <x v="844"/>
    <x v="1"/>
    <x v="60"/>
    <x v="6"/>
    <x v="0"/>
    <x v="0"/>
    <x v="15"/>
    <x v="15"/>
    <x v="3"/>
    <x v="0"/>
    <x v="0"/>
    <x v="0"/>
  </r>
  <r>
    <x v="891"/>
    <x v="10"/>
    <x v="4"/>
    <x v="13"/>
    <x v="315"/>
    <x v="845"/>
    <x v="1"/>
    <x v="61"/>
    <x v="6"/>
    <x v="0"/>
    <x v="0"/>
    <x v="15"/>
    <x v="15"/>
    <x v="3"/>
    <x v="0"/>
    <x v="0"/>
    <x v="0"/>
  </r>
  <r>
    <x v="892"/>
    <x v="12"/>
    <x v="4"/>
    <x v="13"/>
    <x v="316"/>
    <x v="846"/>
    <x v="1"/>
    <x v="3"/>
    <x v="2"/>
    <x v="0"/>
    <x v="0"/>
    <x v="29"/>
    <x v="9"/>
    <x v="3"/>
    <x v="0"/>
    <x v="0"/>
    <x v="0"/>
  </r>
  <r>
    <x v="893"/>
    <x v="6"/>
    <x v="4"/>
    <x v="13"/>
    <x v="317"/>
    <x v="847"/>
    <x v="1"/>
    <x v="3"/>
    <x v="2"/>
    <x v="0"/>
    <x v="0"/>
    <x v="29"/>
    <x v="9"/>
    <x v="3"/>
    <x v="0"/>
    <x v="0"/>
    <x v="0"/>
  </r>
  <r>
    <x v="894"/>
    <x v="5"/>
    <x v="4"/>
    <x v="13"/>
    <x v="318"/>
    <x v="848"/>
    <x v="1"/>
    <x v="1"/>
    <x v="0"/>
    <x v="0"/>
    <x v="0"/>
    <x v="1"/>
    <x v="0"/>
    <x v="3"/>
    <x v="0"/>
    <x v="0"/>
    <x v="0"/>
  </r>
  <r>
    <x v="895"/>
    <x v="10"/>
    <x v="4"/>
    <x v="13"/>
    <x v="319"/>
    <x v="849"/>
    <x v="1"/>
    <x v="62"/>
    <x v="6"/>
    <x v="0"/>
    <x v="0"/>
    <x v="15"/>
    <x v="15"/>
    <x v="3"/>
    <x v="0"/>
    <x v="0"/>
    <x v="0"/>
  </r>
  <r>
    <x v="896"/>
    <x v="6"/>
    <x v="4"/>
    <x v="13"/>
    <x v="320"/>
    <x v="850"/>
    <x v="1"/>
    <x v="63"/>
    <x v="6"/>
    <x v="0"/>
    <x v="0"/>
    <x v="15"/>
    <x v="15"/>
    <x v="3"/>
    <x v="0"/>
    <x v="0"/>
    <x v="0"/>
  </r>
  <r>
    <x v="897"/>
    <x v="6"/>
    <x v="4"/>
    <x v="13"/>
    <x v="321"/>
    <x v="851"/>
    <x v="1"/>
    <x v="64"/>
    <x v="6"/>
    <x v="0"/>
    <x v="0"/>
    <x v="15"/>
    <x v="15"/>
    <x v="3"/>
    <x v="0"/>
    <x v="0"/>
    <x v="0"/>
  </r>
  <r>
    <x v="898"/>
    <x v="11"/>
    <x v="4"/>
    <x v="13"/>
    <x v="322"/>
    <x v="852"/>
    <x v="1"/>
    <x v="3"/>
    <x v="2"/>
    <x v="0"/>
    <x v="0"/>
    <x v="12"/>
    <x v="6"/>
    <x v="3"/>
    <x v="0"/>
    <x v="0"/>
    <x v="0"/>
  </r>
  <r>
    <x v="899"/>
    <x v="11"/>
    <x v="4"/>
    <x v="13"/>
    <x v="323"/>
    <x v="853"/>
    <x v="1"/>
    <x v="65"/>
    <x v="6"/>
    <x v="0"/>
    <x v="0"/>
    <x v="15"/>
    <x v="15"/>
    <x v="3"/>
    <x v="0"/>
    <x v="0"/>
    <x v="0"/>
  </r>
  <r>
    <x v="900"/>
    <x v="11"/>
    <x v="4"/>
    <x v="13"/>
    <x v="324"/>
    <x v="854"/>
    <x v="1"/>
    <x v="3"/>
    <x v="2"/>
    <x v="0"/>
    <x v="0"/>
    <x v="12"/>
    <x v="6"/>
    <x v="3"/>
    <x v="0"/>
    <x v="0"/>
    <x v="0"/>
  </r>
  <r>
    <x v="901"/>
    <x v="6"/>
    <x v="4"/>
    <x v="13"/>
    <x v="325"/>
    <x v="855"/>
    <x v="1"/>
    <x v="66"/>
    <x v="6"/>
    <x v="0"/>
    <x v="0"/>
    <x v="15"/>
    <x v="15"/>
    <x v="3"/>
    <x v="0"/>
    <x v="0"/>
    <x v="0"/>
  </r>
  <r>
    <x v="902"/>
    <x v="6"/>
    <x v="4"/>
    <x v="13"/>
    <x v="326"/>
    <x v="856"/>
    <x v="1"/>
    <x v="3"/>
    <x v="2"/>
    <x v="0"/>
    <x v="0"/>
    <x v="12"/>
    <x v="6"/>
    <x v="3"/>
    <x v="0"/>
    <x v="0"/>
    <x v="0"/>
  </r>
  <r>
    <x v="903"/>
    <x v="6"/>
    <x v="4"/>
    <x v="13"/>
    <x v="327"/>
    <x v="857"/>
    <x v="1"/>
    <x v="67"/>
    <x v="6"/>
    <x v="0"/>
    <x v="0"/>
    <x v="15"/>
    <x v="15"/>
    <x v="3"/>
    <x v="0"/>
    <x v="0"/>
    <x v="0"/>
  </r>
  <r>
    <x v="904"/>
    <x v="6"/>
    <x v="4"/>
    <x v="13"/>
    <x v="328"/>
    <x v="858"/>
    <x v="1"/>
    <x v="68"/>
    <x v="6"/>
    <x v="0"/>
    <x v="0"/>
    <x v="15"/>
    <x v="15"/>
    <x v="3"/>
    <x v="0"/>
    <x v="0"/>
    <x v="0"/>
  </r>
  <r>
    <x v="905"/>
    <x v="6"/>
    <x v="4"/>
    <x v="13"/>
    <x v="329"/>
    <x v="859"/>
    <x v="1"/>
    <x v="69"/>
    <x v="6"/>
    <x v="0"/>
    <x v="0"/>
    <x v="15"/>
    <x v="15"/>
    <x v="3"/>
    <x v="0"/>
    <x v="0"/>
    <x v="0"/>
  </r>
  <r>
    <x v="906"/>
    <x v="6"/>
    <x v="4"/>
    <x v="13"/>
    <x v="330"/>
    <x v="860"/>
    <x v="1"/>
    <x v="61"/>
    <x v="6"/>
    <x v="0"/>
    <x v="0"/>
    <x v="15"/>
    <x v="15"/>
    <x v="3"/>
    <x v="0"/>
    <x v="0"/>
    <x v="0"/>
  </r>
  <r>
    <x v="907"/>
    <x v="6"/>
    <x v="4"/>
    <x v="13"/>
    <x v="331"/>
    <x v="861"/>
    <x v="1"/>
    <x v="70"/>
    <x v="6"/>
    <x v="0"/>
    <x v="0"/>
    <x v="15"/>
    <x v="12"/>
    <x v="3"/>
    <x v="0"/>
    <x v="0"/>
    <x v="0"/>
  </r>
  <r>
    <x v="908"/>
    <x v="6"/>
    <x v="4"/>
    <x v="13"/>
    <x v="332"/>
    <x v="862"/>
    <x v="1"/>
    <x v="3"/>
    <x v="2"/>
    <x v="0"/>
    <x v="0"/>
    <x v="12"/>
    <x v="6"/>
    <x v="3"/>
    <x v="0"/>
    <x v="0"/>
    <x v="0"/>
  </r>
  <r>
    <x v="909"/>
    <x v="6"/>
    <x v="4"/>
    <x v="13"/>
    <x v="333"/>
    <x v="863"/>
    <x v="1"/>
    <x v="71"/>
    <x v="0"/>
    <x v="0"/>
    <x v="0"/>
    <x v="1"/>
    <x v="12"/>
    <x v="3"/>
    <x v="0"/>
    <x v="0"/>
    <x v="0"/>
  </r>
  <r>
    <x v="910"/>
    <x v="6"/>
    <x v="4"/>
    <x v="13"/>
    <x v="334"/>
    <x v="864"/>
    <x v="2"/>
    <x v="72"/>
    <x v="6"/>
    <x v="0"/>
    <x v="0"/>
    <x v="28"/>
    <x v="15"/>
    <x v="3"/>
    <x v="0"/>
    <x v="0"/>
    <x v="0"/>
  </r>
  <r>
    <x v="911"/>
    <x v="11"/>
    <x v="4"/>
    <x v="13"/>
    <x v="335"/>
    <x v="865"/>
    <x v="2"/>
    <x v="73"/>
    <x v="6"/>
    <x v="0"/>
    <x v="0"/>
    <x v="15"/>
    <x v="15"/>
    <x v="3"/>
    <x v="0"/>
    <x v="0"/>
    <x v="0"/>
  </r>
  <r>
    <x v="912"/>
    <x v="11"/>
    <x v="4"/>
    <x v="13"/>
    <x v="336"/>
    <x v="866"/>
    <x v="2"/>
    <x v="1"/>
    <x v="0"/>
    <x v="0"/>
    <x v="0"/>
    <x v="1"/>
    <x v="0"/>
    <x v="3"/>
    <x v="0"/>
    <x v="0"/>
    <x v="0"/>
  </r>
  <r>
    <x v="913"/>
    <x v="5"/>
    <x v="4"/>
    <x v="13"/>
    <x v="337"/>
    <x v="867"/>
    <x v="4"/>
    <x v="3"/>
    <x v="2"/>
    <x v="0"/>
    <x v="0"/>
    <x v="30"/>
    <x v="27"/>
    <x v="3"/>
    <x v="0"/>
    <x v="0"/>
    <x v="0"/>
  </r>
  <r>
    <x v="914"/>
    <x v="5"/>
    <x v="4"/>
    <x v="13"/>
    <x v="338"/>
    <x v="867"/>
    <x v="4"/>
    <x v="3"/>
    <x v="2"/>
    <x v="0"/>
    <x v="0"/>
    <x v="30"/>
    <x v="27"/>
    <x v="3"/>
    <x v="0"/>
    <x v="0"/>
    <x v="0"/>
  </r>
  <r>
    <x v="915"/>
    <x v="5"/>
    <x v="4"/>
    <x v="13"/>
    <x v="339"/>
    <x v="868"/>
    <x v="4"/>
    <x v="3"/>
    <x v="2"/>
    <x v="0"/>
    <x v="0"/>
    <x v="16"/>
    <x v="13"/>
    <x v="3"/>
    <x v="0"/>
    <x v="0"/>
    <x v="0"/>
  </r>
  <r>
    <x v="916"/>
    <x v="5"/>
    <x v="4"/>
    <x v="13"/>
    <x v="340"/>
    <x v="867"/>
    <x v="4"/>
    <x v="3"/>
    <x v="2"/>
    <x v="0"/>
    <x v="0"/>
    <x v="30"/>
    <x v="27"/>
    <x v="3"/>
    <x v="0"/>
    <x v="0"/>
    <x v="0"/>
  </r>
  <r>
    <x v="917"/>
    <x v="5"/>
    <x v="4"/>
    <x v="13"/>
    <x v="341"/>
    <x v="868"/>
    <x v="4"/>
    <x v="3"/>
    <x v="2"/>
    <x v="0"/>
    <x v="0"/>
    <x v="16"/>
    <x v="13"/>
    <x v="3"/>
    <x v="0"/>
    <x v="0"/>
    <x v="0"/>
  </r>
  <r>
    <x v="918"/>
    <x v="5"/>
    <x v="4"/>
    <x v="13"/>
    <x v="342"/>
    <x v="867"/>
    <x v="4"/>
    <x v="3"/>
    <x v="2"/>
    <x v="0"/>
    <x v="0"/>
    <x v="30"/>
    <x v="27"/>
    <x v="3"/>
    <x v="0"/>
    <x v="0"/>
    <x v="0"/>
  </r>
  <r>
    <x v="919"/>
    <x v="5"/>
    <x v="4"/>
    <x v="13"/>
    <x v="343"/>
    <x v="867"/>
    <x v="4"/>
    <x v="3"/>
    <x v="2"/>
    <x v="0"/>
    <x v="0"/>
    <x v="30"/>
    <x v="27"/>
    <x v="3"/>
    <x v="0"/>
    <x v="0"/>
    <x v="0"/>
  </r>
  <r>
    <x v="920"/>
    <x v="5"/>
    <x v="4"/>
    <x v="13"/>
    <x v="344"/>
    <x v="867"/>
    <x v="4"/>
    <x v="3"/>
    <x v="2"/>
    <x v="0"/>
    <x v="0"/>
    <x v="30"/>
    <x v="27"/>
    <x v="3"/>
    <x v="0"/>
    <x v="0"/>
    <x v="0"/>
  </r>
  <r>
    <x v="921"/>
    <x v="5"/>
    <x v="4"/>
    <x v="13"/>
    <x v="345"/>
    <x v="867"/>
    <x v="4"/>
    <x v="3"/>
    <x v="2"/>
    <x v="0"/>
    <x v="0"/>
    <x v="30"/>
    <x v="27"/>
    <x v="3"/>
    <x v="0"/>
    <x v="0"/>
    <x v="0"/>
  </r>
  <r>
    <x v="922"/>
    <x v="5"/>
    <x v="4"/>
    <x v="13"/>
    <x v="346"/>
    <x v="867"/>
    <x v="4"/>
    <x v="3"/>
    <x v="2"/>
    <x v="0"/>
    <x v="0"/>
    <x v="30"/>
    <x v="27"/>
    <x v="3"/>
    <x v="0"/>
    <x v="0"/>
    <x v="0"/>
  </r>
  <r>
    <x v="923"/>
    <x v="5"/>
    <x v="4"/>
    <x v="13"/>
    <x v="347"/>
    <x v="868"/>
    <x v="4"/>
    <x v="3"/>
    <x v="2"/>
    <x v="0"/>
    <x v="0"/>
    <x v="16"/>
    <x v="13"/>
    <x v="3"/>
    <x v="0"/>
    <x v="0"/>
    <x v="0"/>
  </r>
  <r>
    <x v="924"/>
    <x v="5"/>
    <x v="4"/>
    <x v="13"/>
    <x v="348"/>
    <x v="868"/>
    <x v="4"/>
    <x v="3"/>
    <x v="2"/>
    <x v="0"/>
    <x v="0"/>
    <x v="17"/>
    <x v="13"/>
    <x v="3"/>
    <x v="0"/>
    <x v="0"/>
    <x v="0"/>
  </r>
  <r>
    <x v="925"/>
    <x v="5"/>
    <x v="4"/>
    <x v="13"/>
    <x v="349"/>
    <x v="869"/>
    <x v="4"/>
    <x v="74"/>
    <x v="6"/>
    <x v="0"/>
    <x v="0"/>
    <x v="15"/>
    <x v="15"/>
    <x v="3"/>
    <x v="0"/>
    <x v="0"/>
    <x v="0"/>
  </r>
  <r>
    <x v="926"/>
    <x v="5"/>
    <x v="4"/>
    <x v="13"/>
    <x v="350"/>
    <x v="870"/>
    <x v="4"/>
    <x v="75"/>
    <x v="6"/>
    <x v="0"/>
    <x v="0"/>
    <x v="15"/>
    <x v="15"/>
    <x v="3"/>
    <x v="0"/>
    <x v="0"/>
    <x v="0"/>
  </r>
  <r>
    <x v="927"/>
    <x v="5"/>
    <x v="4"/>
    <x v="13"/>
    <x v="351"/>
    <x v="871"/>
    <x v="4"/>
    <x v="76"/>
    <x v="30"/>
    <x v="0"/>
    <x v="0"/>
    <x v="16"/>
    <x v="13"/>
    <x v="3"/>
    <x v="0"/>
    <x v="0"/>
    <x v="0"/>
  </r>
  <r>
    <x v="928"/>
    <x v="5"/>
    <x v="4"/>
    <x v="13"/>
    <x v="352"/>
    <x v="872"/>
    <x v="4"/>
    <x v="77"/>
    <x v="31"/>
    <x v="0"/>
    <x v="0"/>
    <x v="20"/>
    <x v="19"/>
    <x v="3"/>
    <x v="0"/>
    <x v="0"/>
    <x v="0"/>
  </r>
  <r>
    <x v="929"/>
    <x v="5"/>
    <x v="4"/>
    <x v="13"/>
    <x v="353"/>
    <x v="873"/>
    <x v="4"/>
    <x v="77"/>
    <x v="31"/>
    <x v="0"/>
    <x v="0"/>
    <x v="20"/>
    <x v="19"/>
    <x v="3"/>
    <x v="0"/>
    <x v="0"/>
    <x v="0"/>
  </r>
  <r>
    <x v="930"/>
    <x v="1"/>
    <x v="4"/>
    <x v="13"/>
    <x v="354"/>
    <x v="874"/>
    <x v="3"/>
    <x v="78"/>
    <x v="5"/>
    <x v="0"/>
    <x v="0"/>
    <x v="17"/>
    <x v="15"/>
    <x v="3"/>
    <x v="0"/>
    <x v="0"/>
    <x v="0"/>
  </r>
  <r>
    <x v="931"/>
    <x v="6"/>
    <x v="4"/>
    <x v="13"/>
    <x v="355"/>
    <x v="875"/>
    <x v="1"/>
    <x v="3"/>
    <x v="2"/>
    <x v="0"/>
    <x v="0"/>
    <x v="12"/>
    <x v="6"/>
    <x v="3"/>
    <x v="0"/>
    <x v="0"/>
    <x v="0"/>
  </r>
  <r>
    <x v="932"/>
    <x v="6"/>
    <x v="4"/>
    <x v="13"/>
    <x v="356"/>
    <x v="876"/>
    <x v="1"/>
    <x v="3"/>
    <x v="2"/>
    <x v="0"/>
    <x v="0"/>
    <x v="12"/>
    <x v="6"/>
    <x v="3"/>
    <x v="0"/>
    <x v="0"/>
    <x v="0"/>
  </r>
  <r>
    <x v="933"/>
    <x v="6"/>
    <x v="4"/>
    <x v="13"/>
    <x v="357"/>
    <x v="877"/>
    <x v="1"/>
    <x v="1"/>
    <x v="0"/>
    <x v="0"/>
    <x v="0"/>
    <x v="1"/>
    <x v="0"/>
    <x v="3"/>
    <x v="0"/>
    <x v="0"/>
    <x v="0"/>
  </r>
  <r>
    <x v="934"/>
    <x v="2"/>
    <x v="4"/>
    <x v="13"/>
    <x v="358"/>
    <x v="694"/>
    <x v="1"/>
    <x v="1"/>
    <x v="0"/>
    <x v="0"/>
    <x v="0"/>
    <x v="1"/>
    <x v="0"/>
    <x v="3"/>
    <x v="0"/>
    <x v="0"/>
    <x v="0"/>
  </r>
  <r>
    <x v="935"/>
    <x v="6"/>
    <x v="4"/>
    <x v="13"/>
    <x v="359"/>
    <x v="878"/>
    <x v="5"/>
    <x v="1"/>
    <x v="0"/>
    <x v="0"/>
    <x v="0"/>
    <x v="1"/>
    <x v="0"/>
    <x v="3"/>
    <x v="0"/>
    <x v="0"/>
    <x v="0"/>
  </r>
  <r>
    <x v="936"/>
    <x v="6"/>
    <x v="4"/>
    <x v="13"/>
    <x v="359"/>
    <x v="879"/>
    <x v="5"/>
    <x v="1"/>
    <x v="0"/>
    <x v="0"/>
    <x v="0"/>
    <x v="1"/>
    <x v="0"/>
    <x v="3"/>
    <x v="0"/>
    <x v="0"/>
    <x v="0"/>
  </r>
  <r>
    <x v="937"/>
    <x v="6"/>
    <x v="4"/>
    <x v="13"/>
    <x v="359"/>
    <x v="880"/>
    <x v="5"/>
    <x v="1"/>
    <x v="0"/>
    <x v="0"/>
    <x v="0"/>
    <x v="1"/>
    <x v="0"/>
    <x v="3"/>
    <x v="0"/>
    <x v="0"/>
    <x v="0"/>
  </r>
  <r>
    <x v="938"/>
    <x v="6"/>
    <x v="4"/>
    <x v="13"/>
    <x v="360"/>
    <x v="881"/>
    <x v="1"/>
    <x v="6"/>
    <x v="0"/>
    <x v="1"/>
    <x v="1"/>
    <x v="1"/>
    <x v="0"/>
    <x v="3"/>
    <x v="2"/>
    <x v="3"/>
    <x v="0"/>
  </r>
  <r>
    <x v="939"/>
    <x v="5"/>
    <x v="4"/>
    <x v="13"/>
    <x v="361"/>
    <x v="882"/>
    <x v="1"/>
    <x v="79"/>
    <x v="0"/>
    <x v="3"/>
    <x v="1"/>
    <x v="1"/>
    <x v="15"/>
    <x v="3"/>
    <x v="2"/>
    <x v="3"/>
    <x v="0"/>
  </r>
  <r>
    <x v="940"/>
    <x v="5"/>
    <x v="4"/>
    <x v="13"/>
    <x v="362"/>
    <x v="883"/>
    <x v="4"/>
    <x v="1"/>
    <x v="0"/>
    <x v="1"/>
    <x v="1"/>
    <x v="1"/>
    <x v="0"/>
    <x v="3"/>
    <x v="2"/>
    <x v="3"/>
    <x v="0"/>
  </r>
  <r>
    <x v="941"/>
    <x v="5"/>
    <x v="4"/>
    <x v="13"/>
    <x v="363"/>
    <x v="884"/>
    <x v="4"/>
    <x v="1"/>
    <x v="0"/>
    <x v="1"/>
    <x v="1"/>
    <x v="1"/>
    <x v="0"/>
    <x v="3"/>
    <x v="2"/>
    <x v="3"/>
    <x v="0"/>
  </r>
  <r>
    <x v="942"/>
    <x v="1"/>
    <x v="4"/>
    <x v="13"/>
    <x v="44"/>
    <x v="885"/>
    <x v="5"/>
    <x v="1"/>
    <x v="0"/>
    <x v="0"/>
    <x v="0"/>
    <x v="1"/>
    <x v="0"/>
    <x v="3"/>
    <x v="0"/>
    <x v="0"/>
    <x v="0"/>
  </r>
  <r>
    <x v="943"/>
    <x v="6"/>
    <x v="4"/>
    <x v="13"/>
    <x v="47"/>
    <x v="886"/>
    <x v="5"/>
    <x v="1"/>
    <x v="0"/>
    <x v="0"/>
    <x v="0"/>
    <x v="1"/>
    <x v="0"/>
    <x v="3"/>
    <x v="0"/>
    <x v="0"/>
    <x v="1"/>
  </r>
  <r>
    <x v="944"/>
    <x v="6"/>
    <x v="4"/>
    <x v="13"/>
    <x v="47"/>
    <x v="887"/>
    <x v="5"/>
    <x v="7"/>
    <x v="0"/>
    <x v="1"/>
    <x v="1"/>
    <x v="1"/>
    <x v="0"/>
    <x v="3"/>
    <x v="2"/>
    <x v="4"/>
    <x v="1"/>
  </r>
  <r>
    <x v="945"/>
    <x v="6"/>
    <x v="4"/>
    <x v="13"/>
    <x v="47"/>
    <x v="888"/>
    <x v="5"/>
    <x v="1"/>
    <x v="0"/>
    <x v="0"/>
    <x v="0"/>
    <x v="1"/>
    <x v="0"/>
    <x v="3"/>
    <x v="0"/>
    <x v="0"/>
    <x v="1"/>
  </r>
  <r>
    <x v="946"/>
    <x v="6"/>
    <x v="4"/>
    <x v="13"/>
    <x v="47"/>
    <x v="889"/>
    <x v="5"/>
    <x v="1"/>
    <x v="0"/>
    <x v="0"/>
    <x v="0"/>
    <x v="1"/>
    <x v="0"/>
    <x v="3"/>
    <x v="0"/>
    <x v="0"/>
    <x v="1"/>
  </r>
  <r>
    <x v="947"/>
    <x v="6"/>
    <x v="4"/>
    <x v="13"/>
    <x v="44"/>
    <x v="890"/>
    <x v="5"/>
    <x v="1"/>
    <x v="0"/>
    <x v="0"/>
    <x v="0"/>
    <x v="1"/>
    <x v="0"/>
    <x v="3"/>
    <x v="0"/>
    <x v="0"/>
    <x v="1"/>
  </r>
  <r>
    <x v="948"/>
    <x v="6"/>
    <x v="4"/>
    <x v="13"/>
    <x v="44"/>
    <x v="891"/>
    <x v="5"/>
    <x v="1"/>
    <x v="0"/>
    <x v="0"/>
    <x v="0"/>
    <x v="1"/>
    <x v="0"/>
    <x v="3"/>
    <x v="0"/>
    <x v="0"/>
    <x v="1"/>
  </r>
  <r>
    <x v="949"/>
    <x v="6"/>
    <x v="4"/>
    <x v="13"/>
    <x v="44"/>
    <x v="892"/>
    <x v="5"/>
    <x v="1"/>
    <x v="0"/>
    <x v="0"/>
    <x v="0"/>
    <x v="1"/>
    <x v="0"/>
    <x v="3"/>
    <x v="0"/>
    <x v="0"/>
    <x v="1"/>
  </r>
  <r>
    <x v="950"/>
    <x v="6"/>
    <x v="4"/>
    <x v="13"/>
    <x v="44"/>
    <x v="893"/>
    <x v="5"/>
    <x v="1"/>
    <x v="0"/>
    <x v="0"/>
    <x v="0"/>
    <x v="1"/>
    <x v="0"/>
    <x v="3"/>
    <x v="0"/>
    <x v="0"/>
    <x v="1"/>
  </r>
  <r>
    <x v="951"/>
    <x v="6"/>
    <x v="4"/>
    <x v="13"/>
    <x v="44"/>
    <x v="894"/>
    <x v="5"/>
    <x v="1"/>
    <x v="0"/>
    <x v="0"/>
    <x v="0"/>
    <x v="1"/>
    <x v="0"/>
    <x v="3"/>
    <x v="0"/>
    <x v="0"/>
    <x v="1"/>
  </r>
  <r>
    <x v="952"/>
    <x v="5"/>
    <x v="4"/>
    <x v="13"/>
    <x v="44"/>
    <x v="895"/>
    <x v="6"/>
    <x v="0"/>
    <x v="0"/>
    <x v="1"/>
    <x v="1"/>
    <x v="1"/>
    <x v="0"/>
    <x v="3"/>
    <x v="1"/>
    <x v="1"/>
    <x v="3"/>
  </r>
  <r>
    <x v="953"/>
    <x v="5"/>
    <x v="4"/>
    <x v="13"/>
    <x v="44"/>
    <x v="896"/>
    <x v="6"/>
    <x v="8"/>
    <x v="0"/>
    <x v="1"/>
    <x v="1"/>
    <x v="1"/>
    <x v="0"/>
    <x v="3"/>
    <x v="2"/>
    <x v="4"/>
    <x v="3"/>
  </r>
  <r>
    <x v="954"/>
    <x v="6"/>
    <x v="5"/>
    <x v="14"/>
    <x v="364"/>
    <x v="897"/>
    <x v="0"/>
    <x v="0"/>
    <x v="0"/>
    <x v="0"/>
    <x v="0"/>
    <x v="4"/>
    <x v="0"/>
    <x v="4"/>
    <x v="0"/>
    <x v="0"/>
    <x v="0"/>
  </r>
  <r>
    <x v="955"/>
    <x v="11"/>
    <x v="5"/>
    <x v="14"/>
    <x v="365"/>
    <x v="898"/>
    <x v="0"/>
    <x v="0"/>
    <x v="0"/>
    <x v="0"/>
    <x v="0"/>
    <x v="2"/>
    <x v="0"/>
    <x v="4"/>
    <x v="0"/>
    <x v="0"/>
    <x v="0"/>
  </r>
  <r>
    <x v="956"/>
    <x v="5"/>
    <x v="5"/>
    <x v="14"/>
    <x v="366"/>
    <x v="899"/>
    <x v="0"/>
    <x v="0"/>
    <x v="0"/>
    <x v="0"/>
    <x v="0"/>
    <x v="2"/>
    <x v="0"/>
    <x v="4"/>
    <x v="0"/>
    <x v="0"/>
    <x v="0"/>
  </r>
  <r>
    <x v="957"/>
    <x v="5"/>
    <x v="5"/>
    <x v="14"/>
    <x v="367"/>
    <x v="900"/>
    <x v="0"/>
    <x v="0"/>
    <x v="0"/>
    <x v="0"/>
    <x v="0"/>
    <x v="2"/>
    <x v="0"/>
    <x v="4"/>
    <x v="0"/>
    <x v="0"/>
    <x v="0"/>
  </r>
  <r>
    <x v="958"/>
    <x v="3"/>
    <x v="5"/>
    <x v="14"/>
    <x v="368"/>
    <x v="901"/>
    <x v="1"/>
    <x v="6"/>
    <x v="0"/>
    <x v="0"/>
    <x v="0"/>
    <x v="5"/>
    <x v="0"/>
    <x v="4"/>
    <x v="0"/>
    <x v="0"/>
    <x v="0"/>
  </r>
  <r>
    <x v="959"/>
    <x v="6"/>
    <x v="5"/>
    <x v="14"/>
    <x v="369"/>
    <x v="902"/>
    <x v="5"/>
    <x v="1"/>
    <x v="0"/>
    <x v="0"/>
    <x v="0"/>
    <x v="1"/>
    <x v="0"/>
    <x v="4"/>
    <x v="0"/>
    <x v="0"/>
    <x v="0"/>
  </r>
  <r>
    <x v="960"/>
    <x v="6"/>
    <x v="5"/>
    <x v="14"/>
    <x v="369"/>
    <x v="903"/>
    <x v="5"/>
    <x v="1"/>
    <x v="0"/>
    <x v="0"/>
    <x v="0"/>
    <x v="1"/>
    <x v="0"/>
    <x v="4"/>
    <x v="0"/>
    <x v="0"/>
    <x v="0"/>
  </r>
  <r>
    <x v="961"/>
    <x v="6"/>
    <x v="5"/>
    <x v="14"/>
    <x v="369"/>
    <x v="904"/>
    <x v="5"/>
    <x v="1"/>
    <x v="0"/>
    <x v="0"/>
    <x v="0"/>
    <x v="1"/>
    <x v="0"/>
    <x v="4"/>
    <x v="0"/>
    <x v="0"/>
    <x v="0"/>
  </r>
  <r>
    <x v="962"/>
    <x v="6"/>
    <x v="5"/>
    <x v="14"/>
    <x v="369"/>
    <x v="905"/>
    <x v="5"/>
    <x v="1"/>
    <x v="0"/>
    <x v="0"/>
    <x v="0"/>
    <x v="1"/>
    <x v="0"/>
    <x v="4"/>
    <x v="0"/>
    <x v="0"/>
    <x v="0"/>
  </r>
  <r>
    <x v="963"/>
    <x v="11"/>
    <x v="5"/>
    <x v="14"/>
    <x v="370"/>
    <x v="906"/>
    <x v="0"/>
    <x v="1"/>
    <x v="0"/>
    <x v="0"/>
    <x v="0"/>
    <x v="1"/>
    <x v="0"/>
    <x v="4"/>
    <x v="0"/>
    <x v="0"/>
    <x v="0"/>
  </r>
  <r>
    <x v="964"/>
    <x v="5"/>
    <x v="5"/>
    <x v="14"/>
    <x v="371"/>
    <x v="907"/>
    <x v="2"/>
    <x v="3"/>
    <x v="2"/>
    <x v="0"/>
    <x v="0"/>
    <x v="6"/>
    <x v="2"/>
    <x v="4"/>
    <x v="0"/>
    <x v="0"/>
    <x v="0"/>
  </r>
  <r>
    <x v="965"/>
    <x v="10"/>
    <x v="5"/>
    <x v="14"/>
    <x v="372"/>
    <x v="908"/>
    <x v="2"/>
    <x v="1"/>
    <x v="0"/>
    <x v="0"/>
    <x v="0"/>
    <x v="1"/>
    <x v="0"/>
    <x v="4"/>
    <x v="0"/>
    <x v="0"/>
    <x v="0"/>
  </r>
  <r>
    <x v="966"/>
    <x v="4"/>
    <x v="5"/>
    <x v="14"/>
    <x v="373"/>
    <x v="909"/>
    <x v="2"/>
    <x v="1"/>
    <x v="0"/>
    <x v="0"/>
    <x v="0"/>
    <x v="1"/>
    <x v="0"/>
    <x v="4"/>
    <x v="0"/>
    <x v="0"/>
    <x v="0"/>
  </r>
  <r>
    <x v="967"/>
    <x v="4"/>
    <x v="5"/>
    <x v="14"/>
    <x v="374"/>
    <x v="910"/>
    <x v="0"/>
    <x v="1"/>
    <x v="0"/>
    <x v="0"/>
    <x v="0"/>
    <x v="1"/>
    <x v="0"/>
    <x v="4"/>
    <x v="0"/>
    <x v="0"/>
    <x v="0"/>
  </r>
  <r>
    <x v="968"/>
    <x v="12"/>
    <x v="5"/>
    <x v="14"/>
    <x v="375"/>
    <x v="911"/>
    <x v="0"/>
    <x v="1"/>
    <x v="0"/>
    <x v="0"/>
    <x v="0"/>
    <x v="1"/>
    <x v="0"/>
    <x v="4"/>
    <x v="0"/>
    <x v="0"/>
    <x v="0"/>
  </r>
  <r>
    <x v="969"/>
    <x v="13"/>
    <x v="5"/>
    <x v="14"/>
    <x v="376"/>
    <x v="912"/>
    <x v="0"/>
    <x v="1"/>
    <x v="0"/>
    <x v="0"/>
    <x v="0"/>
    <x v="1"/>
    <x v="0"/>
    <x v="4"/>
    <x v="0"/>
    <x v="0"/>
    <x v="0"/>
  </r>
  <r>
    <x v="970"/>
    <x v="11"/>
    <x v="5"/>
    <x v="14"/>
    <x v="377"/>
    <x v="913"/>
    <x v="0"/>
    <x v="1"/>
    <x v="0"/>
    <x v="0"/>
    <x v="0"/>
    <x v="1"/>
    <x v="0"/>
    <x v="4"/>
    <x v="0"/>
    <x v="0"/>
    <x v="0"/>
  </r>
  <r>
    <x v="971"/>
    <x v="11"/>
    <x v="5"/>
    <x v="14"/>
    <x v="378"/>
    <x v="914"/>
    <x v="0"/>
    <x v="1"/>
    <x v="0"/>
    <x v="0"/>
    <x v="0"/>
    <x v="1"/>
    <x v="0"/>
    <x v="4"/>
    <x v="0"/>
    <x v="0"/>
    <x v="0"/>
  </r>
  <r>
    <x v="972"/>
    <x v="11"/>
    <x v="5"/>
    <x v="14"/>
    <x v="379"/>
    <x v="915"/>
    <x v="0"/>
    <x v="1"/>
    <x v="0"/>
    <x v="0"/>
    <x v="0"/>
    <x v="1"/>
    <x v="0"/>
    <x v="4"/>
    <x v="0"/>
    <x v="0"/>
    <x v="0"/>
  </r>
  <r>
    <x v="973"/>
    <x v="11"/>
    <x v="5"/>
    <x v="14"/>
    <x v="380"/>
    <x v="916"/>
    <x v="0"/>
    <x v="1"/>
    <x v="0"/>
    <x v="0"/>
    <x v="0"/>
    <x v="1"/>
    <x v="0"/>
    <x v="4"/>
    <x v="0"/>
    <x v="0"/>
    <x v="0"/>
  </r>
  <r>
    <x v="974"/>
    <x v="11"/>
    <x v="5"/>
    <x v="14"/>
    <x v="381"/>
    <x v="917"/>
    <x v="0"/>
    <x v="1"/>
    <x v="0"/>
    <x v="0"/>
    <x v="0"/>
    <x v="1"/>
    <x v="0"/>
    <x v="4"/>
    <x v="0"/>
    <x v="0"/>
    <x v="0"/>
  </r>
  <r>
    <x v="975"/>
    <x v="6"/>
    <x v="5"/>
    <x v="14"/>
    <x v="382"/>
    <x v="918"/>
    <x v="0"/>
    <x v="1"/>
    <x v="0"/>
    <x v="0"/>
    <x v="0"/>
    <x v="1"/>
    <x v="0"/>
    <x v="4"/>
    <x v="0"/>
    <x v="0"/>
    <x v="0"/>
  </r>
  <r>
    <x v="976"/>
    <x v="6"/>
    <x v="5"/>
    <x v="14"/>
    <x v="383"/>
    <x v="919"/>
    <x v="0"/>
    <x v="1"/>
    <x v="0"/>
    <x v="0"/>
    <x v="0"/>
    <x v="1"/>
    <x v="0"/>
    <x v="4"/>
    <x v="0"/>
    <x v="0"/>
    <x v="0"/>
  </r>
  <r>
    <x v="977"/>
    <x v="6"/>
    <x v="5"/>
    <x v="14"/>
    <x v="384"/>
    <x v="920"/>
    <x v="0"/>
    <x v="1"/>
    <x v="0"/>
    <x v="0"/>
    <x v="0"/>
    <x v="1"/>
    <x v="0"/>
    <x v="4"/>
    <x v="0"/>
    <x v="0"/>
    <x v="0"/>
  </r>
  <r>
    <x v="978"/>
    <x v="10"/>
    <x v="5"/>
    <x v="14"/>
    <x v="364"/>
    <x v="921"/>
    <x v="0"/>
    <x v="3"/>
    <x v="2"/>
    <x v="0"/>
    <x v="0"/>
    <x v="6"/>
    <x v="2"/>
    <x v="4"/>
    <x v="0"/>
    <x v="0"/>
    <x v="0"/>
  </r>
  <r>
    <x v="979"/>
    <x v="6"/>
    <x v="5"/>
    <x v="14"/>
    <x v="385"/>
    <x v="922"/>
    <x v="1"/>
    <x v="1"/>
    <x v="0"/>
    <x v="0"/>
    <x v="0"/>
    <x v="1"/>
    <x v="0"/>
    <x v="4"/>
    <x v="0"/>
    <x v="0"/>
    <x v="0"/>
  </r>
  <r>
    <x v="980"/>
    <x v="10"/>
    <x v="5"/>
    <x v="14"/>
    <x v="386"/>
    <x v="923"/>
    <x v="0"/>
    <x v="1"/>
    <x v="0"/>
    <x v="0"/>
    <x v="0"/>
    <x v="1"/>
    <x v="0"/>
    <x v="4"/>
    <x v="0"/>
    <x v="0"/>
    <x v="0"/>
  </r>
  <r>
    <x v="981"/>
    <x v="0"/>
    <x v="5"/>
    <x v="14"/>
    <x v="387"/>
    <x v="924"/>
    <x v="0"/>
    <x v="1"/>
    <x v="0"/>
    <x v="0"/>
    <x v="0"/>
    <x v="1"/>
    <x v="0"/>
    <x v="4"/>
    <x v="0"/>
    <x v="0"/>
    <x v="0"/>
  </r>
  <r>
    <x v="982"/>
    <x v="5"/>
    <x v="5"/>
    <x v="14"/>
    <x v="388"/>
    <x v="925"/>
    <x v="0"/>
    <x v="1"/>
    <x v="0"/>
    <x v="0"/>
    <x v="0"/>
    <x v="1"/>
    <x v="0"/>
    <x v="4"/>
    <x v="0"/>
    <x v="0"/>
    <x v="0"/>
  </r>
  <r>
    <x v="983"/>
    <x v="11"/>
    <x v="5"/>
    <x v="14"/>
    <x v="389"/>
    <x v="926"/>
    <x v="0"/>
    <x v="1"/>
    <x v="0"/>
    <x v="0"/>
    <x v="0"/>
    <x v="1"/>
    <x v="0"/>
    <x v="4"/>
    <x v="0"/>
    <x v="0"/>
    <x v="0"/>
  </r>
  <r>
    <x v="984"/>
    <x v="11"/>
    <x v="5"/>
    <x v="14"/>
    <x v="390"/>
    <x v="927"/>
    <x v="0"/>
    <x v="1"/>
    <x v="0"/>
    <x v="0"/>
    <x v="0"/>
    <x v="1"/>
    <x v="0"/>
    <x v="4"/>
    <x v="0"/>
    <x v="0"/>
    <x v="0"/>
  </r>
  <r>
    <x v="985"/>
    <x v="11"/>
    <x v="5"/>
    <x v="14"/>
    <x v="391"/>
    <x v="928"/>
    <x v="0"/>
    <x v="1"/>
    <x v="0"/>
    <x v="0"/>
    <x v="0"/>
    <x v="1"/>
    <x v="0"/>
    <x v="4"/>
    <x v="0"/>
    <x v="0"/>
    <x v="0"/>
  </r>
  <r>
    <x v="986"/>
    <x v="6"/>
    <x v="5"/>
    <x v="14"/>
    <x v="392"/>
    <x v="929"/>
    <x v="0"/>
    <x v="1"/>
    <x v="0"/>
    <x v="0"/>
    <x v="0"/>
    <x v="1"/>
    <x v="0"/>
    <x v="4"/>
    <x v="0"/>
    <x v="0"/>
    <x v="0"/>
  </r>
  <r>
    <x v="987"/>
    <x v="6"/>
    <x v="5"/>
    <x v="14"/>
    <x v="393"/>
    <x v="930"/>
    <x v="0"/>
    <x v="3"/>
    <x v="2"/>
    <x v="0"/>
    <x v="0"/>
    <x v="6"/>
    <x v="2"/>
    <x v="4"/>
    <x v="0"/>
    <x v="0"/>
    <x v="0"/>
  </r>
  <r>
    <x v="988"/>
    <x v="10"/>
    <x v="5"/>
    <x v="14"/>
    <x v="394"/>
    <x v="931"/>
    <x v="0"/>
    <x v="3"/>
    <x v="2"/>
    <x v="0"/>
    <x v="0"/>
    <x v="6"/>
    <x v="2"/>
    <x v="4"/>
    <x v="0"/>
    <x v="0"/>
    <x v="0"/>
  </r>
  <r>
    <x v="989"/>
    <x v="5"/>
    <x v="5"/>
    <x v="14"/>
    <x v="395"/>
    <x v="932"/>
    <x v="0"/>
    <x v="1"/>
    <x v="0"/>
    <x v="0"/>
    <x v="0"/>
    <x v="1"/>
    <x v="0"/>
    <x v="4"/>
    <x v="0"/>
    <x v="0"/>
    <x v="0"/>
  </r>
  <r>
    <x v="990"/>
    <x v="5"/>
    <x v="5"/>
    <x v="14"/>
    <x v="396"/>
    <x v="933"/>
    <x v="0"/>
    <x v="1"/>
    <x v="0"/>
    <x v="0"/>
    <x v="0"/>
    <x v="1"/>
    <x v="0"/>
    <x v="4"/>
    <x v="0"/>
    <x v="0"/>
    <x v="0"/>
  </r>
  <r>
    <x v="991"/>
    <x v="5"/>
    <x v="5"/>
    <x v="14"/>
    <x v="397"/>
    <x v="934"/>
    <x v="0"/>
    <x v="1"/>
    <x v="0"/>
    <x v="0"/>
    <x v="0"/>
    <x v="1"/>
    <x v="0"/>
    <x v="4"/>
    <x v="0"/>
    <x v="0"/>
    <x v="0"/>
  </r>
  <r>
    <x v="992"/>
    <x v="5"/>
    <x v="5"/>
    <x v="14"/>
    <x v="398"/>
    <x v="935"/>
    <x v="0"/>
    <x v="1"/>
    <x v="0"/>
    <x v="0"/>
    <x v="0"/>
    <x v="1"/>
    <x v="0"/>
    <x v="4"/>
    <x v="0"/>
    <x v="0"/>
    <x v="0"/>
  </r>
  <r>
    <x v="993"/>
    <x v="5"/>
    <x v="5"/>
    <x v="14"/>
    <x v="399"/>
    <x v="936"/>
    <x v="0"/>
    <x v="1"/>
    <x v="1"/>
    <x v="0"/>
    <x v="0"/>
    <x v="3"/>
    <x v="0"/>
    <x v="4"/>
    <x v="0"/>
    <x v="0"/>
    <x v="0"/>
  </r>
  <r>
    <x v="994"/>
    <x v="5"/>
    <x v="5"/>
    <x v="14"/>
    <x v="400"/>
    <x v="937"/>
    <x v="0"/>
    <x v="1"/>
    <x v="0"/>
    <x v="0"/>
    <x v="0"/>
    <x v="1"/>
    <x v="0"/>
    <x v="4"/>
    <x v="0"/>
    <x v="0"/>
    <x v="0"/>
  </r>
  <r>
    <x v="995"/>
    <x v="5"/>
    <x v="5"/>
    <x v="14"/>
    <x v="401"/>
    <x v="938"/>
    <x v="0"/>
    <x v="1"/>
    <x v="0"/>
    <x v="0"/>
    <x v="0"/>
    <x v="1"/>
    <x v="0"/>
    <x v="4"/>
    <x v="0"/>
    <x v="0"/>
    <x v="0"/>
  </r>
  <r>
    <x v="996"/>
    <x v="5"/>
    <x v="5"/>
    <x v="14"/>
    <x v="402"/>
    <x v="939"/>
    <x v="0"/>
    <x v="1"/>
    <x v="0"/>
    <x v="0"/>
    <x v="0"/>
    <x v="1"/>
    <x v="0"/>
    <x v="4"/>
    <x v="0"/>
    <x v="0"/>
    <x v="0"/>
  </r>
  <r>
    <x v="997"/>
    <x v="5"/>
    <x v="5"/>
    <x v="14"/>
    <x v="403"/>
    <x v="940"/>
    <x v="0"/>
    <x v="1"/>
    <x v="0"/>
    <x v="0"/>
    <x v="0"/>
    <x v="1"/>
    <x v="0"/>
    <x v="4"/>
    <x v="0"/>
    <x v="0"/>
    <x v="0"/>
  </r>
  <r>
    <x v="998"/>
    <x v="5"/>
    <x v="5"/>
    <x v="14"/>
    <x v="404"/>
    <x v="941"/>
    <x v="0"/>
    <x v="80"/>
    <x v="32"/>
    <x v="0"/>
    <x v="0"/>
    <x v="20"/>
    <x v="19"/>
    <x v="4"/>
    <x v="0"/>
    <x v="0"/>
    <x v="0"/>
  </r>
  <r>
    <x v="999"/>
    <x v="5"/>
    <x v="5"/>
    <x v="14"/>
    <x v="405"/>
    <x v="867"/>
    <x v="4"/>
    <x v="3"/>
    <x v="2"/>
    <x v="0"/>
    <x v="0"/>
    <x v="30"/>
    <x v="27"/>
    <x v="4"/>
    <x v="0"/>
    <x v="0"/>
    <x v="0"/>
  </r>
  <r>
    <x v="1000"/>
    <x v="5"/>
    <x v="5"/>
    <x v="14"/>
    <x v="406"/>
    <x v="867"/>
    <x v="4"/>
    <x v="3"/>
    <x v="2"/>
    <x v="0"/>
    <x v="0"/>
    <x v="30"/>
    <x v="27"/>
    <x v="4"/>
    <x v="0"/>
    <x v="0"/>
    <x v="0"/>
  </r>
  <r>
    <x v="1001"/>
    <x v="5"/>
    <x v="5"/>
    <x v="14"/>
    <x v="407"/>
    <x v="942"/>
    <x v="4"/>
    <x v="26"/>
    <x v="1"/>
    <x v="0"/>
    <x v="0"/>
    <x v="21"/>
    <x v="0"/>
    <x v="4"/>
    <x v="0"/>
    <x v="0"/>
    <x v="0"/>
  </r>
  <r>
    <x v="1002"/>
    <x v="5"/>
    <x v="5"/>
    <x v="14"/>
    <x v="408"/>
    <x v="867"/>
    <x v="4"/>
    <x v="3"/>
    <x v="2"/>
    <x v="0"/>
    <x v="0"/>
    <x v="30"/>
    <x v="27"/>
    <x v="4"/>
    <x v="0"/>
    <x v="0"/>
    <x v="0"/>
  </r>
  <r>
    <x v="1003"/>
    <x v="5"/>
    <x v="5"/>
    <x v="14"/>
    <x v="409"/>
    <x v="943"/>
    <x v="4"/>
    <x v="26"/>
    <x v="1"/>
    <x v="0"/>
    <x v="0"/>
    <x v="21"/>
    <x v="0"/>
    <x v="4"/>
    <x v="0"/>
    <x v="0"/>
    <x v="0"/>
  </r>
  <r>
    <x v="1004"/>
    <x v="5"/>
    <x v="5"/>
    <x v="14"/>
    <x v="410"/>
    <x v="867"/>
    <x v="4"/>
    <x v="3"/>
    <x v="2"/>
    <x v="0"/>
    <x v="0"/>
    <x v="30"/>
    <x v="27"/>
    <x v="4"/>
    <x v="0"/>
    <x v="0"/>
    <x v="0"/>
  </r>
  <r>
    <x v="1005"/>
    <x v="5"/>
    <x v="5"/>
    <x v="14"/>
    <x v="411"/>
    <x v="944"/>
    <x v="4"/>
    <x v="20"/>
    <x v="7"/>
    <x v="0"/>
    <x v="0"/>
    <x v="16"/>
    <x v="13"/>
    <x v="4"/>
    <x v="0"/>
    <x v="0"/>
    <x v="0"/>
  </r>
  <r>
    <x v="1006"/>
    <x v="5"/>
    <x v="5"/>
    <x v="14"/>
    <x v="412"/>
    <x v="945"/>
    <x v="4"/>
    <x v="81"/>
    <x v="33"/>
    <x v="0"/>
    <x v="0"/>
    <x v="16"/>
    <x v="13"/>
    <x v="4"/>
    <x v="0"/>
    <x v="0"/>
    <x v="0"/>
  </r>
  <r>
    <x v="1007"/>
    <x v="5"/>
    <x v="5"/>
    <x v="14"/>
    <x v="413"/>
    <x v="906"/>
    <x v="3"/>
    <x v="3"/>
    <x v="2"/>
    <x v="0"/>
    <x v="0"/>
    <x v="28"/>
    <x v="28"/>
    <x v="4"/>
    <x v="0"/>
    <x v="0"/>
    <x v="0"/>
  </r>
  <r>
    <x v="1008"/>
    <x v="5"/>
    <x v="5"/>
    <x v="14"/>
    <x v="414"/>
    <x v="946"/>
    <x v="3"/>
    <x v="3"/>
    <x v="2"/>
    <x v="0"/>
    <x v="0"/>
    <x v="28"/>
    <x v="28"/>
    <x v="4"/>
    <x v="0"/>
    <x v="0"/>
    <x v="0"/>
  </r>
  <r>
    <x v="1009"/>
    <x v="5"/>
    <x v="5"/>
    <x v="14"/>
    <x v="415"/>
    <x v="907"/>
    <x v="3"/>
    <x v="3"/>
    <x v="2"/>
    <x v="0"/>
    <x v="0"/>
    <x v="28"/>
    <x v="28"/>
    <x v="4"/>
    <x v="0"/>
    <x v="0"/>
    <x v="0"/>
  </r>
  <r>
    <x v="1010"/>
    <x v="5"/>
    <x v="5"/>
    <x v="14"/>
    <x v="416"/>
    <x v="908"/>
    <x v="3"/>
    <x v="3"/>
    <x v="2"/>
    <x v="0"/>
    <x v="0"/>
    <x v="28"/>
    <x v="28"/>
    <x v="4"/>
    <x v="0"/>
    <x v="0"/>
    <x v="0"/>
  </r>
  <r>
    <x v="1011"/>
    <x v="5"/>
    <x v="5"/>
    <x v="14"/>
    <x v="417"/>
    <x v="909"/>
    <x v="3"/>
    <x v="3"/>
    <x v="2"/>
    <x v="0"/>
    <x v="0"/>
    <x v="28"/>
    <x v="28"/>
    <x v="4"/>
    <x v="0"/>
    <x v="0"/>
    <x v="0"/>
  </r>
  <r>
    <x v="1012"/>
    <x v="5"/>
    <x v="5"/>
    <x v="14"/>
    <x v="418"/>
    <x v="910"/>
    <x v="3"/>
    <x v="3"/>
    <x v="2"/>
    <x v="0"/>
    <x v="0"/>
    <x v="28"/>
    <x v="28"/>
    <x v="4"/>
    <x v="0"/>
    <x v="0"/>
    <x v="0"/>
  </r>
  <r>
    <x v="1013"/>
    <x v="5"/>
    <x v="5"/>
    <x v="14"/>
    <x v="419"/>
    <x v="911"/>
    <x v="3"/>
    <x v="3"/>
    <x v="2"/>
    <x v="0"/>
    <x v="0"/>
    <x v="28"/>
    <x v="28"/>
    <x v="4"/>
    <x v="0"/>
    <x v="0"/>
    <x v="0"/>
  </r>
  <r>
    <x v="1014"/>
    <x v="5"/>
    <x v="5"/>
    <x v="14"/>
    <x v="420"/>
    <x v="912"/>
    <x v="3"/>
    <x v="3"/>
    <x v="2"/>
    <x v="0"/>
    <x v="0"/>
    <x v="28"/>
    <x v="28"/>
    <x v="4"/>
    <x v="0"/>
    <x v="0"/>
    <x v="0"/>
  </r>
  <r>
    <x v="1015"/>
    <x v="5"/>
    <x v="5"/>
    <x v="14"/>
    <x v="421"/>
    <x v="913"/>
    <x v="3"/>
    <x v="3"/>
    <x v="2"/>
    <x v="0"/>
    <x v="0"/>
    <x v="28"/>
    <x v="28"/>
    <x v="4"/>
    <x v="0"/>
    <x v="0"/>
    <x v="0"/>
  </r>
  <r>
    <x v="1016"/>
    <x v="5"/>
    <x v="5"/>
    <x v="14"/>
    <x v="422"/>
    <x v="914"/>
    <x v="3"/>
    <x v="3"/>
    <x v="2"/>
    <x v="0"/>
    <x v="0"/>
    <x v="28"/>
    <x v="28"/>
    <x v="4"/>
    <x v="0"/>
    <x v="0"/>
    <x v="0"/>
  </r>
  <r>
    <x v="1017"/>
    <x v="5"/>
    <x v="5"/>
    <x v="14"/>
    <x v="423"/>
    <x v="915"/>
    <x v="3"/>
    <x v="3"/>
    <x v="2"/>
    <x v="0"/>
    <x v="0"/>
    <x v="28"/>
    <x v="28"/>
    <x v="4"/>
    <x v="0"/>
    <x v="0"/>
    <x v="0"/>
  </r>
  <r>
    <x v="1018"/>
    <x v="5"/>
    <x v="5"/>
    <x v="14"/>
    <x v="424"/>
    <x v="916"/>
    <x v="3"/>
    <x v="3"/>
    <x v="2"/>
    <x v="0"/>
    <x v="0"/>
    <x v="28"/>
    <x v="28"/>
    <x v="4"/>
    <x v="0"/>
    <x v="0"/>
    <x v="0"/>
  </r>
  <r>
    <x v="1019"/>
    <x v="5"/>
    <x v="5"/>
    <x v="14"/>
    <x v="425"/>
    <x v="917"/>
    <x v="3"/>
    <x v="3"/>
    <x v="2"/>
    <x v="0"/>
    <x v="0"/>
    <x v="28"/>
    <x v="28"/>
    <x v="4"/>
    <x v="0"/>
    <x v="0"/>
    <x v="0"/>
  </r>
  <r>
    <x v="1020"/>
    <x v="5"/>
    <x v="5"/>
    <x v="14"/>
    <x v="426"/>
    <x v="918"/>
    <x v="3"/>
    <x v="3"/>
    <x v="2"/>
    <x v="0"/>
    <x v="0"/>
    <x v="28"/>
    <x v="28"/>
    <x v="4"/>
    <x v="0"/>
    <x v="0"/>
    <x v="0"/>
  </r>
  <r>
    <x v="1021"/>
    <x v="5"/>
    <x v="5"/>
    <x v="14"/>
    <x v="427"/>
    <x v="947"/>
    <x v="3"/>
    <x v="3"/>
    <x v="2"/>
    <x v="0"/>
    <x v="0"/>
    <x v="28"/>
    <x v="28"/>
    <x v="4"/>
    <x v="0"/>
    <x v="0"/>
    <x v="0"/>
  </r>
  <r>
    <x v="1022"/>
    <x v="5"/>
    <x v="5"/>
    <x v="14"/>
    <x v="428"/>
    <x v="920"/>
    <x v="3"/>
    <x v="3"/>
    <x v="2"/>
    <x v="0"/>
    <x v="0"/>
    <x v="28"/>
    <x v="28"/>
    <x v="4"/>
    <x v="0"/>
    <x v="0"/>
    <x v="0"/>
  </r>
  <r>
    <x v="1023"/>
    <x v="5"/>
    <x v="5"/>
    <x v="14"/>
    <x v="429"/>
    <x v="948"/>
    <x v="3"/>
    <x v="3"/>
    <x v="2"/>
    <x v="0"/>
    <x v="0"/>
    <x v="28"/>
    <x v="28"/>
    <x v="4"/>
    <x v="0"/>
    <x v="0"/>
    <x v="0"/>
  </r>
  <r>
    <x v="1024"/>
    <x v="5"/>
    <x v="5"/>
    <x v="14"/>
    <x v="430"/>
    <x v="897"/>
    <x v="3"/>
    <x v="3"/>
    <x v="2"/>
    <x v="0"/>
    <x v="0"/>
    <x v="28"/>
    <x v="28"/>
    <x v="4"/>
    <x v="0"/>
    <x v="0"/>
    <x v="0"/>
  </r>
  <r>
    <x v="1025"/>
    <x v="5"/>
    <x v="5"/>
    <x v="14"/>
    <x v="431"/>
    <x v="921"/>
    <x v="3"/>
    <x v="3"/>
    <x v="2"/>
    <x v="0"/>
    <x v="0"/>
    <x v="28"/>
    <x v="28"/>
    <x v="4"/>
    <x v="0"/>
    <x v="0"/>
    <x v="0"/>
  </r>
  <r>
    <x v="1026"/>
    <x v="5"/>
    <x v="5"/>
    <x v="14"/>
    <x v="432"/>
    <x v="922"/>
    <x v="3"/>
    <x v="3"/>
    <x v="2"/>
    <x v="0"/>
    <x v="0"/>
    <x v="28"/>
    <x v="28"/>
    <x v="4"/>
    <x v="0"/>
    <x v="0"/>
    <x v="0"/>
  </r>
  <r>
    <x v="1027"/>
    <x v="5"/>
    <x v="5"/>
    <x v="14"/>
    <x v="433"/>
    <x v="923"/>
    <x v="3"/>
    <x v="3"/>
    <x v="2"/>
    <x v="0"/>
    <x v="0"/>
    <x v="28"/>
    <x v="28"/>
    <x v="4"/>
    <x v="0"/>
    <x v="0"/>
    <x v="0"/>
  </r>
  <r>
    <x v="1028"/>
    <x v="5"/>
    <x v="5"/>
    <x v="14"/>
    <x v="434"/>
    <x v="924"/>
    <x v="3"/>
    <x v="3"/>
    <x v="2"/>
    <x v="0"/>
    <x v="0"/>
    <x v="28"/>
    <x v="28"/>
    <x v="4"/>
    <x v="0"/>
    <x v="0"/>
    <x v="0"/>
  </r>
  <r>
    <x v="1029"/>
    <x v="5"/>
    <x v="5"/>
    <x v="14"/>
    <x v="435"/>
    <x v="949"/>
    <x v="3"/>
    <x v="3"/>
    <x v="2"/>
    <x v="0"/>
    <x v="0"/>
    <x v="28"/>
    <x v="28"/>
    <x v="4"/>
    <x v="0"/>
    <x v="0"/>
    <x v="0"/>
  </r>
  <r>
    <x v="1030"/>
    <x v="5"/>
    <x v="5"/>
    <x v="14"/>
    <x v="436"/>
    <x v="925"/>
    <x v="3"/>
    <x v="3"/>
    <x v="2"/>
    <x v="0"/>
    <x v="0"/>
    <x v="28"/>
    <x v="28"/>
    <x v="4"/>
    <x v="0"/>
    <x v="0"/>
    <x v="0"/>
  </r>
  <r>
    <x v="1031"/>
    <x v="5"/>
    <x v="5"/>
    <x v="14"/>
    <x v="437"/>
    <x v="926"/>
    <x v="3"/>
    <x v="3"/>
    <x v="2"/>
    <x v="0"/>
    <x v="0"/>
    <x v="28"/>
    <x v="28"/>
    <x v="4"/>
    <x v="0"/>
    <x v="0"/>
    <x v="0"/>
  </r>
  <r>
    <x v="1032"/>
    <x v="5"/>
    <x v="5"/>
    <x v="14"/>
    <x v="438"/>
    <x v="927"/>
    <x v="3"/>
    <x v="3"/>
    <x v="2"/>
    <x v="0"/>
    <x v="0"/>
    <x v="28"/>
    <x v="28"/>
    <x v="4"/>
    <x v="0"/>
    <x v="0"/>
    <x v="0"/>
  </r>
  <r>
    <x v="1033"/>
    <x v="5"/>
    <x v="5"/>
    <x v="14"/>
    <x v="439"/>
    <x v="928"/>
    <x v="3"/>
    <x v="3"/>
    <x v="2"/>
    <x v="0"/>
    <x v="0"/>
    <x v="28"/>
    <x v="28"/>
    <x v="4"/>
    <x v="0"/>
    <x v="0"/>
    <x v="0"/>
  </r>
  <r>
    <x v="1034"/>
    <x v="5"/>
    <x v="5"/>
    <x v="14"/>
    <x v="440"/>
    <x v="929"/>
    <x v="3"/>
    <x v="3"/>
    <x v="2"/>
    <x v="0"/>
    <x v="0"/>
    <x v="28"/>
    <x v="28"/>
    <x v="4"/>
    <x v="0"/>
    <x v="0"/>
    <x v="0"/>
  </r>
  <r>
    <x v="1035"/>
    <x v="5"/>
    <x v="5"/>
    <x v="14"/>
    <x v="441"/>
    <x v="930"/>
    <x v="3"/>
    <x v="3"/>
    <x v="2"/>
    <x v="0"/>
    <x v="0"/>
    <x v="28"/>
    <x v="28"/>
    <x v="4"/>
    <x v="0"/>
    <x v="0"/>
    <x v="0"/>
  </r>
  <r>
    <x v="1036"/>
    <x v="5"/>
    <x v="5"/>
    <x v="14"/>
    <x v="442"/>
    <x v="931"/>
    <x v="3"/>
    <x v="3"/>
    <x v="2"/>
    <x v="0"/>
    <x v="0"/>
    <x v="28"/>
    <x v="28"/>
    <x v="4"/>
    <x v="0"/>
    <x v="0"/>
    <x v="0"/>
  </r>
  <r>
    <x v="1037"/>
    <x v="5"/>
    <x v="5"/>
    <x v="14"/>
    <x v="443"/>
    <x v="898"/>
    <x v="3"/>
    <x v="3"/>
    <x v="2"/>
    <x v="0"/>
    <x v="0"/>
    <x v="28"/>
    <x v="28"/>
    <x v="4"/>
    <x v="0"/>
    <x v="0"/>
    <x v="0"/>
  </r>
  <r>
    <x v="1038"/>
    <x v="5"/>
    <x v="5"/>
    <x v="14"/>
    <x v="444"/>
    <x v="950"/>
    <x v="3"/>
    <x v="3"/>
    <x v="2"/>
    <x v="0"/>
    <x v="0"/>
    <x v="28"/>
    <x v="28"/>
    <x v="4"/>
    <x v="0"/>
    <x v="0"/>
    <x v="0"/>
  </r>
  <r>
    <x v="1039"/>
    <x v="5"/>
    <x v="5"/>
    <x v="14"/>
    <x v="445"/>
    <x v="951"/>
    <x v="3"/>
    <x v="3"/>
    <x v="2"/>
    <x v="0"/>
    <x v="0"/>
    <x v="28"/>
    <x v="28"/>
    <x v="4"/>
    <x v="0"/>
    <x v="0"/>
    <x v="0"/>
  </r>
  <r>
    <x v="1040"/>
    <x v="5"/>
    <x v="5"/>
    <x v="14"/>
    <x v="446"/>
    <x v="952"/>
    <x v="3"/>
    <x v="3"/>
    <x v="2"/>
    <x v="0"/>
    <x v="0"/>
    <x v="28"/>
    <x v="28"/>
    <x v="4"/>
    <x v="0"/>
    <x v="0"/>
    <x v="0"/>
  </r>
  <r>
    <x v="1041"/>
    <x v="5"/>
    <x v="5"/>
    <x v="14"/>
    <x v="447"/>
    <x v="932"/>
    <x v="3"/>
    <x v="3"/>
    <x v="2"/>
    <x v="0"/>
    <x v="0"/>
    <x v="28"/>
    <x v="28"/>
    <x v="4"/>
    <x v="0"/>
    <x v="0"/>
    <x v="0"/>
  </r>
  <r>
    <x v="1042"/>
    <x v="5"/>
    <x v="5"/>
    <x v="14"/>
    <x v="448"/>
    <x v="933"/>
    <x v="3"/>
    <x v="3"/>
    <x v="2"/>
    <x v="0"/>
    <x v="0"/>
    <x v="28"/>
    <x v="28"/>
    <x v="4"/>
    <x v="0"/>
    <x v="0"/>
    <x v="0"/>
  </r>
  <r>
    <x v="1043"/>
    <x v="5"/>
    <x v="5"/>
    <x v="14"/>
    <x v="449"/>
    <x v="934"/>
    <x v="3"/>
    <x v="3"/>
    <x v="2"/>
    <x v="0"/>
    <x v="0"/>
    <x v="28"/>
    <x v="28"/>
    <x v="4"/>
    <x v="0"/>
    <x v="0"/>
    <x v="0"/>
  </r>
  <r>
    <x v="1044"/>
    <x v="5"/>
    <x v="5"/>
    <x v="14"/>
    <x v="450"/>
    <x v="935"/>
    <x v="3"/>
    <x v="3"/>
    <x v="2"/>
    <x v="0"/>
    <x v="0"/>
    <x v="28"/>
    <x v="28"/>
    <x v="4"/>
    <x v="0"/>
    <x v="0"/>
    <x v="0"/>
  </r>
  <r>
    <x v="1045"/>
    <x v="5"/>
    <x v="5"/>
    <x v="14"/>
    <x v="451"/>
    <x v="936"/>
    <x v="3"/>
    <x v="3"/>
    <x v="2"/>
    <x v="0"/>
    <x v="0"/>
    <x v="28"/>
    <x v="28"/>
    <x v="4"/>
    <x v="0"/>
    <x v="0"/>
    <x v="0"/>
  </r>
  <r>
    <x v="1046"/>
    <x v="5"/>
    <x v="5"/>
    <x v="14"/>
    <x v="452"/>
    <x v="937"/>
    <x v="3"/>
    <x v="3"/>
    <x v="2"/>
    <x v="0"/>
    <x v="0"/>
    <x v="28"/>
    <x v="28"/>
    <x v="4"/>
    <x v="0"/>
    <x v="0"/>
    <x v="0"/>
  </r>
  <r>
    <x v="1047"/>
    <x v="5"/>
    <x v="5"/>
    <x v="14"/>
    <x v="453"/>
    <x v="938"/>
    <x v="3"/>
    <x v="3"/>
    <x v="2"/>
    <x v="0"/>
    <x v="0"/>
    <x v="28"/>
    <x v="28"/>
    <x v="4"/>
    <x v="0"/>
    <x v="0"/>
    <x v="0"/>
  </r>
  <r>
    <x v="1048"/>
    <x v="5"/>
    <x v="5"/>
    <x v="14"/>
    <x v="454"/>
    <x v="899"/>
    <x v="3"/>
    <x v="3"/>
    <x v="2"/>
    <x v="0"/>
    <x v="0"/>
    <x v="28"/>
    <x v="28"/>
    <x v="4"/>
    <x v="0"/>
    <x v="0"/>
    <x v="0"/>
  </r>
  <r>
    <x v="1049"/>
    <x v="5"/>
    <x v="5"/>
    <x v="14"/>
    <x v="455"/>
    <x v="900"/>
    <x v="3"/>
    <x v="3"/>
    <x v="2"/>
    <x v="0"/>
    <x v="0"/>
    <x v="28"/>
    <x v="28"/>
    <x v="4"/>
    <x v="0"/>
    <x v="0"/>
    <x v="0"/>
  </r>
  <r>
    <x v="1050"/>
    <x v="5"/>
    <x v="5"/>
    <x v="14"/>
    <x v="456"/>
    <x v="939"/>
    <x v="3"/>
    <x v="3"/>
    <x v="2"/>
    <x v="0"/>
    <x v="0"/>
    <x v="28"/>
    <x v="28"/>
    <x v="4"/>
    <x v="0"/>
    <x v="0"/>
    <x v="0"/>
  </r>
  <r>
    <x v="1051"/>
    <x v="5"/>
    <x v="5"/>
    <x v="14"/>
    <x v="457"/>
    <x v="940"/>
    <x v="3"/>
    <x v="3"/>
    <x v="2"/>
    <x v="0"/>
    <x v="0"/>
    <x v="28"/>
    <x v="28"/>
    <x v="4"/>
    <x v="0"/>
    <x v="0"/>
    <x v="0"/>
  </r>
  <r>
    <x v="1052"/>
    <x v="5"/>
    <x v="5"/>
    <x v="14"/>
    <x v="458"/>
    <x v="941"/>
    <x v="3"/>
    <x v="3"/>
    <x v="2"/>
    <x v="0"/>
    <x v="0"/>
    <x v="28"/>
    <x v="28"/>
    <x v="4"/>
    <x v="0"/>
    <x v="0"/>
    <x v="0"/>
  </r>
  <r>
    <x v="1053"/>
    <x v="5"/>
    <x v="5"/>
    <x v="14"/>
    <x v="459"/>
    <x v="953"/>
    <x v="3"/>
    <x v="3"/>
    <x v="2"/>
    <x v="0"/>
    <x v="0"/>
    <x v="28"/>
    <x v="28"/>
    <x v="4"/>
    <x v="0"/>
    <x v="0"/>
    <x v="0"/>
  </r>
  <r>
    <x v="1054"/>
    <x v="5"/>
    <x v="5"/>
    <x v="14"/>
    <x v="460"/>
    <x v="954"/>
    <x v="3"/>
    <x v="3"/>
    <x v="2"/>
    <x v="0"/>
    <x v="0"/>
    <x v="28"/>
    <x v="28"/>
    <x v="4"/>
    <x v="0"/>
    <x v="0"/>
    <x v="0"/>
  </r>
  <r>
    <x v="1055"/>
    <x v="5"/>
    <x v="5"/>
    <x v="14"/>
    <x v="461"/>
    <x v="942"/>
    <x v="3"/>
    <x v="3"/>
    <x v="2"/>
    <x v="0"/>
    <x v="0"/>
    <x v="28"/>
    <x v="28"/>
    <x v="4"/>
    <x v="0"/>
    <x v="0"/>
    <x v="0"/>
  </r>
  <r>
    <x v="1056"/>
    <x v="5"/>
    <x v="5"/>
    <x v="14"/>
    <x v="462"/>
    <x v="955"/>
    <x v="3"/>
    <x v="3"/>
    <x v="2"/>
    <x v="0"/>
    <x v="0"/>
    <x v="28"/>
    <x v="28"/>
    <x v="4"/>
    <x v="0"/>
    <x v="0"/>
    <x v="0"/>
  </r>
  <r>
    <x v="1057"/>
    <x v="5"/>
    <x v="5"/>
    <x v="14"/>
    <x v="463"/>
    <x v="943"/>
    <x v="3"/>
    <x v="3"/>
    <x v="2"/>
    <x v="0"/>
    <x v="0"/>
    <x v="28"/>
    <x v="28"/>
    <x v="4"/>
    <x v="0"/>
    <x v="0"/>
    <x v="0"/>
  </r>
  <r>
    <x v="1058"/>
    <x v="5"/>
    <x v="5"/>
    <x v="14"/>
    <x v="464"/>
    <x v="956"/>
    <x v="3"/>
    <x v="3"/>
    <x v="2"/>
    <x v="0"/>
    <x v="0"/>
    <x v="28"/>
    <x v="28"/>
    <x v="4"/>
    <x v="0"/>
    <x v="0"/>
    <x v="0"/>
  </r>
  <r>
    <x v="1059"/>
    <x v="5"/>
    <x v="5"/>
    <x v="14"/>
    <x v="465"/>
    <x v="944"/>
    <x v="3"/>
    <x v="3"/>
    <x v="2"/>
    <x v="0"/>
    <x v="0"/>
    <x v="28"/>
    <x v="28"/>
    <x v="4"/>
    <x v="0"/>
    <x v="0"/>
    <x v="0"/>
  </r>
  <r>
    <x v="1060"/>
    <x v="5"/>
    <x v="5"/>
    <x v="14"/>
    <x v="466"/>
    <x v="945"/>
    <x v="3"/>
    <x v="3"/>
    <x v="2"/>
    <x v="0"/>
    <x v="0"/>
    <x v="28"/>
    <x v="28"/>
    <x v="4"/>
    <x v="0"/>
    <x v="0"/>
    <x v="0"/>
  </r>
  <r>
    <x v="1061"/>
    <x v="5"/>
    <x v="5"/>
    <x v="14"/>
    <x v="44"/>
    <x v="957"/>
    <x v="6"/>
    <x v="8"/>
    <x v="0"/>
    <x v="1"/>
    <x v="1"/>
    <x v="1"/>
    <x v="0"/>
    <x v="4"/>
    <x v="2"/>
    <x v="4"/>
    <x v="2"/>
  </r>
  <r>
    <x v="1062"/>
    <x v="5"/>
    <x v="5"/>
    <x v="14"/>
    <x v="44"/>
    <x v="958"/>
    <x v="6"/>
    <x v="8"/>
    <x v="0"/>
    <x v="1"/>
    <x v="1"/>
    <x v="1"/>
    <x v="0"/>
    <x v="4"/>
    <x v="2"/>
    <x v="4"/>
    <x v="2"/>
  </r>
  <r>
    <x v="1063"/>
    <x v="5"/>
    <x v="5"/>
    <x v="14"/>
    <x v="44"/>
    <x v="959"/>
    <x v="6"/>
    <x v="8"/>
    <x v="0"/>
    <x v="1"/>
    <x v="1"/>
    <x v="1"/>
    <x v="0"/>
    <x v="4"/>
    <x v="2"/>
    <x v="4"/>
    <x v="2"/>
  </r>
  <r>
    <x v="1064"/>
    <x v="5"/>
    <x v="5"/>
    <x v="14"/>
    <x v="44"/>
    <x v="960"/>
    <x v="6"/>
    <x v="8"/>
    <x v="0"/>
    <x v="1"/>
    <x v="1"/>
    <x v="1"/>
    <x v="0"/>
    <x v="4"/>
    <x v="2"/>
    <x v="4"/>
    <x v="2"/>
  </r>
  <r>
    <x v="1065"/>
    <x v="5"/>
    <x v="5"/>
    <x v="14"/>
    <x v="44"/>
    <x v="961"/>
    <x v="6"/>
    <x v="8"/>
    <x v="0"/>
    <x v="1"/>
    <x v="1"/>
    <x v="1"/>
    <x v="0"/>
    <x v="4"/>
    <x v="2"/>
    <x v="4"/>
    <x v="2"/>
  </r>
  <r>
    <x v="1066"/>
    <x v="5"/>
    <x v="5"/>
    <x v="14"/>
    <x v="44"/>
    <x v="962"/>
    <x v="6"/>
    <x v="8"/>
    <x v="0"/>
    <x v="1"/>
    <x v="1"/>
    <x v="1"/>
    <x v="0"/>
    <x v="4"/>
    <x v="2"/>
    <x v="4"/>
    <x v="2"/>
  </r>
  <r>
    <x v="1067"/>
    <x v="1"/>
    <x v="5"/>
    <x v="14"/>
    <x v="44"/>
    <x v="963"/>
    <x v="5"/>
    <x v="1"/>
    <x v="0"/>
    <x v="0"/>
    <x v="0"/>
    <x v="1"/>
    <x v="0"/>
    <x v="4"/>
    <x v="0"/>
    <x v="0"/>
    <x v="0"/>
  </r>
  <r>
    <x v="1068"/>
    <x v="5"/>
    <x v="5"/>
    <x v="14"/>
    <x v="467"/>
    <x v="948"/>
    <x v="0"/>
    <x v="13"/>
    <x v="0"/>
    <x v="1"/>
    <x v="1"/>
    <x v="1"/>
    <x v="0"/>
    <x v="4"/>
    <x v="2"/>
    <x v="3"/>
    <x v="0"/>
  </r>
  <r>
    <x v="1069"/>
    <x v="5"/>
    <x v="5"/>
    <x v="14"/>
    <x v="468"/>
    <x v="949"/>
    <x v="0"/>
    <x v="1"/>
    <x v="0"/>
    <x v="1"/>
    <x v="1"/>
    <x v="1"/>
    <x v="0"/>
    <x v="4"/>
    <x v="2"/>
    <x v="3"/>
    <x v="0"/>
  </r>
  <r>
    <x v="1070"/>
    <x v="10"/>
    <x v="5"/>
    <x v="14"/>
    <x v="469"/>
    <x v="950"/>
    <x v="0"/>
    <x v="6"/>
    <x v="0"/>
    <x v="0"/>
    <x v="0"/>
    <x v="2"/>
    <x v="0"/>
    <x v="4"/>
    <x v="0"/>
    <x v="0"/>
    <x v="0"/>
  </r>
  <r>
    <x v="1071"/>
    <x v="5"/>
    <x v="5"/>
    <x v="14"/>
    <x v="470"/>
    <x v="951"/>
    <x v="0"/>
    <x v="6"/>
    <x v="0"/>
    <x v="1"/>
    <x v="1"/>
    <x v="1"/>
    <x v="0"/>
    <x v="4"/>
    <x v="2"/>
    <x v="3"/>
    <x v="0"/>
  </r>
  <r>
    <x v="1072"/>
    <x v="5"/>
    <x v="5"/>
    <x v="14"/>
    <x v="471"/>
    <x v="952"/>
    <x v="0"/>
    <x v="6"/>
    <x v="0"/>
    <x v="1"/>
    <x v="1"/>
    <x v="1"/>
    <x v="0"/>
    <x v="4"/>
    <x v="2"/>
    <x v="3"/>
    <x v="0"/>
  </r>
  <r>
    <x v="1073"/>
    <x v="3"/>
    <x v="5"/>
    <x v="14"/>
    <x v="472"/>
    <x v="30"/>
    <x v="0"/>
    <x v="2"/>
    <x v="0"/>
    <x v="1"/>
    <x v="1"/>
    <x v="1"/>
    <x v="0"/>
    <x v="4"/>
    <x v="2"/>
    <x v="2"/>
    <x v="0"/>
  </r>
  <r>
    <x v="1074"/>
    <x v="3"/>
    <x v="5"/>
    <x v="14"/>
    <x v="473"/>
    <x v="31"/>
    <x v="4"/>
    <x v="1"/>
    <x v="0"/>
    <x v="0"/>
    <x v="0"/>
    <x v="5"/>
    <x v="0"/>
    <x v="4"/>
    <x v="0"/>
    <x v="0"/>
    <x v="0"/>
  </r>
  <r>
    <x v="1075"/>
    <x v="2"/>
    <x v="5"/>
    <x v="14"/>
    <x v="474"/>
    <x v="964"/>
    <x v="3"/>
    <x v="2"/>
    <x v="0"/>
    <x v="1"/>
    <x v="1"/>
    <x v="1"/>
    <x v="0"/>
    <x v="4"/>
    <x v="2"/>
    <x v="2"/>
    <x v="0"/>
  </r>
  <r>
    <x v="1076"/>
    <x v="2"/>
    <x v="5"/>
    <x v="14"/>
    <x v="475"/>
    <x v="965"/>
    <x v="3"/>
    <x v="6"/>
    <x v="0"/>
    <x v="0"/>
    <x v="0"/>
    <x v="5"/>
    <x v="0"/>
    <x v="4"/>
    <x v="0"/>
    <x v="0"/>
    <x v="0"/>
  </r>
  <r>
    <x v="1077"/>
    <x v="2"/>
    <x v="5"/>
    <x v="14"/>
    <x v="476"/>
    <x v="966"/>
    <x v="3"/>
    <x v="6"/>
    <x v="0"/>
    <x v="0"/>
    <x v="0"/>
    <x v="1"/>
    <x v="0"/>
    <x v="4"/>
    <x v="0"/>
    <x v="0"/>
    <x v="0"/>
  </r>
  <r>
    <x v="1078"/>
    <x v="6"/>
    <x v="5"/>
    <x v="14"/>
    <x v="44"/>
    <x v="967"/>
    <x v="5"/>
    <x v="7"/>
    <x v="0"/>
    <x v="1"/>
    <x v="1"/>
    <x v="1"/>
    <x v="0"/>
    <x v="4"/>
    <x v="2"/>
    <x v="4"/>
    <x v="1"/>
  </r>
  <r>
    <x v="1079"/>
    <x v="6"/>
    <x v="5"/>
    <x v="14"/>
    <x v="44"/>
    <x v="968"/>
    <x v="5"/>
    <x v="7"/>
    <x v="0"/>
    <x v="1"/>
    <x v="1"/>
    <x v="1"/>
    <x v="0"/>
    <x v="4"/>
    <x v="2"/>
    <x v="4"/>
    <x v="1"/>
  </r>
  <r>
    <x v="1080"/>
    <x v="6"/>
    <x v="5"/>
    <x v="14"/>
    <x v="44"/>
    <x v="969"/>
    <x v="5"/>
    <x v="1"/>
    <x v="0"/>
    <x v="0"/>
    <x v="0"/>
    <x v="1"/>
    <x v="0"/>
    <x v="4"/>
    <x v="0"/>
    <x v="0"/>
    <x v="1"/>
  </r>
  <r>
    <x v="1081"/>
    <x v="5"/>
    <x v="5"/>
    <x v="14"/>
    <x v="44"/>
    <x v="970"/>
    <x v="0"/>
    <x v="1"/>
    <x v="0"/>
    <x v="0"/>
    <x v="0"/>
    <x v="1"/>
    <x v="0"/>
    <x v="4"/>
    <x v="0"/>
    <x v="0"/>
    <x v="4"/>
  </r>
  <r>
    <x v="1082"/>
    <x v="5"/>
    <x v="5"/>
    <x v="14"/>
    <x v="44"/>
    <x v="971"/>
    <x v="0"/>
    <x v="1"/>
    <x v="0"/>
    <x v="0"/>
    <x v="0"/>
    <x v="1"/>
    <x v="0"/>
    <x v="4"/>
    <x v="0"/>
    <x v="0"/>
    <x v="4"/>
  </r>
  <r>
    <x v="1083"/>
    <x v="5"/>
    <x v="5"/>
    <x v="14"/>
    <x v="44"/>
    <x v="972"/>
    <x v="6"/>
    <x v="0"/>
    <x v="0"/>
    <x v="1"/>
    <x v="1"/>
    <x v="1"/>
    <x v="0"/>
    <x v="4"/>
    <x v="1"/>
    <x v="1"/>
    <x v="0"/>
  </r>
  <r>
    <x v="1084"/>
    <x v="6"/>
    <x v="5"/>
    <x v="15"/>
    <x v="477"/>
    <x v="973"/>
    <x v="1"/>
    <x v="1"/>
    <x v="0"/>
    <x v="0"/>
    <x v="0"/>
    <x v="4"/>
    <x v="0"/>
    <x v="4"/>
    <x v="0"/>
    <x v="0"/>
    <x v="0"/>
  </r>
  <r>
    <x v="1085"/>
    <x v="6"/>
    <x v="5"/>
    <x v="15"/>
    <x v="478"/>
    <x v="974"/>
    <x v="1"/>
    <x v="0"/>
    <x v="0"/>
    <x v="0"/>
    <x v="0"/>
    <x v="8"/>
    <x v="0"/>
    <x v="4"/>
    <x v="0"/>
    <x v="0"/>
    <x v="0"/>
  </r>
  <r>
    <x v="1086"/>
    <x v="6"/>
    <x v="5"/>
    <x v="15"/>
    <x v="479"/>
    <x v="975"/>
    <x v="1"/>
    <x v="0"/>
    <x v="0"/>
    <x v="1"/>
    <x v="1"/>
    <x v="1"/>
    <x v="0"/>
    <x v="4"/>
    <x v="1"/>
    <x v="1"/>
    <x v="0"/>
  </r>
  <r>
    <x v="1087"/>
    <x v="11"/>
    <x v="5"/>
    <x v="15"/>
    <x v="480"/>
    <x v="976"/>
    <x v="0"/>
    <x v="1"/>
    <x v="0"/>
    <x v="0"/>
    <x v="0"/>
    <x v="1"/>
    <x v="0"/>
    <x v="4"/>
    <x v="0"/>
    <x v="0"/>
    <x v="0"/>
  </r>
  <r>
    <x v="1088"/>
    <x v="12"/>
    <x v="5"/>
    <x v="15"/>
    <x v="481"/>
    <x v="977"/>
    <x v="0"/>
    <x v="1"/>
    <x v="0"/>
    <x v="0"/>
    <x v="0"/>
    <x v="1"/>
    <x v="0"/>
    <x v="4"/>
    <x v="0"/>
    <x v="0"/>
    <x v="0"/>
  </r>
  <r>
    <x v="1089"/>
    <x v="11"/>
    <x v="5"/>
    <x v="15"/>
    <x v="482"/>
    <x v="978"/>
    <x v="0"/>
    <x v="1"/>
    <x v="0"/>
    <x v="0"/>
    <x v="0"/>
    <x v="1"/>
    <x v="0"/>
    <x v="4"/>
    <x v="0"/>
    <x v="0"/>
    <x v="0"/>
  </r>
  <r>
    <x v="1090"/>
    <x v="11"/>
    <x v="5"/>
    <x v="15"/>
    <x v="483"/>
    <x v="979"/>
    <x v="0"/>
    <x v="1"/>
    <x v="0"/>
    <x v="0"/>
    <x v="0"/>
    <x v="1"/>
    <x v="0"/>
    <x v="4"/>
    <x v="0"/>
    <x v="0"/>
    <x v="0"/>
  </r>
  <r>
    <x v="1091"/>
    <x v="4"/>
    <x v="5"/>
    <x v="15"/>
    <x v="484"/>
    <x v="980"/>
    <x v="0"/>
    <x v="1"/>
    <x v="0"/>
    <x v="0"/>
    <x v="0"/>
    <x v="1"/>
    <x v="0"/>
    <x v="4"/>
    <x v="0"/>
    <x v="0"/>
    <x v="0"/>
  </r>
  <r>
    <x v="1092"/>
    <x v="4"/>
    <x v="5"/>
    <x v="15"/>
    <x v="485"/>
    <x v="981"/>
    <x v="0"/>
    <x v="1"/>
    <x v="0"/>
    <x v="0"/>
    <x v="0"/>
    <x v="1"/>
    <x v="0"/>
    <x v="4"/>
    <x v="0"/>
    <x v="0"/>
    <x v="0"/>
  </r>
  <r>
    <x v="1093"/>
    <x v="4"/>
    <x v="5"/>
    <x v="15"/>
    <x v="486"/>
    <x v="982"/>
    <x v="0"/>
    <x v="1"/>
    <x v="0"/>
    <x v="0"/>
    <x v="0"/>
    <x v="1"/>
    <x v="0"/>
    <x v="4"/>
    <x v="0"/>
    <x v="0"/>
    <x v="0"/>
  </r>
  <r>
    <x v="1094"/>
    <x v="4"/>
    <x v="5"/>
    <x v="15"/>
    <x v="487"/>
    <x v="983"/>
    <x v="0"/>
    <x v="1"/>
    <x v="0"/>
    <x v="0"/>
    <x v="0"/>
    <x v="1"/>
    <x v="0"/>
    <x v="4"/>
    <x v="0"/>
    <x v="0"/>
    <x v="0"/>
  </r>
  <r>
    <x v="1095"/>
    <x v="4"/>
    <x v="5"/>
    <x v="15"/>
    <x v="488"/>
    <x v="984"/>
    <x v="0"/>
    <x v="1"/>
    <x v="0"/>
    <x v="0"/>
    <x v="0"/>
    <x v="1"/>
    <x v="0"/>
    <x v="4"/>
    <x v="0"/>
    <x v="0"/>
    <x v="0"/>
  </r>
  <r>
    <x v="1096"/>
    <x v="4"/>
    <x v="5"/>
    <x v="15"/>
    <x v="489"/>
    <x v="985"/>
    <x v="0"/>
    <x v="1"/>
    <x v="0"/>
    <x v="0"/>
    <x v="0"/>
    <x v="1"/>
    <x v="0"/>
    <x v="4"/>
    <x v="0"/>
    <x v="0"/>
    <x v="0"/>
  </r>
  <r>
    <x v="1097"/>
    <x v="4"/>
    <x v="5"/>
    <x v="15"/>
    <x v="490"/>
    <x v="986"/>
    <x v="0"/>
    <x v="1"/>
    <x v="0"/>
    <x v="0"/>
    <x v="0"/>
    <x v="1"/>
    <x v="0"/>
    <x v="4"/>
    <x v="0"/>
    <x v="0"/>
    <x v="0"/>
  </r>
  <r>
    <x v="1098"/>
    <x v="4"/>
    <x v="5"/>
    <x v="15"/>
    <x v="491"/>
    <x v="987"/>
    <x v="0"/>
    <x v="1"/>
    <x v="0"/>
    <x v="0"/>
    <x v="0"/>
    <x v="1"/>
    <x v="0"/>
    <x v="4"/>
    <x v="0"/>
    <x v="0"/>
    <x v="0"/>
  </r>
  <r>
    <x v="1099"/>
    <x v="0"/>
    <x v="5"/>
    <x v="15"/>
    <x v="492"/>
    <x v="988"/>
    <x v="0"/>
    <x v="1"/>
    <x v="0"/>
    <x v="0"/>
    <x v="0"/>
    <x v="1"/>
    <x v="0"/>
    <x v="4"/>
    <x v="0"/>
    <x v="0"/>
    <x v="0"/>
  </r>
  <r>
    <x v="1100"/>
    <x v="6"/>
    <x v="5"/>
    <x v="15"/>
    <x v="493"/>
    <x v="989"/>
    <x v="0"/>
    <x v="1"/>
    <x v="0"/>
    <x v="0"/>
    <x v="0"/>
    <x v="1"/>
    <x v="0"/>
    <x v="4"/>
    <x v="0"/>
    <x v="0"/>
    <x v="0"/>
  </r>
  <r>
    <x v="1101"/>
    <x v="0"/>
    <x v="5"/>
    <x v="15"/>
    <x v="494"/>
    <x v="990"/>
    <x v="0"/>
    <x v="1"/>
    <x v="0"/>
    <x v="0"/>
    <x v="0"/>
    <x v="1"/>
    <x v="0"/>
    <x v="4"/>
    <x v="0"/>
    <x v="0"/>
    <x v="0"/>
  </r>
  <r>
    <x v="1102"/>
    <x v="10"/>
    <x v="5"/>
    <x v="15"/>
    <x v="495"/>
    <x v="991"/>
    <x v="0"/>
    <x v="1"/>
    <x v="0"/>
    <x v="0"/>
    <x v="0"/>
    <x v="1"/>
    <x v="0"/>
    <x v="4"/>
    <x v="0"/>
    <x v="0"/>
    <x v="0"/>
  </r>
  <r>
    <x v="1103"/>
    <x v="10"/>
    <x v="5"/>
    <x v="15"/>
    <x v="496"/>
    <x v="992"/>
    <x v="0"/>
    <x v="1"/>
    <x v="0"/>
    <x v="0"/>
    <x v="0"/>
    <x v="1"/>
    <x v="0"/>
    <x v="4"/>
    <x v="0"/>
    <x v="0"/>
    <x v="0"/>
  </r>
  <r>
    <x v="1104"/>
    <x v="10"/>
    <x v="5"/>
    <x v="15"/>
    <x v="497"/>
    <x v="993"/>
    <x v="6"/>
    <x v="1"/>
    <x v="0"/>
    <x v="0"/>
    <x v="0"/>
    <x v="1"/>
    <x v="0"/>
    <x v="4"/>
    <x v="0"/>
    <x v="0"/>
    <x v="3"/>
  </r>
  <r>
    <x v="1105"/>
    <x v="10"/>
    <x v="5"/>
    <x v="15"/>
    <x v="498"/>
    <x v="994"/>
    <x v="6"/>
    <x v="0"/>
    <x v="0"/>
    <x v="1"/>
    <x v="1"/>
    <x v="1"/>
    <x v="0"/>
    <x v="4"/>
    <x v="1"/>
    <x v="1"/>
    <x v="3"/>
  </r>
  <r>
    <x v="1106"/>
    <x v="10"/>
    <x v="5"/>
    <x v="15"/>
    <x v="499"/>
    <x v="995"/>
    <x v="6"/>
    <x v="0"/>
    <x v="0"/>
    <x v="1"/>
    <x v="1"/>
    <x v="1"/>
    <x v="0"/>
    <x v="4"/>
    <x v="1"/>
    <x v="1"/>
    <x v="3"/>
  </r>
  <r>
    <x v="1107"/>
    <x v="6"/>
    <x v="5"/>
    <x v="15"/>
    <x v="500"/>
    <x v="996"/>
    <x v="6"/>
    <x v="1"/>
    <x v="0"/>
    <x v="0"/>
    <x v="0"/>
    <x v="1"/>
    <x v="0"/>
    <x v="4"/>
    <x v="0"/>
    <x v="0"/>
    <x v="3"/>
  </r>
  <r>
    <x v="1108"/>
    <x v="0"/>
    <x v="5"/>
    <x v="15"/>
    <x v="501"/>
    <x v="997"/>
    <x v="6"/>
    <x v="1"/>
    <x v="0"/>
    <x v="0"/>
    <x v="0"/>
    <x v="1"/>
    <x v="0"/>
    <x v="4"/>
    <x v="0"/>
    <x v="0"/>
    <x v="3"/>
  </r>
  <r>
    <x v="1109"/>
    <x v="0"/>
    <x v="5"/>
    <x v="15"/>
    <x v="502"/>
    <x v="998"/>
    <x v="6"/>
    <x v="1"/>
    <x v="0"/>
    <x v="0"/>
    <x v="0"/>
    <x v="1"/>
    <x v="0"/>
    <x v="4"/>
    <x v="0"/>
    <x v="0"/>
    <x v="3"/>
  </r>
  <r>
    <x v="1110"/>
    <x v="0"/>
    <x v="5"/>
    <x v="15"/>
    <x v="503"/>
    <x v="999"/>
    <x v="6"/>
    <x v="1"/>
    <x v="0"/>
    <x v="0"/>
    <x v="0"/>
    <x v="1"/>
    <x v="0"/>
    <x v="4"/>
    <x v="0"/>
    <x v="0"/>
    <x v="3"/>
  </r>
  <r>
    <x v="1111"/>
    <x v="0"/>
    <x v="5"/>
    <x v="15"/>
    <x v="504"/>
    <x v="1000"/>
    <x v="6"/>
    <x v="1"/>
    <x v="0"/>
    <x v="0"/>
    <x v="0"/>
    <x v="1"/>
    <x v="0"/>
    <x v="4"/>
    <x v="0"/>
    <x v="0"/>
    <x v="3"/>
  </r>
  <r>
    <x v="1112"/>
    <x v="0"/>
    <x v="5"/>
    <x v="15"/>
    <x v="505"/>
    <x v="1001"/>
    <x v="6"/>
    <x v="1"/>
    <x v="0"/>
    <x v="0"/>
    <x v="0"/>
    <x v="1"/>
    <x v="0"/>
    <x v="4"/>
    <x v="0"/>
    <x v="0"/>
    <x v="3"/>
  </r>
  <r>
    <x v="1113"/>
    <x v="10"/>
    <x v="5"/>
    <x v="15"/>
    <x v="506"/>
    <x v="1002"/>
    <x v="6"/>
    <x v="1"/>
    <x v="0"/>
    <x v="0"/>
    <x v="0"/>
    <x v="1"/>
    <x v="0"/>
    <x v="4"/>
    <x v="0"/>
    <x v="0"/>
    <x v="3"/>
  </r>
  <r>
    <x v="1114"/>
    <x v="6"/>
    <x v="5"/>
    <x v="15"/>
    <x v="507"/>
    <x v="1003"/>
    <x v="1"/>
    <x v="1"/>
    <x v="0"/>
    <x v="0"/>
    <x v="0"/>
    <x v="1"/>
    <x v="0"/>
    <x v="4"/>
    <x v="0"/>
    <x v="0"/>
    <x v="0"/>
  </r>
  <r>
    <x v="1115"/>
    <x v="6"/>
    <x v="5"/>
    <x v="15"/>
    <x v="508"/>
    <x v="1004"/>
    <x v="1"/>
    <x v="11"/>
    <x v="1"/>
    <x v="0"/>
    <x v="0"/>
    <x v="3"/>
    <x v="0"/>
    <x v="4"/>
    <x v="0"/>
    <x v="0"/>
    <x v="0"/>
  </r>
  <r>
    <x v="1116"/>
    <x v="6"/>
    <x v="5"/>
    <x v="15"/>
    <x v="509"/>
    <x v="1005"/>
    <x v="1"/>
    <x v="1"/>
    <x v="0"/>
    <x v="0"/>
    <x v="0"/>
    <x v="1"/>
    <x v="0"/>
    <x v="4"/>
    <x v="0"/>
    <x v="0"/>
    <x v="0"/>
  </r>
  <r>
    <x v="1117"/>
    <x v="6"/>
    <x v="5"/>
    <x v="15"/>
    <x v="510"/>
    <x v="1006"/>
    <x v="1"/>
    <x v="1"/>
    <x v="0"/>
    <x v="0"/>
    <x v="0"/>
    <x v="1"/>
    <x v="0"/>
    <x v="4"/>
    <x v="0"/>
    <x v="0"/>
    <x v="0"/>
  </r>
  <r>
    <x v="1118"/>
    <x v="6"/>
    <x v="5"/>
    <x v="15"/>
    <x v="511"/>
    <x v="1007"/>
    <x v="1"/>
    <x v="1"/>
    <x v="1"/>
    <x v="0"/>
    <x v="0"/>
    <x v="3"/>
    <x v="0"/>
    <x v="4"/>
    <x v="0"/>
    <x v="0"/>
    <x v="0"/>
  </r>
  <r>
    <x v="1119"/>
    <x v="6"/>
    <x v="5"/>
    <x v="15"/>
    <x v="512"/>
    <x v="1008"/>
    <x v="1"/>
    <x v="1"/>
    <x v="0"/>
    <x v="0"/>
    <x v="0"/>
    <x v="1"/>
    <x v="0"/>
    <x v="4"/>
    <x v="0"/>
    <x v="0"/>
    <x v="0"/>
  </r>
  <r>
    <x v="1120"/>
    <x v="6"/>
    <x v="5"/>
    <x v="15"/>
    <x v="513"/>
    <x v="1009"/>
    <x v="1"/>
    <x v="10"/>
    <x v="5"/>
    <x v="0"/>
    <x v="0"/>
    <x v="14"/>
    <x v="8"/>
    <x v="4"/>
    <x v="0"/>
    <x v="0"/>
    <x v="0"/>
  </r>
  <r>
    <x v="1121"/>
    <x v="6"/>
    <x v="5"/>
    <x v="15"/>
    <x v="514"/>
    <x v="1010"/>
    <x v="1"/>
    <x v="1"/>
    <x v="0"/>
    <x v="0"/>
    <x v="0"/>
    <x v="1"/>
    <x v="0"/>
    <x v="4"/>
    <x v="0"/>
    <x v="0"/>
    <x v="0"/>
  </r>
  <r>
    <x v="1122"/>
    <x v="6"/>
    <x v="5"/>
    <x v="15"/>
    <x v="515"/>
    <x v="1011"/>
    <x v="1"/>
    <x v="1"/>
    <x v="0"/>
    <x v="0"/>
    <x v="0"/>
    <x v="1"/>
    <x v="0"/>
    <x v="4"/>
    <x v="0"/>
    <x v="0"/>
    <x v="0"/>
  </r>
  <r>
    <x v="1123"/>
    <x v="6"/>
    <x v="5"/>
    <x v="15"/>
    <x v="516"/>
    <x v="1012"/>
    <x v="1"/>
    <x v="1"/>
    <x v="0"/>
    <x v="0"/>
    <x v="0"/>
    <x v="1"/>
    <x v="0"/>
    <x v="4"/>
    <x v="0"/>
    <x v="0"/>
    <x v="0"/>
  </r>
  <r>
    <x v="1124"/>
    <x v="6"/>
    <x v="5"/>
    <x v="15"/>
    <x v="517"/>
    <x v="1013"/>
    <x v="1"/>
    <x v="1"/>
    <x v="0"/>
    <x v="0"/>
    <x v="0"/>
    <x v="1"/>
    <x v="0"/>
    <x v="4"/>
    <x v="0"/>
    <x v="0"/>
    <x v="0"/>
  </r>
  <r>
    <x v="1125"/>
    <x v="6"/>
    <x v="5"/>
    <x v="15"/>
    <x v="518"/>
    <x v="1014"/>
    <x v="1"/>
    <x v="1"/>
    <x v="0"/>
    <x v="0"/>
    <x v="0"/>
    <x v="1"/>
    <x v="0"/>
    <x v="4"/>
    <x v="0"/>
    <x v="0"/>
    <x v="0"/>
  </r>
  <r>
    <x v="1126"/>
    <x v="6"/>
    <x v="5"/>
    <x v="15"/>
    <x v="519"/>
    <x v="1015"/>
    <x v="1"/>
    <x v="1"/>
    <x v="0"/>
    <x v="0"/>
    <x v="0"/>
    <x v="1"/>
    <x v="0"/>
    <x v="4"/>
    <x v="0"/>
    <x v="0"/>
    <x v="0"/>
  </r>
  <r>
    <x v="1127"/>
    <x v="6"/>
    <x v="5"/>
    <x v="15"/>
    <x v="520"/>
    <x v="1016"/>
    <x v="1"/>
    <x v="1"/>
    <x v="0"/>
    <x v="0"/>
    <x v="0"/>
    <x v="1"/>
    <x v="0"/>
    <x v="4"/>
    <x v="0"/>
    <x v="0"/>
    <x v="0"/>
  </r>
  <r>
    <x v="1128"/>
    <x v="6"/>
    <x v="5"/>
    <x v="15"/>
    <x v="521"/>
    <x v="1017"/>
    <x v="1"/>
    <x v="1"/>
    <x v="0"/>
    <x v="0"/>
    <x v="0"/>
    <x v="1"/>
    <x v="0"/>
    <x v="4"/>
    <x v="0"/>
    <x v="0"/>
    <x v="0"/>
  </r>
  <r>
    <x v="1129"/>
    <x v="6"/>
    <x v="5"/>
    <x v="15"/>
    <x v="522"/>
    <x v="1018"/>
    <x v="1"/>
    <x v="1"/>
    <x v="0"/>
    <x v="0"/>
    <x v="0"/>
    <x v="1"/>
    <x v="0"/>
    <x v="4"/>
    <x v="0"/>
    <x v="0"/>
    <x v="0"/>
  </r>
  <r>
    <x v="1130"/>
    <x v="6"/>
    <x v="5"/>
    <x v="15"/>
    <x v="523"/>
    <x v="1019"/>
    <x v="1"/>
    <x v="1"/>
    <x v="0"/>
    <x v="0"/>
    <x v="0"/>
    <x v="1"/>
    <x v="0"/>
    <x v="4"/>
    <x v="0"/>
    <x v="0"/>
    <x v="0"/>
  </r>
  <r>
    <x v="1131"/>
    <x v="6"/>
    <x v="5"/>
    <x v="15"/>
    <x v="524"/>
    <x v="1020"/>
    <x v="1"/>
    <x v="1"/>
    <x v="0"/>
    <x v="0"/>
    <x v="0"/>
    <x v="1"/>
    <x v="0"/>
    <x v="4"/>
    <x v="0"/>
    <x v="0"/>
    <x v="0"/>
  </r>
  <r>
    <x v="1132"/>
    <x v="11"/>
    <x v="5"/>
    <x v="15"/>
    <x v="525"/>
    <x v="1021"/>
    <x v="1"/>
    <x v="1"/>
    <x v="0"/>
    <x v="0"/>
    <x v="0"/>
    <x v="1"/>
    <x v="0"/>
    <x v="4"/>
    <x v="0"/>
    <x v="0"/>
    <x v="0"/>
  </r>
  <r>
    <x v="1133"/>
    <x v="11"/>
    <x v="5"/>
    <x v="15"/>
    <x v="526"/>
    <x v="1022"/>
    <x v="1"/>
    <x v="1"/>
    <x v="0"/>
    <x v="0"/>
    <x v="0"/>
    <x v="1"/>
    <x v="0"/>
    <x v="4"/>
    <x v="0"/>
    <x v="0"/>
    <x v="0"/>
  </r>
  <r>
    <x v="1134"/>
    <x v="11"/>
    <x v="5"/>
    <x v="15"/>
    <x v="527"/>
    <x v="1023"/>
    <x v="1"/>
    <x v="1"/>
    <x v="0"/>
    <x v="0"/>
    <x v="0"/>
    <x v="1"/>
    <x v="0"/>
    <x v="4"/>
    <x v="0"/>
    <x v="0"/>
    <x v="0"/>
  </r>
  <r>
    <x v="1135"/>
    <x v="11"/>
    <x v="5"/>
    <x v="15"/>
    <x v="528"/>
    <x v="1024"/>
    <x v="1"/>
    <x v="1"/>
    <x v="0"/>
    <x v="0"/>
    <x v="0"/>
    <x v="1"/>
    <x v="0"/>
    <x v="4"/>
    <x v="0"/>
    <x v="0"/>
    <x v="0"/>
  </r>
  <r>
    <x v="1136"/>
    <x v="6"/>
    <x v="5"/>
    <x v="15"/>
    <x v="529"/>
    <x v="1025"/>
    <x v="1"/>
    <x v="1"/>
    <x v="0"/>
    <x v="0"/>
    <x v="0"/>
    <x v="1"/>
    <x v="0"/>
    <x v="4"/>
    <x v="0"/>
    <x v="0"/>
    <x v="0"/>
  </r>
  <r>
    <x v="1137"/>
    <x v="6"/>
    <x v="5"/>
    <x v="15"/>
    <x v="530"/>
    <x v="1026"/>
    <x v="1"/>
    <x v="1"/>
    <x v="0"/>
    <x v="0"/>
    <x v="0"/>
    <x v="1"/>
    <x v="0"/>
    <x v="4"/>
    <x v="0"/>
    <x v="0"/>
    <x v="0"/>
  </r>
  <r>
    <x v="1138"/>
    <x v="6"/>
    <x v="5"/>
    <x v="15"/>
    <x v="531"/>
    <x v="1027"/>
    <x v="1"/>
    <x v="1"/>
    <x v="0"/>
    <x v="0"/>
    <x v="0"/>
    <x v="1"/>
    <x v="0"/>
    <x v="4"/>
    <x v="0"/>
    <x v="0"/>
    <x v="0"/>
  </r>
  <r>
    <x v="1139"/>
    <x v="10"/>
    <x v="5"/>
    <x v="15"/>
    <x v="532"/>
    <x v="1028"/>
    <x v="1"/>
    <x v="1"/>
    <x v="0"/>
    <x v="0"/>
    <x v="0"/>
    <x v="1"/>
    <x v="0"/>
    <x v="4"/>
    <x v="0"/>
    <x v="0"/>
    <x v="0"/>
  </r>
  <r>
    <x v="1140"/>
    <x v="10"/>
    <x v="5"/>
    <x v="15"/>
    <x v="533"/>
    <x v="1029"/>
    <x v="1"/>
    <x v="1"/>
    <x v="0"/>
    <x v="0"/>
    <x v="0"/>
    <x v="1"/>
    <x v="0"/>
    <x v="4"/>
    <x v="0"/>
    <x v="0"/>
    <x v="0"/>
  </r>
  <r>
    <x v="1141"/>
    <x v="6"/>
    <x v="5"/>
    <x v="15"/>
    <x v="534"/>
    <x v="1030"/>
    <x v="1"/>
    <x v="1"/>
    <x v="0"/>
    <x v="0"/>
    <x v="0"/>
    <x v="1"/>
    <x v="0"/>
    <x v="4"/>
    <x v="0"/>
    <x v="0"/>
    <x v="0"/>
  </r>
  <r>
    <x v="1142"/>
    <x v="5"/>
    <x v="5"/>
    <x v="15"/>
    <x v="535"/>
    <x v="1031"/>
    <x v="1"/>
    <x v="1"/>
    <x v="0"/>
    <x v="0"/>
    <x v="0"/>
    <x v="1"/>
    <x v="0"/>
    <x v="4"/>
    <x v="0"/>
    <x v="0"/>
    <x v="0"/>
  </r>
  <r>
    <x v="1143"/>
    <x v="5"/>
    <x v="5"/>
    <x v="15"/>
    <x v="536"/>
    <x v="1032"/>
    <x v="2"/>
    <x v="1"/>
    <x v="0"/>
    <x v="0"/>
    <x v="0"/>
    <x v="1"/>
    <x v="0"/>
    <x v="4"/>
    <x v="0"/>
    <x v="0"/>
    <x v="0"/>
  </r>
  <r>
    <x v="1144"/>
    <x v="5"/>
    <x v="5"/>
    <x v="15"/>
    <x v="537"/>
    <x v="1033"/>
    <x v="2"/>
    <x v="1"/>
    <x v="0"/>
    <x v="0"/>
    <x v="0"/>
    <x v="1"/>
    <x v="0"/>
    <x v="4"/>
    <x v="0"/>
    <x v="0"/>
    <x v="0"/>
  </r>
  <r>
    <x v="1145"/>
    <x v="5"/>
    <x v="5"/>
    <x v="15"/>
    <x v="538"/>
    <x v="1034"/>
    <x v="2"/>
    <x v="1"/>
    <x v="0"/>
    <x v="0"/>
    <x v="0"/>
    <x v="1"/>
    <x v="0"/>
    <x v="4"/>
    <x v="0"/>
    <x v="0"/>
    <x v="0"/>
  </r>
  <r>
    <x v="1146"/>
    <x v="10"/>
    <x v="5"/>
    <x v="15"/>
    <x v="539"/>
    <x v="1035"/>
    <x v="4"/>
    <x v="26"/>
    <x v="1"/>
    <x v="0"/>
    <x v="0"/>
    <x v="21"/>
    <x v="0"/>
    <x v="4"/>
    <x v="0"/>
    <x v="0"/>
    <x v="0"/>
  </r>
  <r>
    <x v="1147"/>
    <x v="5"/>
    <x v="5"/>
    <x v="15"/>
    <x v="540"/>
    <x v="1036"/>
    <x v="4"/>
    <x v="26"/>
    <x v="1"/>
    <x v="0"/>
    <x v="0"/>
    <x v="21"/>
    <x v="0"/>
    <x v="4"/>
    <x v="0"/>
    <x v="0"/>
    <x v="0"/>
  </r>
  <r>
    <x v="1148"/>
    <x v="5"/>
    <x v="5"/>
    <x v="15"/>
    <x v="541"/>
    <x v="1037"/>
    <x v="4"/>
    <x v="1"/>
    <x v="1"/>
    <x v="0"/>
    <x v="0"/>
    <x v="3"/>
    <x v="0"/>
    <x v="4"/>
    <x v="0"/>
    <x v="0"/>
    <x v="0"/>
  </r>
  <r>
    <x v="1149"/>
    <x v="5"/>
    <x v="5"/>
    <x v="15"/>
    <x v="542"/>
    <x v="1038"/>
    <x v="4"/>
    <x v="1"/>
    <x v="0"/>
    <x v="0"/>
    <x v="0"/>
    <x v="1"/>
    <x v="0"/>
    <x v="4"/>
    <x v="0"/>
    <x v="0"/>
    <x v="0"/>
  </r>
  <r>
    <x v="1150"/>
    <x v="5"/>
    <x v="5"/>
    <x v="15"/>
    <x v="543"/>
    <x v="1039"/>
    <x v="4"/>
    <x v="82"/>
    <x v="34"/>
    <x v="0"/>
    <x v="0"/>
    <x v="20"/>
    <x v="19"/>
    <x v="4"/>
    <x v="0"/>
    <x v="0"/>
    <x v="0"/>
  </r>
  <r>
    <x v="1151"/>
    <x v="5"/>
    <x v="5"/>
    <x v="15"/>
    <x v="544"/>
    <x v="1040"/>
    <x v="4"/>
    <x v="26"/>
    <x v="1"/>
    <x v="0"/>
    <x v="0"/>
    <x v="21"/>
    <x v="0"/>
    <x v="4"/>
    <x v="0"/>
    <x v="0"/>
    <x v="0"/>
  </r>
  <r>
    <x v="1152"/>
    <x v="5"/>
    <x v="5"/>
    <x v="15"/>
    <x v="545"/>
    <x v="1041"/>
    <x v="4"/>
    <x v="83"/>
    <x v="35"/>
    <x v="0"/>
    <x v="0"/>
    <x v="20"/>
    <x v="19"/>
    <x v="4"/>
    <x v="0"/>
    <x v="0"/>
    <x v="0"/>
  </r>
  <r>
    <x v="1153"/>
    <x v="5"/>
    <x v="5"/>
    <x v="15"/>
    <x v="546"/>
    <x v="976"/>
    <x v="3"/>
    <x v="3"/>
    <x v="2"/>
    <x v="0"/>
    <x v="0"/>
    <x v="28"/>
    <x v="28"/>
    <x v="4"/>
    <x v="0"/>
    <x v="0"/>
    <x v="0"/>
  </r>
  <r>
    <x v="1154"/>
    <x v="5"/>
    <x v="5"/>
    <x v="15"/>
    <x v="547"/>
    <x v="1042"/>
    <x v="3"/>
    <x v="1"/>
    <x v="0"/>
    <x v="0"/>
    <x v="0"/>
    <x v="1"/>
    <x v="0"/>
    <x v="4"/>
    <x v="0"/>
    <x v="0"/>
    <x v="0"/>
  </r>
  <r>
    <x v="1155"/>
    <x v="5"/>
    <x v="5"/>
    <x v="15"/>
    <x v="548"/>
    <x v="993"/>
    <x v="3"/>
    <x v="3"/>
    <x v="2"/>
    <x v="0"/>
    <x v="0"/>
    <x v="28"/>
    <x v="28"/>
    <x v="4"/>
    <x v="0"/>
    <x v="0"/>
    <x v="0"/>
  </r>
  <r>
    <x v="1156"/>
    <x v="5"/>
    <x v="5"/>
    <x v="15"/>
    <x v="549"/>
    <x v="994"/>
    <x v="3"/>
    <x v="3"/>
    <x v="2"/>
    <x v="0"/>
    <x v="0"/>
    <x v="28"/>
    <x v="28"/>
    <x v="4"/>
    <x v="0"/>
    <x v="0"/>
    <x v="0"/>
  </r>
  <r>
    <x v="1157"/>
    <x v="5"/>
    <x v="5"/>
    <x v="15"/>
    <x v="550"/>
    <x v="995"/>
    <x v="3"/>
    <x v="3"/>
    <x v="2"/>
    <x v="0"/>
    <x v="0"/>
    <x v="28"/>
    <x v="28"/>
    <x v="4"/>
    <x v="0"/>
    <x v="0"/>
    <x v="0"/>
  </r>
  <r>
    <x v="1158"/>
    <x v="5"/>
    <x v="5"/>
    <x v="15"/>
    <x v="551"/>
    <x v="1032"/>
    <x v="3"/>
    <x v="3"/>
    <x v="2"/>
    <x v="0"/>
    <x v="0"/>
    <x v="28"/>
    <x v="28"/>
    <x v="4"/>
    <x v="0"/>
    <x v="0"/>
    <x v="0"/>
  </r>
  <r>
    <x v="1159"/>
    <x v="5"/>
    <x v="5"/>
    <x v="15"/>
    <x v="552"/>
    <x v="1033"/>
    <x v="3"/>
    <x v="3"/>
    <x v="2"/>
    <x v="0"/>
    <x v="0"/>
    <x v="28"/>
    <x v="28"/>
    <x v="4"/>
    <x v="0"/>
    <x v="0"/>
    <x v="0"/>
  </r>
  <r>
    <x v="1160"/>
    <x v="5"/>
    <x v="5"/>
    <x v="15"/>
    <x v="553"/>
    <x v="977"/>
    <x v="3"/>
    <x v="3"/>
    <x v="2"/>
    <x v="0"/>
    <x v="0"/>
    <x v="28"/>
    <x v="28"/>
    <x v="4"/>
    <x v="0"/>
    <x v="0"/>
    <x v="0"/>
  </r>
  <r>
    <x v="1161"/>
    <x v="5"/>
    <x v="5"/>
    <x v="15"/>
    <x v="554"/>
    <x v="978"/>
    <x v="3"/>
    <x v="3"/>
    <x v="2"/>
    <x v="0"/>
    <x v="0"/>
    <x v="28"/>
    <x v="28"/>
    <x v="4"/>
    <x v="0"/>
    <x v="0"/>
    <x v="0"/>
  </r>
  <r>
    <x v="1162"/>
    <x v="5"/>
    <x v="5"/>
    <x v="15"/>
    <x v="555"/>
    <x v="979"/>
    <x v="3"/>
    <x v="3"/>
    <x v="2"/>
    <x v="0"/>
    <x v="0"/>
    <x v="28"/>
    <x v="28"/>
    <x v="4"/>
    <x v="0"/>
    <x v="0"/>
    <x v="0"/>
  </r>
  <r>
    <x v="1163"/>
    <x v="5"/>
    <x v="5"/>
    <x v="15"/>
    <x v="556"/>
    <x v="980"/>
    <x v="3"/>
    <x v="3"/>
    <x v="2"/>
    <x v="0"/>
    <x v="0"/>
    <x v="28"/>
    <x v="28"/>
    <x v="4"/>
    <x v="0"/>
    <x v="0"/>
    <x v="0"/>
  </r>
  <r>
    <x v="1164"/>
    <x v="5"/>
    <x v="5"/>
    <x v="15"/>
    <x v="557"/>
    <x v="981"/>
    <x v="3"/>
    <x v="3"/>
    <x v="2"/>
    <x v="0"/>
    <x v="0"/>
    <x v="28"/>
    <x v="28"/>
    <x v="4"/>
    <x v="0"/>
    <x v="0"/>
    <x v="0"/>
  </r>
  <r>
    <x v="1165"/>
    <x v="5"/>
    <x v="5"/>
    <x v="15"/>
    <x v="558"/>
    <x v="982"/>
    <x v="3"/>
    <x v="3"/>
    <x v="2"/>
    <x v="0"/>
    <x v="0"/>
    <x v="28"/>
    <x v="28"/>
    <x v="4"/>
    <x v="0"/>
    <x v="0"/>
    <x v="0"/>
  </r>
  <r>
    <x v="1166"/>
    <x v="5"/>
    <x v="5"/>
    <x v="15"/>
    <x v="559"/>
    <x v="983"/>
    <x v="3"/>
    <x v="3"/>
    <x v="2"/>
    <x v="0"/>
    <x v="0"/>
    <x v="28"/>
    <x v="28"/>
    <x v="4"/>
    <x v="0"/>
    <x v="0"/>
    <x v="0"/>
  </r>
  <r>
    <x v="1167"/>
    <x v="5"/>
    <x v="5"/>
    <x v="15"/>
    <x v="560"/>
    <x v="984"/>
    <x v="3"/>
    <x v="3"/>
    <x v="2"/>
    <x v="0"/>
    <x v="0"/>
    <x v="28"/>
    <x v="28"/>
    <x v="4"/>
    <x v="0"/>
    <x v="0"/>
    <x v="0"/>
  </r>
  <r>
    <x v="1168"/>
    <x v="5"/>
    <x v="5"/>
    <x v="15"/>
    <x v="561"/>
    <x v="985"/>
    <x v="3"/>
    <x v="3"/>
    <x v="2"/>
    <x v="0"/>
    <x v="0"/>
    <x v="28"/>
    <x v="28"/>
    <x v="4"/>
    <x v="0"/>
    <x v="0"/>
    <x v="0"/>
  </r>
  <r>
    <x v="1169"/>
    <x v="5"/>
    <x v="5"/>
    <x v="15"/>
    <x v="562"/>
    <x v="986"/>
    <x v="3"/>
    <x v="3"/>
    <x v="2"/>
    <x v="0"/>
    <x v="0"/>
    <x v="28"/>
    <x v="28"/>
    <x v="4"/>
    <x v="0"/>
    <x v="0"/>
    <x v="0"/>
  </r>
  <r>
    <x v="1170"/>
    <x v="5"/>
    <x v="5"/>
    <x v="15"/>
    <x v="563"/>
    <x v="987"/>
    <x v="3"/>
    <x v="3"/>
    <x v="2"/>
    <x v="0"/>
    <x v="0"/>
    <x v="28"/>
    <x v="28"/>
    <x v="4"/>
    <x v="0"/>
    <x v="0"/>
    <x v="0"/>
  </r>
  <r>
    <x v="1171"/>
    <x v="5"/>
    <x v="5"/>
    <x v="15"/>
    <x v="564"/>
    <x v="1043"/>
    <x v="3"/>
    <x v="3"/>
    <x v="2"/>
    <x v="0"/>
    <x v="0"/>
    <x v="28"/>
    <x v="28"/>
    <x v="4"/>
    <x v="0"/>
    <x v="0"/>
    <x v="0"/>
  </r>
  <r>
    <x v="1172"/>
    <x v="5"/>
    <x v="5"/>
    <x v="15"/>
    <x v="565"/>
    <x v="988"/>
    <x v="3"/>
    <x v="3"/>
    <x v="2"/>
    <x v="0"/>
    <x v="0"/>
    <x v="28"/>
    <x v="28"/>
    <x v="4"/>
    <x v="0"/>
    <x v="0"/>
    <x v="0"/>
  </r>
  <r>
    <x v="1173"/>
    <x v="5"/>
    <x v="5"/>
    <x v="15"/>
    <x v="566"/>
    <x v="1019"/>
    <x v="3"/>
    <x v="3"/>
    <x v="2"/>
    <x v="0"/>
    <x v="0"/>
    <x v="28"/>
    <x v="28"/>
    <x v="4"/>
    <x v="0"/>
    <x v="0"/>
    <x v="0"/>
  </r>
  <r>
    <x v="1174"/>
    <x v="5"/>
    <x v="5"/>
    <x v="15"/>
    <x v="567"/>
    <x v="989"/>
    <x v="3"/>
    <x v="3"/>
    <x v="2"/>
    <x v="0"/>
    <x v="0"/>
    <x v="28"/>
    <x v="28"/>
    <x v="4"/>
    <x v="0"/>
    <x v="0"/>
    <x v="0"/>
  </r>
  <r>
    <x v="1175"/>
    <x v="5"/>
    <x v="5"/>
    <x v="15"/>
    <x v="568"/>
    <x v="996"/>
    <x v="3"/>
    <x v="3"/>
    <x v="2"/>
    <x v="0"/>
    <x v="0"/>
    <x v="28"/>
    <x v="28"/>
    <x v="4"/>
    <x v="0"/>
    <x v="0"/>
    <x v="0"/>
  </r>
  <r>
    <x v="1176"/>
    <x v="5"/>
    <x v="5"/>
    <x v="15"/>
    <x v="569"/>
    <x v="997"/>
    <x v="3"/>
    <x v="3"/>
    <x v="2"/>
    <x v="0"/>
    <x v="0"/>
    <x v="28"/>
    <x v="28"/>
    <x v="4"/>
    <x v="0"/>
    <x v="0"/>
    <x v="0"/>
  </r>
  <r>
    <x v="1177"/>
    <x v="5"/>
    <x v="5"/>
    <x v="15"/>
    <x v="570"/>
    <x v="998"/>
    <x v="3"/>
    <x v="3"/>
    <x v="2"/>
    <x v="0"/>
    <x v="0"/>
    <x v="28"/>
    <x v="28"/>
    <x v="4"/>
    <x v="0"/>
    <x v="0"/>
    <x v="0"/>
  </r>
  <r>
    <x v="1178"/>
    <x v="5"/>
    <x v="5"/>
    <x v="15"/>
    <x v="571"/>
    <x v="999"/>
    <x v="3"/>
    <x v="3"/>
    <x v="2"/>
    <x v="0"/>
    <x v="0"/>
    <x v="28"/>
    <x v="28"/>
    <x v="4"/>
    <x v="0"/>
    <x v="0"/>
    <x v="0"/>
  </r>
  <r>
    <x v="1179"/>
    <x v="5"/>
    <x v="5"/>
    <x v="15"/>
    <x v="572"/>
    <x v="1020"/>
    <x v="3"/>
    <x v="3"/>
    <x v="2"/>
    <x v="0"/>
    <x v="0"/>
    <x v="28"/>
    <x v="28"/>
    <x v="4"/>
    <x v="0"/>
    <x v="0"/>
    <x v="0"/>
  </r>
  <r>
    <x v="1180"/>
    <x v="5"/>
    <x v="5"/>
    <x v="15"/>
    <x v="573"/>
    <x v="990"/>
    <x v="3"/>
    <x v="3"/>
    <x v="2"/>
    <x v="0"/>
    <x v="0"/>
    <x v="28"/>
    <x v="28"/>
    <x v="4"/>
    <x v="0"/>
    <x v="0"/>
    <x v="0"/>
  </r>
  <r>
    <x v="1181"/>
    <x v="5"/>
    <x v="5"/>
    <x v="15"/>
    <x v="574"/>
    <x v="1035"/>
    <x v="3"/>
    <x v="3"/>
    <x v="2"/>
    <x v="0"/>
    <x v="0"/>
    <x v="28"/>
    <x v="28"/>
    <x v="4"/>
    <x v="0"/>
    <x v="0"/>
    <x v="0"/>
  </r>
  <r>
    <x v="1182"/>
    <x v="5"/>
    <x v="5"/>
    <x v="15"/>
    <x v="575"/>
    <x v="1000"/>
    <x v="3"/>
    <x v="3"/>
    <x v="2"/>
    <x v="0"/>
    <x v="0"/>
    <x v="28"/>
    <x v="28"/>
    <x v="4"/>
    <x v="0"/>
    <x v="0"/>
    <x v="0"/>
  </r>
  <r>
    <x v="1183"/>
    <x v="5"/>
    <x v="5"/>
    <x v="15"/>
    <x v="576"/>
    <x v="991"/>
    <x v="3"/>
    <x v="3"/>
    <x v="2"/>
    <x v="0"/>
    <x v="0"/>
    <x v="28"/>
    <x v="28"/>
    <x v="4"/>
    <x v="0"/>
    <x v="0"/>
    <x v="0"/>
  </r>
  <r>
    <x v="1184"/>
    <x v="5"/>
    <x v="5"/>
    <x v="15"/>
    <x v="577"/>
    <x v="992"/>
    <x v="3"/>
    <x v="3"/>
    <x v="2"/>
    <x v="0"/>
    <x v="0"/>
    <x v="28"/>
    <x v="28"/>
    <x v="4"/>
    <x v="0"/>
    <x v="0"/>
    <x v="0"/>
  </r>
  <r>
    <x v="1185"/>
    <x v="5"/>
    <x v="5"/>
    <x v="15"/>
    <x v="578"/>
    <x v="1044"/>
    <x v="3"/>
    <x v="3"/>
    <x v="2"/>
    <x v="0"/>
    <x v="0"/>
    <x v="28"/>
    <x v="28"/>
    <x v="4"/>
    <x v="0"/>
    <x v="0"/>
    <x v="0"/>
  </r>
  <r>
    <x v="1186"/>
    <x v="5"/>
    <x v="5"/>
    <x v="15"/>
    <x v="579"/>
    <x v="1001"/>
    <x v="3"/>
    <x v="3"/>
    <x v="2"/>
    <x v="0"/>
    <x v="0"/>
    <x v="28"/>
    <x v="28"/>
    <x v="4"/>
    <x v="0"/>
    <x v="0"/>
    <x v="0"/>
  </r>
  <r>
    <x v="1187"/>
    <x v="5"/>
    <x v="5"/>
    <x v="15"/>
    <x v="580"/>
    <x v="1002"/>
    <x v="3"/>
    <x v="3"/>
    <x v="2"/>
    <x v="0"/>
    <x v="0"/>
    <x v="28"/>
    <x v="28"/>
    <x v="4"/>
    <x v="0"/>
    <x v="0"/>
    <x v="0"/>
  </r>
  <r>
    <x v="1188"/>
    <x v="5"/>
    <x v="5"/>
    <x v="15"/>
    <x v="581"/>
    <x v="1021"/>
    <x v="3"/>
    <x v="3"/>
    <x v="2"/>
    <x v="0"/>
    <x v="0"/>
    <x v="28"/>
    <x v="28"/>
    <x v="4"/>
    <x v="0"/>
    <x v="0"/>
    <x v="0"/>
  </r>
  <r>
    <x v="1189"/>
    <x v="5"/>
    <x v="5"/>
    <x v="15"/>
    <x v="582"/>
    <x v="1022"/>
    <x v="3"/>
    <x v="3"/>
    <x v="2"/>
    <x v="0"/>
    <x v="0"/>
    <x v="28"/>
    <x v="28"/>
    <x v="4"/>
    <x v="0"/>
    <x v="0"/>
    <x v="0"/>
  </r>
  <r>
    <x v="1190"/>
    <x v="5"/>
    <x v="5"/>
    <x v="15"/>
    <x v="583"/>
    <x v="1023"/>
    <x v="3"/>
    <x v="3"/>
    <x v="2"/>
    <x v="0"/>
    <x v="0"/>
    <x v="28"/>
    <x v="28"/>
    <x v="4"/>
    <x v="0"/>
    <x v="0"/>
    <x v="0"/>
  </r>
  <r>
    <x v="1191"/>
    <x v="5"/>
    <x v="5"/>
    <x v="15"/>
    <x v="584"/>
    <x v="1024"/>
    <x v="3"/>
    <x v="3"/>
    <x v="2"/>
    <x v="0"/>
    <x v="0"/>
    <x v="28"/>
    <x v="28"/>
    <x v="4"/>
    <x v="0"/>
    <x v="0"/>
    <x v="0"/>
  </r>
  <r>
    <x v="1192"/>
    <x v="5"/>
    <x v="5"/>
    <x v="15"/>
    <x v="585"/>
    <x v="1025"/>
    <x v="3"/>
    <x v="3"/>
    <x v="2"/>
    <x v="0"/>
    <x v="0"/>
    <x v="28"/>
    <x v="28"/>
    <x v="4"/>
    <x v="0"/>
    <x v="0"/>
    <x v="0"/>
  </r>
  <r>
    <x v="1193"/>
    <x v="5"/>
    <x v="5"/>
    <x v="15"/>
    <x v="586"/>
    <x v="1026"/>
    <x v="3"/>
    <x v="3"/>
    <x v="2"/>
    <x v="0"/>
    <x v="0"/>
    <x v="28"/>
    <x v="28"/>
    <x v="4"/>
    <x v="0"/>
    <x v="0"/>
    <x v="0"/>
  </r>
  <r>
    <x v="1194"/>
    <x v="5"/>
    <x v="5"/>
    <x v="15"/>
    <x v="587"/>
    <x v="1003"/>
    <x v="3"/>
    <x v="3"/>
    <x v="2"/>
    <x v="0"/>
    <x v="0"/>
    <x v="28"/>
    <x v="28"/>
    <x v="4"/>
    <x v="0"/>
    <x v="0"/>
    <x v="0"/>
  </r>
  <r>
    <x v="1195"/>
    <x v="5"/>
    <x v="5"/>
    <x v="15"/>
    <x v="588"/>
    <x v="1045"/>
    <x v="3"/>
    <x v="3"/>
    <x v="2"/>
    <x v="0"/>
    <x v="0"/>
    <x v="28"/>
    <x v="28"/>
    <x v="4"/>
    <x v="0"/>
    <x v="0"/>
    <x v="0"/>
  </r>
  <r>
    <x v="1196"/>
    <x v="5"/>
    <x v="5"/>
    <x v="15"/>
    <x v="589"/>
    <x v="1027"/>
    <x v="3"/>
    <x v="3"/>
    <x v="2"/>
    <x v="0"/>
    <x v="0"/>
    <x v="28"/>
    <x v="28"/>
    <x v="4"/>
    <x v="0"/>
    <x v="0"/>
    <x v="0"/>
  </r>
  <r>
    <x v="1197"/>
    <x v="5"/>
    <x v="5"/>
    <x v="15"/>
    <x v="590"/>
    <x v="973"/>
    <x v="3"/>
    <x v="3"/>
    <x v="2"/>
    <x v="0"/>
    <x v="0"/>
    <x v="28"/>
    <x v="28"/>
    <x v="4"/>
    <x v="0"/>
    <x v="0"/>
    <x v="0"/>
  </r>
  <r>
    <x v="1198"/>
    <x v="5"/>
    <x v="5"/>
    <x v="15"/>
    <x v="591"/>
    <x v="1046"/>
    <x v="3"/>
    <x v="3"/>
    <x v="2"/>
    <x v="0"/>
    <x v="0"/>
    <x v="28"/>
    <x v="28"/>
    <x v="4"/>
    <x v="0"/>
    <x v="0"/>
    <x v="0"/>
  </r>
  <r>
    <x v="1199"/>
    <x v="5"/>
    <x v="5"/>
    <x v="15"/>
    <x v="592"/>
    <x v="1004"/>
    <x v="3"/>
    <x v="3"/>
    <x v="2"/>
    <x v="0"/>
    <x v="0"/>
    <x v="28"/>
    <x v="28"/>
    <x v="4"/>
    <x v="0"/>
    <x v="0"/>
    <x v="0"/>
  </r>
  <r>
    <x v="1200"/>
    <x v="5"/>
    <x v="5"/>
    <x v="15"/>
    <x v="593"/>
    <x v="974"/>
    <x v="3"/>
    <x v="3"/>
    <x v="2"/>
    <x v="0"/>
    <x v="0"/>
    <x v="28"/>
    <x v="28"/>
    <x v="4"/>
    <x v="0"/>
    <x v="0"/>
    <x v="0"/>
  </r>
  <r>
    <x v="1201"/>
    <x v="5"/>
    <x v="5"/>
    <x v="15"/>
    <x v="594"/>
    <x v="1028"/>
    <x v="3"/>
    <x v="3"/>
    <x v="2"/>
    <x v="0"/>
    <x v="0"/>
    <x v="28"/>
    <x v="28"/>
    <x v="4"/>
    <x v="0"/>
    <x v="0"/>
    <x v="0"/>
  </r>
  <r>
    <x v="1202"/>
    <x v="5"/>
    <x v="5"/>
    <x v="15"/>
    <x v="595"/>
    <x v="1005"/>
    <x v="3"/>
    <x v="3"/>
    <x v="2"/>
    <x v="0"/>
    <x v="0"/>
    <x v="28"/>
    <x v="28"/>
    <x v="4"/>
    <x v="0"/>
    <x v="0"/>
    <x v="0"/>
  </r>
  <r>
    <x v="1203"/>
    <x v="5"/>
    <x v="5"/>
    <x v="15"/>
    <x v="596"/>
    <x v="1006"/>
    <x v="3"/>
    <x v="3"/>
    <x v="2"/>
    <x v="0"/>
    <x v="0"/>
    <x v="28"/>
    <x v="28"/>
    <x v="4"/>
    <x v="0"/>
    <x v="0"/>
    <x v="0"/>
  </r>
  <r>
    <x v="1204"/>
    <x v="5"/>
    <x v="5"/>
    <x v="15"/>
    <x v="597"/>
    <x v="1007"/>
    <x v="3"/>
    <x v="3"/>
    <x v="2"/>
    <x v="0"/>
    <x v="0"/>
    <x v="28"/>
    <x v="28"/>
    <x v="4"/>
    <x v="0"/>
    <x v="0"/>
    <x v="0"/>
  </r>
  <r>
    <x v="1205"/>
    <x v="5"/>
    <x v="5"/>
    <x v="15"/>
    <x v="598"/>
    <x v="1029"/>
    <x v="3"/>
    <x v="3"/>
    <x v="2"/>
    <x v="0"/>
    <x v="0"/>
    <x v="28"/>
    <x v="28"/>
    <x v="4"/>
    <x v="0"/>
    <x v="0"/>
    <x v="0"/>
  </r>
  <r>
    <x v="1206"/>
    <x v="5"/>
    <x v="5"/>
    <x v="15"/>
    <x v="599"/>
    <x v="1008"/>
    <x v="3"/>
    <x v="3"/>
    <x v="2"/>
    <x v="0"/>
    <x v="0"/>
    <x v="28"/>
    <x v="28"/>
    <x v="4"/>
    <x v="0"/>
    <x v="0"/>
    <x v="0"/>
  </r>
  <r>
    <x v="1207"/>
    <x v="5"/>
    <x v="5"/>
    <x v="15"/>
    <x v="600"/>
    <x v="1009"/>
    <x v="3"/>
    <x v="3"/>
    <x v="2"/>
    <x v="0"/>
    <x v="0"/>
    <x v="28"/>
    <x v="28"/>
    <x v="4"/>
    <x v="0"/>
    <x v="0"/>
    <x v="0"/>
  </r>
  <r>
    <x v="1208"/>
    <x v="5"/>
    <x v="5"/>
    <x v="15"/>
    <x v="601"/>
    <x v="1010"/>
    <x v="3"/>
    <x v="3"/>
    <x v="2"/>
    <x v="0"/>
    <x v="0"/>
    <x v="28"/>
    <x v="28"/>
    <x v="4"/>
    <x v="0"/>
    <x v="0"/>
    <x v="0"/>
  </r>
  <r>
    <x v="1209"/>
    <x v="5"/>
    <x v="5"/>
    <x v="15"/>
    <x v="602"/>
    <x v="1030"/>
    <x v="3"/>
    <x v="3"/>
    <x v="2"/>
    <x v="0"/>
    <x v="0"/>
    <x v="28"/>
    <x v="28"/>
    <x v="4"/>
    <x v="0"/>
    <x v="0"/>
    <x v="0"/>
  </r>
  <r>
    <x v="1210"/>
    <x v="5"/>
    <x v="5"/>
    <x v="15"/>
    <x v="603"/>
    <x v="975"/>
    <x v="3"/>
    <x v="3"/>
    <x v="2"/>
    <x v="0"/>
    <x v="0"/>
    <x v="28"/>
    <x v="28"/>
    <x v="4"/>
    <x v="0"/>
    <x v="0"/>
    <x v="0"/>
  </r>
  <r>
    <x v="1211"/>
    <x v="5"/>
    <x v="5"/>
    <x v="15"/>
    <x v="604"/>
    <x v="1011"/>
    <x v="3"/>
    <x v="3"/>
    <x v="2"/>
    <x v="0"/>
    <x v="0"/>
    <x v="28"/>
    <x v="28"/>
    <x v="4"/>
    <x v="0"/>
    <x v="0"/>
    <x v="0"/>
  </r>
  <r>
    <x v="1212"/>
    <x v="5"/>
    <x v="5"/>
    <x v="15"/>
    <x v="605"/>
    <x v="1012"/>
    <x v="3"/>
    <x v="3"/>
    <x v="2"/>
    <x v="0"/>
    <x v="0"/>
    <x v="28"/>
    <x v="28"/>
    <x v="4"/>
    <x v="0"/>
    <x v="0"/>
    <x v="0"/>
  </r>
  <r>
    <x v="1213"/>
    <x v="5"/>
    <x v="5"/>
    <x v="15"/>
    <x v="606"/>
    <x v="1013"/>
    <x v="3"/>
    <x v="3"/>
    <x v="2"/>
    <x v="0"/>
    <x v="0"/>
    <x v="28"/>
    <x v="28"/>
    <x v="4"/>
    <x v="0"/>
    <x v="0"/>
    <x v="0"/>
  </r>
  <r>
    <x v="1214"/>
    <x v="5"/>
    <x v="5"/>
    <x v="15"/>
    <x v="607"/>
    <x v="1031"/>
    <x v="3"/>
    <x v="3"/>
    <x v="2"/>
    <x v="0"/>
    <x v="0"/>
    <x v="28"/>
    <x v="28"/>
    <x v="4"/>
    <x v="0"/>
    <x v="0"/>
    <x v="0"/>
  </r>
  <r>
    <x v="1215"/>
    <x v="5"/>
    <x v="5"/>
    <x v="15"/>
    <x v="608"/>
    <x v="1014"/>
    <x v="3"/>
    <x v="3"/>
    <x v="2"/>
    <x v="0"/>
    <x v="0"/>
    <x v="28"/>
    <x v="28"/>
    <x v="4"/>
    <x v="0"/>
    <x v="0"/>
    <x v="0"/>
  </r>
  <r>
    <x v="1216"/>
    <x v="5"/>
    <x v="5"/>
    <x v="15"/>
    <x v="609"/>
    <x v="1015"/>
    <x v="3"/>
    <x v="3"/>
    <x v="2"/>
    <x v="0"/>
    <x v="0"/>
    <x v="28"/>
    <x v="28"/>
    <x v="4"/>
    <x v="0"/>
    <x v="0"/>
    <x v="0"/>
  </r>
  <r>
    <x v="1217"/>
    <x v="5"/>
    <x v="5"/>
    <x v="15"/>
    <x v="610"/>
    <x v="1016"/>
    <x v="3"/>
    <x v="3"/>
    <x v="2"/>
    <x v="0"/>
    <x v="0"/>
    <x v="28"/>
    <x v="28"/>
    <x v="4"/>
    <x v="0"/>
    <x v="0"/>
    <x v="0"/>
  </r>
  <r>
    <x v="1218"/>
    <x v="5"/>
    <x v="5"/>
    <x v="15"/>
    <x v="611"/>
    <x v="1017"/>
    <x v="3"/>
    <x v="3"/>
    <x v="2"/>
    <x v="0"/>
    <x v="0"/>
    <x v="28"/>
    <x v="28"/>
    <x v="4"/>
    <x v="0"/>
    <x v="0"/>
    <x v="0"/>
  </r>
  <r>
    <x v="1219"/>
    <x v="5"/>
    <x v="5"/>
    <x v="15"/>
    <x v="612"/>
    <x v="1018"/>
    <x v="3"/>
    <x v="3"/>
    <x v="2"/>
    <x v="0"/>
    <x v="0"/>
    <x v="28"/>
    <x v="28"/>
    <x v="4"/>
    <x v="0"/>
    <x v="0"/>
    <x v="0"/>
  </r>
  <r>
    <x v="1220"/>
    <x v="5"/>
    <x v="5"/>
    <x v="15"/>
    <x v="613"/>
    <x v="1034"/>
    <x v="3"/>
    <x v="3"/>
    <x v="2"/>
    <x v="0"/>
    <x v="0"/>
    <x v="28"/>
    <x v="28"/>
    <x v="4"/>
    <x v="0"/>
    <x v="0"/>
    <x v="0"/>
  </r>
  <r>
    <x v="1221"/>
    <x v="5"/>
    <x v="5"/>
    <x v="15"/>
    <x v="614"/>
    <x v="1036"/>
    <x v="3"/>
    <x v="3"/>
    <x v="2"/>
    <x v="0"/>
    <x v="0"/>
    <x v="28"/>
    <x v="28"/>
    <x v="4"/>
    <x v="0"/>
    <x v="0"/>
    <x v="0"/>
  </r>
  <r>
    <x v="1222"/>
    <x v="5"/>
    <x v="5"/>
    <x v="15"/>
    <x v="615"/>
    <x v="1037"/>
    <x v="3"/>
    <x v="3"/>
    <x v="2"/>
    <x v="0"/>
    <x v="0"/>
    <x v="28"/>
    <x v="28"/>
    <x v="4"/>
    <x v="0"/>
    <x v="0"/>
    <x v="0"/>
  </r>
  <r>
    <x v="1223"/>
    <x v="5"/>
    <x v="5"/>
    <x v="15"/>
    <x v="616"/>
    <x v="1038"/>
    <x v="3"/>
    <x v="3"/>
    <x v="2"/>
    <x v="0"/>
    <x v="0"/>
    <x v="28"/>
    <x v="28"/>
    <x v="4"/>
    <x v="0"/>
    <x v="0"/>
    <x v="0"/>
  </r>
  <r>
    <x v="1224"/>
    <x v="5"/>
    <x v="5"/>
    <x v="15"/>
    <x v="617"/>
    <x v="1039"/>
    <x v="3"/>
    <x v="3"/>
    <x v="2"/>
    <x v="0"/>
    <x v="0"/>
    <x v="28"/>
    <x v="28"/>
    <x v="4"/>
    <x v="0"/>
    <x v="0"/>
    <x v="0"/>
  </r>
  <r>
    <x v="1225"/>
    <x v="5"/>
    <x v="5"/>
    <x v="15"/>
    <x v="618"/>
    <x v="1040"/>
    <x v="3"/>
    <x v="3"/>
    <x v="2"/>
    <x v="0"/>
    <x v="0"/>
    <x v="28"/>
    <x v="28"/>
    <x v="4"/>
    <x v="0"/>
    <x v="0"/>
    <x v="0"/>
  </r>
  <r>
    <x v="1226"/>
    <x v="5"/>
    <x v="5"/>
    <x v="15"/>
    <x v="619"/>
    <x v="1041"/>
    <x v="3"/>
    <x v="3"/>
    <x v="2"/>
    <x v="0"/>
    <x v="0"/>
    <x v="28"/>
    <x v="28"/>
    <x v="4"/>
    <x v="0"/>
    <x v="0"/>
    <x v="0"/>
  </r>
  <r>
    <x v="1227"/>
    <x v="5"/>
    <x v="5"/>
    <x v="15"/>
    <x v="44"/>
    <x v="1047"/>
    <x v="6"/>
    <x v="10"/>
    <x v="5"/>
    <x v="0"/>
    <x v="0"/>
    <x v="13"/>
    <x v="7"/>
    <x v="4"/>
    <x v="0"/>
    <x v="0"/>
    <x v="0"/>
  </r>
  <r>
    <x v="1228"/>
    <x v="5"/>
    <x v="5"/>
    <x v="15"/>
    <x v="44"/>
    <x v="1048"/>
    <x v="6"/>
    <x v="84"/>
    <x v="36"/>
    <x v="0"/>
    <x v="0"/>
    <x v="13"/>
    <x v="7"/>
    <x v="4"/>
    <x v="0"/>
    <x v="0"/>
    <x v="0"/>
  </r>
  <r>
    <x v="1229"/>
    <x v="14"/>
    <x v="5"/>
    <x v="15"/>
    <x v="620"/>
    <x v="1049"/>
    <x v="2"/>
    <x v="1"/>
    <x v="0"/>
    <x v="0"/>
    <x v="0"/>
    <x v="1"/>
    <x v="0"/>
    <x v="4"/>
    <x v="0"/>
    <x v="0"/>
    <x v="0"/>
  </r>
  <r>
    <x v="1230"/>
    <x v="1"/>
    <x v="5"/>
    <x v="15"/>
    <x v="44"/>
    <x v="1050"/>
    <x v="5"/>
    <x v="1"/>
    <x v="0"/>
    <x v="0"/>
    <x v="0"/>
    <x v="1"/>
    <x v="0"/>
    <x v="4"/>
    <x v="0"/>
    <x v="0"/>
    <x v="0"/>
  </r>
  <r>
    <x v="1231"/>
    <x v="4"/>
    <x v="5"/>
    <x v="15"/>
    <x v="621"/>
    <x v="1043"/>
    <x v="0"/>
    <x v="1"/>
    <x v="0"/>
    <x v="1"/>
    <x v="1"/>
    <x v="1"/>
    <x v="0"/>
    <x v="4"/>
    <x v="2"/>
    <x v="3"/>
    <x v="0"/>
  </r>
  <r>
    <x v="1232"/>
    <x v="5"/>
    <x v="5"/>
    <x v="15"/>
    <x v="622"/>
    <x v="1044"/>
    <x v="0"/>
    <x v="13"/>
    <x v="0"/>
    <x v="1"/>
    <x v="1"/>
    <x v="1"/>
    <x v="0"/>
    <x v="4"/>
    <x v="2"/>
    <x v="3"/>
    <x v="0"/>
  </r>
  <r>
    <x v="1233"/>
    <x v="5"/>
    <x v="5"/>
    <x v="15"/>
    <x v="623"/>
    <x v="1045"/>
    <x v="1"/>
    <x v="6"/>
    <x v="0"/>
    <x v="1"/>
    <x v="1"/>
    <x v="1"/>
    <x v="0"/>
    <x v="4"/>
    <x v="2"/>
    <x v="3"/>
    <x v="0"/>
  </r>
  <r>
    <x v="1234"/>
    <x v="6"/>
    <x v="5"/>
    <x v="15"/>
    <x v="624"/>
    <x v="1046"/>
    <x v="1"/>
    <x v="1"/>
    <x v="0"/>
    <x v="0"/>
    <x v="0"/>
    <x v="11"/>
    <x v="0"/>
    <x v="4"/>
    <x v="0"/>
    <x v="0"/>
    <x v="0"/>
  </r>
  <r>
    <x v="1235"/>
    <x v="6"/>
    <x v="5"/>
    <x v="15"/>
    <x v="44"/>
    <x v="1051"/>
    <x v="6"/>
    <x v="1"/>
    <x v="0"/>
    <x v="0"/>
    <x v="0"/>
    <x v="1"/>
    <x v="0"/>
    <x v="4"/>
    <x v="0"/>
    <x v="0"/>
    <x v="3"/>
  </r>
  <r>
    <x v="1236"/>
    <x v="6"/>
    <x v="5"/>
    <x v="15"/>
    <x v="44"/>
    <x v="1052"/>
    <x v="5"/>
    <x v="1"/>
    <x v="0"/>
    <x v="0"/>
    <x v="0"/>
    <x v="1"/>
    <x v="0"/>
    <x v="4"/>
    <x v="0"/>
    <x v="0"/>
    <x v="1"/>
  </r>
  <r>
    <x v="1237"/>
    <x v="6"/>
    <x v="5"/>
    <x v="15"/>
    <x v="44"/>
    <x v="1053"/>
    <x v="5"/>
    <x v="1"/>
    <x v="0"/>
    <x v="0"/>
    <x v="0"/>
    <x v="1"/>
    <x v="0"/>
    <x v="4"/>
    <x v="0"/>
    <x v="0"/>
    <x v="1"/>
  </r>
  <r>
    <x v="1238"/>
    <x v="6"/>
    <x v="5"/>
    <x v="15"/>
    <x v="44"/>
    <x v="1054"/>
    <x v="5"/>
    <x v="1"/>
    <x v="0"/>
    <x v="0"/>
    <x v="0"/>
    <x v="1"/>
    <x v="0"/>
    <x v="4"/>
    <x v="0"/>
    <x v="0"/>
    <x v="1"/>
  </r>
  <r>
    <x v="1239"/>
    <x v="6"/>
    <x v="5"/>
    <x v="15"/>
    <x v="44"/>
    <x v="1055"/>
    <x v="5"/>
    <x v="1"/>
    <x v="0"/>
    <x v="0"/>
    <x v="0"/>
    <x v="1"/>
    <x v="0"/>
    <x v="4"/>
    <x v="0"/>
    <x v="0"/>
    <x v="1"/>
  </r>
  <r>
    <x v="1240"/>
    <x v="6"/>
    <x v="5"/>
    <x v="15"/>
    <x v="44"/>
    <x v="1056"/>
    <x v="5"/>
    <x v="1"/>
    <x v="0"/>
    <x v="0"/>
    <x v="0"/>
    <x v="1"/>
    <x v="0"/>
    <x v="4"/>
    <x v="0"/>
    <x v="0"/>
    <x v="1"/>
  </r>
  <r>
    <x v="1241"/>
    <x v="6"/>
    <x v="5"/>
    <x v="15"/>
    <x v="44"/>
    <x v="1057"/>
    <x v="5"/>
    <x v="1"/>
    <x v="0"/>
    <x v="0"/>
    <x v="0"/>
    <x v="1"/>
    <x v="0"/>
    <x v="4"/>
    <x v="0"/>
    <x v="0"/>
    <x v="1"/>
  </r>
  <r>
    <x v="1242"/>
    <x v="6"/>
    <x v="5"/>
    <x v="15"/>
    <x v="44"/>
    <x v="1058"/>
    <x v="5"/>
    <x v="1"/>
    <x v="0"/>
    <x v="0"/>
    <x v="0"/>
    <x v="1"/>
    <x v="0"/>
    <x v="4"/>
    <x v="0"/>
    <x v="0"/>
    <x v="1"/>
  </r>
  <r>
    <x v="1243"/>
    <x v="6"/>
    <x v="5"/>
    <x v="15"/>
    <x v="44"/>
    <x v="1059"/>
    <x v="5"/>
    <x v="1"/>
    <x v="0"/>
    <x v="0"/>
    <x v="0"/>
    <x v="1"/>
    <x v="0"/>
    <x v="4"/>
    <x v="0"/>
    <x v="0"/>
    <x v="1"/>
  </r>
  <r>
    <x v="1244"/>
    <x v="6"/>
    <x v="5"/>
    <x v="15"/>
    <x v="44"/>
    <x v="1060"/>
    <x v="5"/>
    <x v="1"/>
    <x v="0"/>
    <x v="0"/>
    <x v="0"/>
    <x v="1"/>
    <x v="0"/>
    <x v="4"/>
    <x v="0"/>
    <x v="0"/>
    <x v="1"/>
  </r>
  <r>
    <x v="1245"/>
    <x v="5"/>
    <x v="5"/>
    <x v="15"/>
    <x v="44"/>
    <x v="1061"/>
    <x v="0"/>
    <x v="1"/>
    <x v="0"/>
    <x v="0"/>
    <x v="0"/>
    <x v="1"/>
    <x v="0"/>
    <x v="4"/>
    <x v="0"/>
    <x v="0"/>
    <x v="0"/>
  </r>
  <r>
    <x v="1246"/>
    <x v="5"/>
    <x v="5"/>
    <x v="15"/>
    <x v="44"/>
    <x v="1062"/>
    <x v="6"/>
    <x v="8"/>
    <x v="0"/>
    <x v="1"/>
    <x v="1"/>
    <x v="1"/>
    <x v="0"/>
    <x v="4"/>
    <x v="2"/>
    <x v="4"/>
    <x v="3"/>
  </r>
  <r>
    <x v="1247"/>
    <x v="5"/>
    <x v="5"/>
    <x v="15"/>
    <x v="44"/>
    <x v="1063"/>
    <x v="6"/>
    <x v="1"/>
    <x v="0"/>
    <x v="0"/>
    <x v="0"/>
    <x v="1"/>
    <x v="0"/>
    <x v="4"/>
    <x v="0"/>
    <x v="0"/>
    <x v="3"/>
  </r>
  <r>
    <x v="1248"/>
    <x v="5"/>
    <x v="1"/>
    <x v="1"/>
    <x v="44"/>
    <x v="1064"/>
    <x v="6"/>
    <x v="0"/>
    <x v="0"/>
    <x v="1"/>
    <x v="1"/>
    <x v="1"/>
    <x v="0"/>
    <x v="0"/>
    <x v="1"/>
    <x v="1"/>
    <x v="2"/>
  </r>
  <r>
    <x v="1249"/>
    <x v="5"/>
    <x v="5"/>
    <x v="15"/>
    <x v="44"/>
    <x v="1065"/>
    <x v="6"/>
    <x v="1"/>
    <x v="0"/>
    <x v="0"/>
    <x v="0"/>
    <x v="1"/>
    <x v="0"/>
    <x v="4"/>
    <x v="0"/>
    <x v="0"/>
    <x v="3"/>
  </r>
  <r>
    <x v="1250"/>
    <x v="6"/>
    <x v="5"/>
    <x v="16"/>
    <x v="625"/>
    <x v="1066"/>
    <x v="0"/>
    <x v="0"/>
    <x v="0"/>
    <x v="0"/>
    <x v="0"/>
    <x v="0"/>
    <x v="0"/>
    <x v="4"/>
    <x v="0"/>
    <x v="0"/>
    <x v="0"/>
  </r>
  <r>
    <x v="1251"/>
    <x v="6"/>
    <x v="5"/>
    <x v="16"/>
    <x v="626"/>
    <x v="1067"/>
    <x v="1"/>
    <x v="0"/>
    <x v="0"/>
    <x v="1"/>
    <x v="1"/>
    <x v="1"/>
    <x v="0"/>
    <x v="4"/>
    <x v="1"/>
    <x v="1"/>
    <x v="0"/>
  </r>
  <r>
    <x v="1252"/>
    <x v="4"/>
    <x v="5"/>
    <x v="16"/>
    <x v="627"/>
    <x v="1068"/>
    <x v="0"/>
    <x v="0"/>
    <x v="0"/>
    <x v="1"/>
    <x v="1"/>
    <x v="1"/>
    <x v="0"/>
    <x v="4"/>
    <x v="1"/>
    <x v="1"/>
    <x v="0"/>
  </r>
  <r>
    <x v="1253"/>
    <x v="4"/>
    <x v="5"/>
    <x v="16"/>
    <x v="628"/>
    <x v="1069"/>
    <x v="0"/>
    <x v="0"/>
    <x v="0"/>
    <x v="0"/>
    <x v="0"/>
    <x v="2"/>
    <x v="0"/>
    <x v="4"/>
    <x v="0"/>
    <x v="0"/>
    <x v="0"/>
  </r>
  <r>
    <x v="1254"/>
    <x v="10"/>
    <x v="5"/>
    <x v="16"/>
    <x v="629"/>
    <x v="1070"/>
    <x v="6"/>
    <x v="84"/>
    <x v="37"/>
    <x v="0"/>
    <x v="0"/>
    <x v="13"/>
    <x v="7"/>
    <x v="4"/>
    <x v="0"/>
    <x v="0"/>
    <x v="0"/>
  </r>
  <r>
    <x v="1255"/>
    <x v="5"/>
    <x v="5"/>
    <x v="16"/>
    <x v="630"/>
    <x v="1071"/>
    <x v="2"/>
    <x v="1"/>
    <x v="0"/>
    <x v="0"/>
    <x v="0"/>
    <x v="1"/>
    <x v="0"/>
    <x v="4"/>
    <x v="0"/>
    <x v="0"/>
    <x v="0"/>
  </r>
  <r>
    <x v="1256"/>
    <x v="6"/>
    <x v="5"/>
    <x v="16"/>
    <x v="631"/>
    <x v="1072"/>
    <x v="1"/>
    <x v="26"/>
    <x v="0"/>
    <x v="0"/>
    <x v="0"/>
    <x v="21"/>
    <x v="0"/>
    <x v="4"/>
    <x v="0"/>
    <x v="0"/>
    <x v="0"/>
  </r>
  <r>
    <x v="1257"/>
    <x v="6"/>
    <x v="5"/>
    <x v="16"/>
    <x v="632"/>
    <x v="1073"/>
    <x v="1"/>
    <x v="1"/>
    <x v="0"/>
    <x v="0"/>
    <x v="0"/>
    <x v="1"/>
    <x v="0"/>
    <x v="4"/>
    <x v="0"/>
    <x v="0"/>
    <x v="0"/>
  </r>
  <r>
    <x v="1258"/>
    <x v="5"/>
    <x v="5"/>
    <x v="16"/>
    <x v="633"/>
    <x v="1074"/>
    <x v="1"/>
    <x v="1"/>
    <x v="0"/>
    <x v="0"/>
    <x v="0"/>
    <x v="1"/>
    <x v="0"/>
    <x v="4"/>
    <x v="0"/>
    <x v="0"/>
    <x v="0"/>
  </r>
  <r>
    <x v="1259"/>
    <x v="6"/>
    <x v="5"/>
    <x v="16"/>
    <x v="634"/>
    <x v="937"/>
    <x v="1"/>
    <x v="1"/>
    <x v="0"/>
    <x v="0"/>
    <x v="0"/>
    <x v="1"/>
    <x v="0"/>
    <x v="4"/>
    <x v="0"/>
    <x v="0"/>
    <x v="0"/>
  </r>
  <r>
    <x v="1260"/>
    <x v="0"/>
    <x v="5"/>
    <x v="16"/>
    <x v="635"/>
    <x v="1075"/>
    <x v="0"/>
    <x v="1"/>
    <x v="1"/>
    <x v="0"/>
    <x v="0"/>
    <x v="3"/>
    <x v="0"/>
    <x v="4"/>
    <x v="0"/>
    <x v="0"/>
    <x v="0"/>
  </r>
  <r>
    <x v="1261"/>
    <x v="6"/>
    <x v="5"/>
    <x v="16"/>
    <x v="636"/>
    <x v="1076"/>
    <x v="0"/>
    <x v="1"/>
    <x v="0"/>
    <x v="0"/>
    <x v="0"/>
    <x v="2"/>
    <x v="0"/>
    <x v="4"/>
    <x v="0"/>
    <x v="0"/>
    <x v="0"/>
  </r>
  <r>
    <x v="1262"/>
    <x v="6"/>
    <x v="5"/>
    <x v="16"/>
    <x v="637"/>
    <x v="1077"/>
    <x v="1"/>
    <x v="1"/>
    <x v="0"/>
    <x v="0"/>
    <x v="0"/>
    <x v="1"/>
    <x v="0"/>
    <x v="4"/>
    <x v="0"/>
    <x v="0"/>
    <x v="0"/>
  </r>
  <r>
    <x v="1263"/>
    <x v="10"/>
    <x v="5"/>
    <x v="16"/>
    <x v="638"/>
    <x v="1078"/>
    <x v="1"/>
    <x v="1"/>
    <x v="1"/>
    <x v="0"/>
    <x v="0"/>
    <x v="3"/>
    <x v="0"/>
    <x v="4"/>
    <x v="0"/>
    <x v="0"/>
    <x v="0"/>
  </r>
  <r>
    <x v="1264"/>
    <x v="0"/>
    <x v="5"/>
    <x v="16"/>
    <x v="639"/>
    <x v="1079"/>
    <x v="1"/>
    <x v="1"/>
    <x v="0"/>
    <x v="0"/>
    <x v="0"/>
    <x v="1"/>
    <x v="0"/>
    <x v="4"/>
    <x v="0"/>
    <x v="0"/>
    <x v="0"/>
  </r>
  <r>
    <x v="1265"/>
    <x v="11"/>
    <x v="5"/>
    <x v="16"/>
    <x v="640"/>
    <x v="1080"/>
    <x v="6"/>
    <x v="10"/>
    <x v="37"/>
    <x v="0"/>
    <x v="0"/>
    <x v="13"/>
    <x v="7"/>
    <x v="4"/>
    <x v="0"/>
    <x v="0"/>
    <x v="0"/>
  </r>
  <r>
    <x v="1266"/>
    <x v="6"/>
    <x v="5"/>
    <x v="16"/>
    <x v="641"/>
    <x v="1081"/>
    <x v="1"/>
    <x v="1"/>
    <x v="0"/>
    <x v="0"/>
    <x v="0"/>
    <x v="1"/>
    <x v="0"/>
    <x v="4"/>
    <x v="0"/>
    <x v="0"/>
    <x v="0"/>
  </r>
  <r>
    <x v="1267"/>
    <x v="12"/>
    <x v="5"/>
    <x v="16"/>
    <x v="642"/>
    <x v="1082"/>
    <x v="0"/>
    <x v="1"/>
    <x v="0"/>
    <x v="0"/>
    <x v="0"/>
    <x v="1"/>
    <x v="0"/>
    <x v="4"/>
    <x v="0"/>
    <x v="0"/>
    <x v="0"/>
  </r>
  <r>
    <x v="1268"/>
    <x v="6"/>
    <x v="5"/>
    <x v="16"/>
    <x v="643"/>
    <x v="1083"/>
    <x v="6"/>
    <x v="10"/>
    <x v="36"/>
    <x v="0"/>
    <x v="0"/>
    <x v="13"/>
    <x v="7"/>
    <x v="4"/>
    <x v="0"/>
    <x v="0"/>
    <x v="0"/>
  </r>
  <r>
    <x v="1269"/>
    <x v="4"/>
    <x v="5"/>
    <x v="16"/>
    <x v="644"/>
    <x v="1084"/>
    <x v="6"/>
    <x v="1"/>
    <x v="0"/>
    <x v="0"/>
    <x v="0"/>
    <x v="1"/>
    <x v="0"/>
    <x v="4"/>
    <x v="0"/>
    <x v="0"/>
    <x v="0"/>
  </r>
  <r>
    <x v="1270"/>
    <x v="4"/>
    <x v="5"/>
    <x v="16"/>
    <x v="645"/>
    <x v="1085"/>
    <x v="6"/>
    <x v="1"/>
    <x v="0"/>
    <x v="0"/>
    <x v="0"/>
    <x v="1"/>
    <x v="0"/>
    <x v="4"/>
    <x v="0"/>
    <x v="0"/>
    <x v="0"/>
  </r>
  <r>
    <x v="1271"/>
    <x v="10"/>
    <x v="5"/>
    <x v="16"/>
    <x v="646"/>
    <x v="1086"/>
    <x v="1"/>
    <x v="1"/>
    <x v="0"/>
    <x v="0"/>
    <x v="0"/>
    <x v="1"/>
    <x v="0"/>
    <x v="4"/>
    <x v="0"/>
    <x v="0"/>
    <x v="0"/>
  </r>
  <r>
    <x v="1272"/>
    <x v="6"/>
    <x v="5"/>
    <x v="16"/>
    <x v="647"/>
    <x v="1087"/>
    <x v="0"/>
    <x v="1"/>
    <x v="0"/>
    <x v="0"/>
    <x v="0"/>
    <x v="1"/>
    <x v="0"/>
    <x v="4"/>
    <x v="0"/>
    <x v="0"/>
    <x v="0"/>
  </r>
  <r>
    <x v="1273"/>
    <x v="4"/>
    <x v="5"/>
    <x v="16"/>
    <x v="648"/>
    <x v="1088"/>
    <x v="0"/>
    <x v="1"/>
    <x v="0"/>
    <x v="0"/>
    <x v="0"/>
    <x v="1"/>
    <x v="0"/>
    <x v="4"/>
    <x v="0"/>
    <x v="0"/>
    <x v="0"/>
  </r>
  <r>
    <x v="1274"/>
    <x v="4"/>
    <x v="5"/>
    <x v="16"/>
    <x v="649"/>
    <x v="1089"/>
    <x v="0"/>
    <x v="1"/>
    <x v="0"/>
    <x v="0"/>
    <x v="0"/>
    <x v="1"/>
    <x v="0"/>
    <x v="4"/>
    <x v="0"/>
    <x v="0"/>
    <x v="0"/>
  </r>
  <r>
    <x v="1275"/>
    <x v="11"/>
    <x v="5"/>
    <x v="16"/>
    <x v="650"/>
    <x v="1090"/>
    <x v="6"/>
    <x v="1"/>
    <x v="0"/>
    <x v="0"/>
    <x v="0"/>
    <x v="1"/>
    <x v="0"/>
    <x v="4"/>
    <x v="0"/>
    <x v="0"/>
    <x v="0"/>
  </r>
  <r>
    <x v="1276"/>
    <x v="5"/>
    <x v="5"/>
    <x v="16"/>
    <x v="651"/>
    <x v="1070"/>
    <x v="3"/>
    <x v="3"/>
    <x v="2"/>
    <x v="0"/>
    <x v="0"/>
    <x v="28"/>
    <x v="28"/>
    <x v="4"/>
    <x v="0"/>
    <x v="0"/>
    <x v="0"/>
  </r>
  <r>
    <x v="1277"/>
    <x v="5"/>
    <x v="5"/>
    <x v="16"/>
    <x v="652"/>
    <x v="1091"/>
    <x v="3"/>
    <x v="3"/>
    <x v="2"/>
    <x v="0"/>
    <x v="0"/>
    <x v="28"/>
    <x v="28"/>
    <x v="4"/>
    <x v="0"/>
    <x v="0"/>
    <x v="0"/>
  </r>
  <r>
    <x v="1278"/>
    <x v="5"/>
    <x v="5"/>
    <x v="16"/>
    <x v="653"/>
    <x v="1072"/>
    <x v="3"/>
    <x v="3"/>
    <x v="2"/>
    <x v="0"/>
    <x v="0"/>
    <x v="28"/>
    <x v="28"/>
    <x v="4"/>
    <x v="0"/>
    <x v="0"/>
    <x v="0"/>
  </r>
  <r>
    <x v="1279"/>
    <x v="5"/>
    <x v="5"/>
    <x v="16"/>
    <x v="654"/>
    <x v="1073"/>
    <x v="3"/>
    <x v="3"/>
    <x v="2"/>
    <x v="0"/>
    <x v="0"/>
    <x v="28"/>
    <x v="28"/>
    <x v="4"/>
    <x v="0"/>
    <x v="0"/>
    <x v="0"/>
  </r>
  <r>
    <x v="1280"/>
    <x v="5"/>
    <x v="5"/>
    <x v="16"/>
    <x v="655"/>
    <x v="1092"/>
    <x v="3"/>
    <x v="3"/>
    <x v="2"/>
    <x v="0"/>
    <x v="0"/>
    <x v="28"/>
    <x v="28"/>
    <x v="4"/>
    <x v="0"/>
    <x v="0"/>
    <x v="0"/>
  </r>
  <r>
    <x v="1281"/>
    <x v="5"/>
    <x v="5"/>
    <x v="16"/>
    <x v="656"/>
    <x v="1074"/>
    <x v="3"/>
    <x v="3"/>
    <x v="2"/>
    <x v="0"/>
    <x v="0"/>
    <x v="28"/>
    <x v="28"/>
    <x v="4"/>
    <x v="0"/>
    <x v="0"/>
    <x v="0"/>
  </r>
  <r>
    <x v="1282"/>
    <x v="5"/>
    <x v="5"/>
    <x v="16"/>
    <x v="657"/>
    <x v="1066"/>
    <x v="3"/>
    <x v="3"/>
    <x v="2"/>
    <x v="0"/>
    <x v="0"/>
    <x v="28"/>
    <x v="28"/>
    <x v="4"/>
    <x v="0"/>
    <x v="0"/>
    <x v="0"/>
  </r>
  <r>
    <x v="1283"/>
    <x v="5"/>
    <x v="5"/>
    <x v="16"/>
    <x v="658"/>
    <x v="1067"/>
    <x v="3"/>
    <x v="3"/>
    <x v="2"/>
    <x v="0"/>
    <x v="0"/>
    <x v="28"/>
    <x v="28"/>
    <x v="4"/>
    <x v="0"/>
    <x v="0"/>
    <x v="0"/>
  </r>
  <r>
    <x v="1284"/>
    <x v="5"/>
    <x v="5"/>
    <x v="16"/>
    <x v="659"/>
    <x v="1093"/>
    <x v="3"/>
    <x v="3"/>
    <x v="2"/>
    <x v="0"/>
    <x v="0"/>
    <x v="28"/>
    <x v="28"/>
    <x v="4"/>
    <x v="0"/>
    <x v="0"/>
    <x v="0"/>
  </r>
  <r>
    <x v="1285"/>
    <x v="5"/>
    <x v="5"/>
    <x v="16"/>
    <x v="660"/>
    <x v="1094"/>
    <x v="3"/>
    <x v="3"/>
    <x v="2"/>
    <x v="0"/>
    <x v="0"/>
    <x v="28"/>
    <x v="28"/>
    <x v="4"/>
    <x v="0"/>
    <x v="0"/>
    <x v="0"/>
  </r>
  <r>
    <x v="1286"/>
    <x v="5"/>
    <x v="5"/>
    <x v="16"/>
    <x v="661"/>
    <x v="1095"/>
    <x v="3"/>
    <x v="3"/>
    <x v="2"/>
    <x v="0"/>
    <x v="0"/>
    <x v="28"/>
    <x v="28"/>
    <x v="4"/>
    <x v="0"/>
    <x v="0"/>
    <x v="0"/>
  </r>
  <r>
    <x v="1287"/>
    <x v="5"/>
    <x v="5"/>
    <x v="16"/>
    <x v="662"/>
    <x v="1096"/>
    <x v="3"/>
    <x v="3"/>
    <x v="2"/>
    <x v="0"/>
    <x v="0"/>
    <x v="28"/>
    <x v="28"/>
    <x v="4"/>
    <x v="0"/>
    <x v="0"/>
    <x v="0"/>
  </r>
  <r>
    <x v="1288"/>
    <x v="5"/>
    <x v="5"/>
    <x v="16"/>
    <x v="663"/>
    <x v="1097"/>
    <x v="3"/>
    <x v="3"/>
    <x v="2"/>
    <x v="0"/>
    <x v="0"/>
    <x v="28"/>
    <x v="28"/>
    <x v="4"/>
    <x v="0"/>
    <x v="0"/>
    <x v="0"/>
  </r>
  <r>
    <x v="1289"/>
    <x v="5"/>
    <x v="5"/>
    <x v="16"/>
    <x v="664"/>
    <x v="937"/>
    <x v="3"/>
    <x v="3"/>
    <x v="2"/>
    <x v="0"/>
    <x v="0"/>
    <x v="28"/>
    <x v="28"/>
    <x v="4"/>
    <x v="0"/>
    <x v="0"/>
    <x v="0"/>
  </r>
  <r>
    <x v="1290"/>
    <x v="5"/>
    <x v="5"/>
    <x v="16"/>
    <x v="665"/>
    <x v="1098"/>
    <x v="3"/>
    <x v="3"/>
    <x v="2"/>
    <x v="0"/>
    <x v="0"/>
    <x v="28"/>
    <x v="28"/>
    <x v="4"/>
    <x v="0"/>
    <x v="0"/>
    <x v="0"/>
  </r>
  <r>
    <x v="1291"/>
    <x v="5"/>
    <x v="5"/>
    <x v="16"/>
    <x v="666"/>
    <x v="1075"/>
    <x v="3"/>
    <x v="3"/>
    <x v="2"/>
    <x v="0"/>
    <x v="0"/>
    <x v="28"/>
    <x v="28"/>
    <x v="4"/>
    <x v="0"/>
    <x v="0"/>
    <x v="0"/>
  </r>
  <r>
    <x v="1292"/>
    <x v="5"/>
    <x v="5"/>
    <x v="16"/>
    <x v="667"/>
    <x v="1076"/>
    <x v="3"/>
    <x v="3"/>
    <x v="2"/>
    <x v="0"/>
    <x v="0"/>
    <x v="28"/>
    <x v="28"/>
    <x v="4"/>
    <x v="0"/>
    <x v="0"/>
    <x v="0"/>
  </r>
  <r>
    <x v="1293"/>
    <x v="5"/>
    <x v="5"/>
    <x v="16"/>
    <x v="668"/>
    <x v="1077"/>
    <x v="3"/>
    <x v="3"/>
    <x v="2"/>
    <x v="0"/>
    <x v="0"/>
    <x v="28"/>
    <x v="28"/>
    <x v="4"/>
    <x v="0"/>
    <x v="0"/>
    <x v="0"/>
  </r>
  <r>
    <x v="1294"/>
    <x v="5"/>
    <x v="5"/>
    <x v="16"/>
    <x v="669"/>
    <x v="1099"/>
    <x v="3"/>
    <x v="3"/>
    <x v="2"/>
    <x v="0"/>
    <x v="0"/>
    <x v="28"/>
    <x v="28"/>
    <x v="4"/>
    <x v="0"/>
    <x v="0"/>
    <x v="0"/>
  </r>
  <r>
    <x v="1295"/>
    <x v="5"/>
    <x v="5"/>
    <x v="16"/>
    <x v="670"/>
    <x v="1100"/>
    <x v="3"/>
    <x v="3"/>
    <x v="2"/>
    <x v="0"/>
    <x v="0"/>
    <x v="28"/>
    <x v="28"/>
    <x v="4"/>
    <x v="0"/>
    <x v="0"/>
    <x v="0"/>
  </r>
  <r>
    <x v="1296"/>
    <x v="5"/>
    <x v="5"/>
    <x v="16"/>
    <x v="671"/>
    <x v="1078"/>
    <x v="3"/>
    <x v="3"/>
    <x v="2"/>
    <x v="0"/>
    <x v="0"/>
    <x v="28"/>
    <x v="28"/>
    <x v="4"/>
    <x v="0"/>
    <x v="0"/>
    <x v="0"/>
  </r>
  <r>
    <x v="1297"/>
    <x v="5"/>
    <x v="5"/>
    <x v="16"/>
    <x v="672"/>
    <x v="1101"/>
    <x v="3"/>
    <x v="3"/>
    <x v="2"/>
    <x v="0"/>
    <x v="0"/>
    <x v="28"/>
    <x v="28"/>
    <x v="4"/>
    <x v="0"/>
    <x v="0"/>
    <x v="0"/>
  </r>
  <r>
    <x v="1298"/>
    <x v="5"/>
    <x v="5"/>
    <x v="16"/>
    <x v="673"/>
    <x v="1102"/>
    <x v="3"/>
    <x v="3"/>
    <x v="2"/>
    <x v="0"/>
    <x v="0"/>
    <x v="28"/>
    <x v="28"/>
    <x v="4"/>
    <x v="0"/>
    <x v="0"/>
    <x v="0"/>
  </r>
  <r>
    <x v="1299"/>
    <x v="5"/>
    <x v="5"/>
    <x v="16"/>
    <x v="674"/>
    <x v="1079"/>
    <x v="3"/>
    <x v="3"/>
    <x v="2"/>
    <x v="0"/>
    <x v="0"/>
    <x v="28"/>
    <x v="28"/>
    <x v="4"/>
    <x v="0"/>
    <x v="0"/>
    <x v="0"/>
  </r>
  <r>
    <x v="1300"/>
    <x v="5"/>
    <x v="5"/>
    <x v="16"/>
    <x v="675"/>
    <x v="1080"/>
    <x v="3"/>
    <x v="3"/>
    <x v="2"/>
    <x v="0"/>
    <x v="0"/>
    <x v="28"/>
    <x v="28"/>
    <x v="4"/>
    <x v="0"/>
    <x v="0"/>
    <x v="0"/>
  </r>
  <r>
    <x v="1301"/>
    <x v="5"/>
    <x v="5"/>
    <x v="16"/>
    <x v="676"/>
    <x v="1081"/>
    <x v="3"/>
    <x v="3"/>
    <x v="2"/>
    <x v="0"/>
    <x v="0"/>
    <x v="28"/>
    <x v="28"/>
    <x v="4"/>
    <x v="0"/>
    <x v="0"/>
    <x v="0"/>
  </r>
  <r>
    <x v="1302"/>
    <x v="5"/>
    <x v="5"/>
    <x v="16"/>
    <x v="677"/>
    <x v="1082"/>
    <x v="3"/>
    <x v="3"/>
    <x v="2"/>
    <x v="0"/>
    <x v="0"/>
    <x v="28"/>
    <x v="28"/>
    <x v="4"/>
    <x v="0"/>
    <x v="0"/>
    <x v="0"/>
  </r>
  <r>
    <x v="1303"/>
    <x v="5"/>
    <x v="5"/>
    <x v="16"/>
    <x v="678"/>
    <x v="1103"/>
    <x v="3"/>
    <x v="3"/>
    <x v="2"/>
    <x v="0"/>
    <x v="0"/>
    <x v="28"/>
    <x v="28"/>
    <x v="4"/>
    <x v="0"/>
    <x v="0"/>
    <x v="0"/>
  </r>
  <r>
    <x v="1304"/>
    <x v="5"/>
    <x v="5"/>
    <x v="16"/>
    <x v="679"/>
    <x v="1083"/>
    <x v="3"/>
    <x v="3"/>
    <x v="2"/>
    <x v="0"/>
    <x v="0"/>
    <x v="28"/>
    <x v="28"/>
    <x v="4"/>
    <x v="0"/>
    <x v="0"/>
    <x v="0"/>
  </r>
  <r>
    <x v="1305"/>
    <x v="5"/>
    <x v="5"/>
    <x v="16"/>
    <x v="680"/>
    <x v="1084"/>
    <x v="3"/>
    <x v="3"/>
    <x v="2"/>
    <x v="0"/>
    <x v="0"/>
    <x v="28"/>
    <x v="28"/>
    <x v="4"/>
    <x v="0"/>
    <x v="0"/>
    <x v="0"/>
  </r>
  <r>
    <x v="1306"/>
    <x v="5"/>
    <x v="5"/>
    <x v="16"/>
    <x v="681"/>
    <x v="1085"/>
    <x v="3"/>
    <x v="3"/>
    <x v="2"/>
    <x v="0"/>
    <x v="0"/>
    <x v="28"/>
    <x v="28"/>
    <x v="4"/>
    <x v="0"/>
    <x v="0"/>
    <x v="0"/>
  </r>
  <r>
    <x v="1307"/>
    <x v="5"/>
    <x v="5"/>
    <x v="16"/>
    <x v="682"/>
    <x v="1086"/>
    <x v="3"/>
    <x v="3"/>
    <x v="2"/>
    <x v="0"/>
    <x v="0"/>
    <x v="28"/>
    <x v="28"/>
    <x v="4"/>
    <x v="0"/>
    <x v="0"/>
    <x v="0"/>
  </r>
  <r>
    <x v="1308"/>
    <x v="5"/>
    <x v="5"/>
    <x v="16"/>
    <x v="683"/>
    <x v="1087"/>
    <x v="3"/>
    <x v="3"/>
    <x v="2"/>
    <x v="0"/>
    <x v="0"/>
    <x v="28"/>
    <x v="28"/>
    <x v="4"/>
    <x v="0"/>
    <x v="0"/>
    <x v="0"/>
  </r>
  <r>
    <x v="1309"/>
    <x v="5"/>
    <x v="5"/>
    <x v="16"/>
    <x v="684"/>
    <x v="1088"/>
    <x v="3"/>
    <x v="3"/>
    <x v="2"/>
    <x v="0"/>
    <x v="0"/>
    <x v="28"/>
    <x v="28"/>
    <x v="4"/>
    <x v="0"/>
    <x v="0"/>
    <x v="0"/>
  </r>
  <r>
    <x v="1310"/>
    <x v="5"/>
    <x v="5"/>
    <x v="16"/>
    <x v="685"/>
    <x v="1104"/>
    <x v="3"/>
    <x v="3"/>
    <x v="2"/>
    <x v="0"/>
    <x v="0"/>
    <x v="28"/>
    <x v="28"/>
    <x v="4"/>
    <x v="0"/>
    <x v="0"/>
    <x v="0"/>
  </r>
  <r>
    <x v="1311"/>
    <x v="5"/>
    <x v="5"/>
    <x v="16"/>
    <x v="686"/>
    <x v="1068"/>
    <x v="3"/>
    <x v="3"/>
    <x v="2"/>
    <x v="0"/>
    <x v="0"/>
    <x v="28"/>
    <x v="28"/>
    <x v="4"/>
    <x v="0"/>
    <x v="0"/>
    <x v="0"/>
  </r>
  <r>
    <x v="1312"/>
    <x v="5"/>
    <x v="5"/>
    <x v="16"/>
    <x v="687"/>
    <x v="1069"/>
    <x v="3"/>
    <x v="3"/>
    <x v="2"/>
    <x v="0"/>
    <x v="0"/>
    <x v="28"/>
    <x v="28"/>
    <x v="4"/>
    <x v="0"/>
    <x v="0"/>
    <x v="0"/>
  </r>
  <r>
    <x v="1313"/>
    <x v="5"/>
    <x v="5"/>
    <x v="16"/>
    <x v="688"/>
    <x v="1089"/>
    <x v="3"/>
    <x v="3"/>
    <x v="2"/>
    <x v="0"/>
    <x v="0"/>
    <x v="28"/>
    <x v="28"/>
    <x v="4"/>
    <x v="0"/>
    <x v="0"/>
    <x v="0"/>
  </r>
  <r>
    <x v="1314"/>
    <x v="5"/>
    <x v="5"/>
    <x v="16"/>
    <x v="689"/>
    <x v="1105"/>
    <x v="3"/>
    <x v="3"/>
    <x v="2"/>
    <x v="0"/>
    <x v="0"/>
    <x v="28"/>
    <x v="28"/>
    <x v="4"/>
    <x v="0"/>
    <x v="0"/>
    <x v="0"/>
  </r>
  <r>
    <x v="1315"/>
    <x v="5"/>
    <x v="5"/>
    <x v="16"/>
    <x v="690"/>
    <x v="1106"/>
    <x v="3"/>
    <x v="3"/>
    <x v="2"/>
    <x v="0"/>
    <x v="0"/>
    <x v="28"/>
    <x v="28"/>
    <x v="4"/>
    <x v="0"/>
    <x v="0"/>
    <x v="0"/>
  </r>
  <r>
    <x v="1316"/>
    <x v="5"/>
    <x v="5"/>
    <x v="16"/>
    <x v="691"/>
    <x v="1038"/>
    <x v="3"/>
    <x v="3"/>
    <x v="2"/>
    <x v="0"/>
    <x v="0"/>
    <x v="28"/>
    <x v="28"/>
    <x v="4"/>
    <x v="0"/>
    <x v="0"/>
    <x v="0"/>
  </r>
  <r>
    <x v="1317"/>
    <x v="5"/>
    <x v="5"/>
    <x v="16"/>
    <x v="692"/>
    <x v="1107"/>
    <x v="3"/>
    <x v="3"/>
    <x v="2"/>
    <x v="0"/>
    <x v="0"/>
    <x v="28"/>
    <x v="28"/>
    <x v="4"/>
    <x v="0"/>
    <x v="0"/>
    <x v="0"/>
  </r>
  <r>
    <x v="1318"/>
    <x v="5"/>
    <x v="5"/>
    <x v="16"/>
    <x v="693"/>
    <x v="1108"/>
    <x v="3"/>
    <x v="3"/>
    <x v="2"/>
    <x v="0"/>
    <x v="0"/>
    <x v="28"/>
    <x v="28"/>
    <x v="4"/>
    <x v="0"/>
    <x v="0"/>
    <x v="0"/>
  </r>
  <r>
    <x v="1319"/>
    <x v="5"/>
    <x v="5"/>
    <x v="16"/>
    <x v="694"/>
    <x v="1090"/>
    <x v="3"/>
    <x v="3"/>
    <x v="2"/>
    <x v="0"/>
    <x v="0"/>
    <x v="28"/>
    <x v="28"/>
    <x v="4"/>
    <x v="0"/>
    <x v="0"/>
    <x v="0"/>
  </r>
  <r>
    <x v="1320"/>
    <x v="6"/>
    <x v="5"/>
    <x v="16"/>
    <x v="44"/>
    <x v="1109"/>
    <x v="6"/>
    <x v="8"/>
    <x v="0"/>
    <x v="1"/>
    <x v="1"/>
    <x v="1"/>
    <x v="0"/>
    <x v="4"/>
    <x v="2"/>
    <x v="4"/>
    <x v="2"/>
  </r>
  <r>
    <x v="1321"/>
    <x v="6"/>
    <x v="5"/>
    <x v="16"/>
    <x v="44"/>
    <x v="1110"/>
    <x v="6"/>
    <x v="26"/>
    <x v="0"/>
    <x v="0"/>
    <x v="0"/>
    <x v="21"/>
    <x v="0"/>
    <x v="4"/>
    <x v="0"/>
    <x v="0"/>
    <x v="2"/>
  </r>
  <r>
    <x v="1322"/>
    <x v="6"/>
    <x v="5"/>
    <x v="16"/>
    <x v="44"/>
    <x v="1111"/>
    <x v="6"/>
    <x v="26"/>
    <x v="0"/>
    <x v="1"/>
    <x v="1"/>
    <x v="21"/>
    <x v="0"/>
    <x v="4"/>
    <x v="2"/>
    <x v="3"/>
    <x v="3"/>
  </r>
  <r>
    <x v="1323"/>
    <x v="1"/>
    <x v="5"/>
    <x v="16"/>
    <x v="44"/>
    <x v="1112"/>
    <x v="5"/>
    <x v="1"/>
    <x v="0"/>
    <x v="0"/>
    <x v="0"/>
    <x v="1"/>
    <x v="0"/>
    <x v="4"/>
    <x v="0"/>
    <x v="0"/>
    <x v="0"/>
  </r>
  <r>
    <x v="1324"/>
    <x v="5"/>
    <x v="5"/>
    <x v="16"/>
    <x v="695"/>
    <x v="1092"/>
    <x v="1"/>
    <x v="6"/>
    <x v="0"/>
    <x v="0"/>
    <x v="0"/>
    <x v="11"/>
    <x v="0"/>
    <x v="4"/>
    <x v="0"/>
    <x v="0"/>
    <x v="0"/>
  </r>
  <r>
    <x v="1325"/>
    <x v="6"/>
    <x v="5"/>
    <x v="16"/>
    <x v="696"/>
    <x v="1093"/>
    <x v="1"/>
    <x v="4"/>
    <x v="0"/>
    <x v="1"/>
    <x v="1"/>
    <x v="1"/>
    <x v="0"/>
    <x v="4"/>
    <x v="2"/>
    <x v="3"/>
    <x v="0"/>
  </r>
  <r>
    <x v="1326"/>
    <x v="6"/>
    <x v="5"/>
    <x v="16"/>
    <x v="697"/>
    <x v="1094"/>
    <x v="1"/>
    <x v="11"/>
    <x v="0"/>
    <x v="1"/>
    <x v="1"/>
    <x v="1"/>
    <x v="0"/>
    <x v="4"/>
    <x v="2"/>
    <x v="3"/>
    <x v="0"/>
  </r>
  <r>
    <x v="1327"/>
    <x v="5"/>
    <x v="5"/>
    <x v="16"/>
    <x v="698"/>
    <x v="1095"/>
    <x v="1"/>
    <x v="6"/>
    <x v="0"/>
    <x v="1"/>
    <x v="1"/>
    <x v="1"/>
    <x v="0"/>
    <x v="4"/>
    <x v="2"/>
    <x v="3"/>
    <x v="0"/>
  </r>
  <r>
    <x v="1328"/>
    <x v="6"/>
    <x v="5"/>
    <x v="16"/>
    <x v="699"/>
    <x v="1096"/>
    <x v="1"/>
    <x v="11"/>
    <x v="0"/>
    <x v="1"/>
    <x v="1"/>
    <x v="1"/>
    <x v="0"/>
    <x v="4"/>
    <x v="2"/>
    <x v="3"/>
    <x v="0"/>
  </r>
  <r>
    <x v="1329"/>
    <x v="6"/>
    <x v="5"/>
    <x v="16"/>
    <x v="700"/>
    <x v="1097"/>
    <x v="1"/>
    <x v="1"/>
    <x v="0"/>
    <x v="1"/>
    <x v="1"/>
    <x v="1"/>
    <x v="0"/>
    <x v="4"/>
    <x v="2"/>
    <x v="3"/>
    <x v="0"/>
  </r>
  <r>
    <x v="1330"/>
    <x v="6"/>
    <x v="5"/>
    <x v="16"/>
    <x v="701"/>
    <x v="1098"/>
    <x v="1"/>
    <x v="1"/>
    <x v="0"/>
    <x v="0"/>
    <x v="0"/>
    <x v="11"/>
    <x v="0"/>
    <x v="4"/>
    <x v="0"/>
    <x v="0"/>
    <x v="0"/>
  </r>
  <r>
    <x v="1331"/>
    <x v="6"/>
    <x v="5"/>
    <x v="16"/>
    <x v="702"/>
    <x v="1099"/>
    <x v="1"/>
    <x v="6"/>
    <x v="0"/>
    <x v="1"/>
    <x v="1"/>
    <x v="1"/>
    <x v="0"/>
    <x v="4"/>
    <x v="2"/>
    <x v="3"/>
    <x v="0"/>
  </r>
  <r>
    <x v="1332"/>
    <x v="12"/>
    <x v="5"/>
    <x v="16"/>
    <x v="703"/>
    <x v="1100"/>
    <x v="0"/>
    <x v="1"/>
    <x v="0"/>
    <x v="1"/>
    <x v="1"/>
    <x v="1"/>
    <x v="0"/>
    <x v="4"/>
    <x v="2"/>
    <x v="3"/>
    <x v="0"/>
  </r>
  <r>
    <x v="1333"/>
    <x v="4"/>
    <x v="5"/>
    <x v="16"/>
    <x v="704"/>
    <x v="1103"/>
    <x v="1"/>
    <x v="6"/>
    <x v="0"/>
    <x v="0"/>
    <x v="0"/>
    <x v="2"/>
    <x v="0"/>
    <x v="4"/>
    <x v="0"/>
    <x v="0"/>
    <x v="0"/>
  </r>
  <r>
    <x v="1334"/>
    <x v="4"/>
    <x v="5"/>
    <x v="16"/>
    <x v="705"/>
    <x v="1104"/>
    <x v="1"/>
    <x v="1"/>
    <x v="0"/>
    <x v="1"/>
    <x v="1"/>
    <x v="1"/>
    <x v="0"/>
    <x v="4"/>
    <x v="2"/>
    <x v="3"/>
    <x v="0"/>
  </r>
  <r>
    <x v="1335"/>
    <x v="5"/>
    <x v="5"/>
    <x v="16"/>
    <x v="706"/>
    <x v="1105"/>
    <x v="4"/>
    <x v="1"/>
    <x v="0"/>
    <x v="1"/>
    <x v="1"/>
    <x v="1"/>
    <x v="0"/>
    <x v="4"/>
    <x v="2"/>
    <x v="3"/>
    <x v="0"/>
  </r>
  <r>
    <x v="1336"/>
    <x v="5"/>
    <x v="5"/>
    <x v="16"/>
    <x v="707"/>
    <x v="1106"/>
    <x v="4"/>
    <x v="1"/>
    <x v="0"/>
    <x v="1"/>
    <x v="1"/>
    <x v="1"/>
    <x v="0"/>
    <x v="4"/>
    <x v="2"/>
    <x v="3"/>
    <x v="0"/>
  </r>
  <r>
    <x v="1337"/>
    <x v="5"/>
    <x v="5"/>
    <x v="16"/>
    <x v="708"/>
    <x v="1038"/>
    <x v="4"/>
    <x v="1"/>
    <x v="0"/>
    <x v="1"/>
    <x v="1"/>
    <x v="1"/>
    <x v="0"/>
    <x v="4"/>
    <x v="2"/>
    <x v="3"/>
    <x v="0"/>
  </r>
  <r>
    <x v="1338"/>
    <x v="5"/>
    <x v="5"/>
    <x v="16"/>
    <x v="709"/>
    <x v="1107"/>
    <x v="4"/>
    <x v="1"/>
    <x v="0"/>
    <x v="1"/>
    <x v="1"/>
    <x v="1"/>
    <x v="0"/>
    <x v="4"/>
    <x v="2"/>
    <x v="3"/>
    <x v="0"/>
  </r>
  <r>
    <x v="1339"/>
    <x v="5"/>
    <x v="5"/>
    <x v="16"/>
    <x v="710"/>
    <x v="1113"/>
    <x v="4"/>
    <x v="1"/>
    <x v="0"/>
    <x v="0"/>
    <x v="0"/>
    <x v="5"/>
    <x v="0"/>
    <x v="4"/>
    <x v="0"/>
    <x v="0"/>
    <x v="0"/>
  </r>
  <r>
    <x v="1340"/>
    <x v="6"/>
    <x v="5"/>
    <x v="16"/>
    <x v="44"/>
    <x v="1114"/>
    <x v="6"/>
    <x v="8"/>
    <x v="0"/>
    <x v="1"/>
    <x v="1"/>
    <x v="1"/>
    <x v="0"/>
    <x v="4"/>
    <x v="2"/>
    <x v="4"/>
    <x v="3"/>
  </r>
  <r>
    <x v="1341"/>
    <x v="6"/>
    <x v="5"/>
    <x v="16"/>
    <x v="44"/>
    <x v="1115"/>
    <x v="5"/>
    <x v="1"/>
    <x v="0"/>
    <x v="0"/>
    <x v="0"/>
    <x v="1"/>
    <x v="0"/>
    <x v="4"/>
    <x v="0"/>
    <x v="0"/>
    <x v="1"/>
  </r>
  <r>
    <x v="1342"/>
    <x v="6"/>
    <x v="5"/>
    <x v="16"/>
    <x v="44"/>
    <x v="1116"/>
    <x v="5"/>
    <x v="1"/>
    <x v="0"/>
    <x v="0"/>
    <x v="0"/>
    <x v="1"/>
    <x v="0"/>
    <x v="4"/>
    <x v="0"/>
    <x v="0"/>
    <x v="1"/>
  </r>
  <r>
    <x v="1343"/>
    <x v="6"/>
    <x v="5"/>
    <x v="16"/>
    <x v="44"/>
    <x v="1117"/>
    <x v="5"/>
    <x v="1"/>
    <x v="0"/>
    <x v="0"/>
    <x v="0"/>
    <x v="1"/>
    <x v="0"/>
    <x v="4"/>
    <x v="0"/>
    <x v="0"/>
    <x v="1"/>
  </r>
  <r>
    <x v="1344"/>
    <x v="6"/>
    <x v="5"/>
    <x v="16"/>
    <x v="44"/>
    <x v="1118"/>
    <x v="5"/>
    <x v="7"/>
    <x v="0"/>
    <x v="1"/>
    <x v="1"/>
    <x v="1"/>
    <x v="0"/>
    <x v="4"/>
    <x v="2"/>
    <x v="4"/>
    <x v="1"/>
  </r>
  <r>
    <x v="1345"/>
    <x v="5"/>
    <x v="5"/>
    <x v="16"/>
    <x v="44"/>
    <x v="1119"/>
    <x v="6"/>
    <x v="8"/>
    <x v="0"/>
    <x v="1"/>
    <x v="1"/>
    <x v="1"/>
    <x v="0"/>
    <x v="4"/>
    <x v="2"/>
    <x v="4"/>
    <x v="3"/>
  </r>
  <r>
    <x v="1346"/>
    <x v="5"/>
    <x v="5"/>
    <x v="16"/>
    <x v="44"/>
    <x v="1120"/>
    <x v="6"/>
    <x v="1"/>
    <x v="0"/>
    <x v="0"/>
    <x v="0"/>
    <x v="1"/>
    <x v="0"/>
    <x v="4"/>
    <x v="0"/>
    <x v="0"/>
    <x v="3"/>
  </r>
  <r>
    <x v="1347"/>
    <x v="5"/>
    <x v="5"/>
    <x v="16"/>
    <x v="44"/>
    <x v="1121"/>
    <x v="6"/>
    <x v="1"/>
    <x v="0"/>
    <x v="1"/>
    <x v="1"/>
    <x v="1"/>
    <x v="0"/>
    <x v="4"/>
    <x v="2"/>
    <x v="3"/>
    <x v="3"/>
  </r>
  <r>
    <x v="1348"/>
    <x v="5"/>
    <x v="6"/>
    <x v="17"/>
    <x v="711"/>
    <x v="1122"/>
    <x v="9"/>
    <x v="1"/>
    <x v="0"/>
    <x v="0"/>
    <x v="0"/>
    <x v="1"/>
    <x v="0"/>
    <x v="0"/>
    <x v="0"/>
    <x v="0"/>
    <x v="5"/>
  </r>
  <r>
    <x v="1349"/>
    <x v="5"/>
    <x v="6"/>
    <x v="17"/>
    <x v="711"/>
    <x v="1123"/>
    <x v="9"/>
    <x v="1"/>
    <x v="0"/>
    <x v="1"/>
    <x v="1"/>
    <x v="1"/>
    <x v="0"/>
    <x v="0"/>
    <x v="2"/>
    <x v="5"/>
    <x v="5"/>
  </r>
  <r>
    <x v="1350"/>
    <x v="5"/>
    <x v="6"/>
    <x v="17"/>
    <x v="711"/>
    <x v="1124"/>
    <x v="9"/>
    <x v="1"/>
    <x v="0"/>
    <x v="1"/>
    <x v="1"/>
    <x v="1"/>
    <x v="0"/>
    <x v="0"/>
    <x v="2"/>
    <x v="5"/>
    <x v="5"/>
  </r>
  <r>
    <x v="1351"/>
    <x v="5"/>
    <x v="6"/>
    <x v="17"/>
    <x v="711"/>
    <x v="1125"/>
    <x v="9"/>
    <x v="1"/>
    <x v="0"/>
    <x v="1"/>
    <x v="1"/>
    <x v="1"/>
    <x v="0"/>
    <x v="0"/>
    <x v="2"/>
    <x v="5"/>
    <x v="5"/>
  </r>
  <r>
    <x v="1352"/>
    <x v="5"/>
    <x v="6"/>
    <x v="17"/>
    <x v="711"/>
    <x v="1126"/>
    <x v="9"/>
    <x v="1"/>
    <x v="0"/>
    <x v="1"/>
    <x v="1"/>
    <x v="1"/>
    <x v="0"/>
    <x v="0"/>
    <x v="2"/>
    <x v="5"/>
    <x v="5"/>
  </r>
  <r>
    <x v="1353"/>
    <x v="5"/>
    <x v="6"/>
    <x v="17"/>
    <x v="711"/>
    <x v="1127"/>
    <x v="9"/>
    <x v="1"/>
    <x v="0"/>
    <x v="1"/>
    <x v="1"/>
    <x v="1"/>
    <x v="0"/>
    <x v="0"/>
    <x v="2"/>
    <x v="5"/>
    <x v="5"/>
  </r>
  <r>
    <x v="1354"/>
    <x v="5"/>
    <x v="6"/>
    <x v="17"/>
    <x v="711"/>
    <x v="1128"/>
    <x v="9"/>
    <x v="1"/>
    <x v="0"/>
    <x v="1"/>
    <x v="1"/>
    <x v="1"/>
    <x v="0"/>
    <x v="0"/>
    <x v="2"/>
    <x v="5"/>
    <x v="5"/>
  </r>
  <r>
    <x v="1355"/>
    <x v="5"/>
    <x v="6"/>
    <x v="17"/>
    <x v="711"/>
    <x v="1129"/>
    <x v="9"/>
    <x v="1"/>
    <x v="0"/>
    <x v="1"/>
    <x v="1"/>
    <x v="1"/>
    <x v="0"/>
    <x v="0"/>
    <x v="2"/>
    <x v="5"/>
    <x v="5"/>
  </r>
  <r>
    <x v="1356"/>
    <x v="5"/>
    <x v="6"/>
    <x v="17"/>
    <x v="711"/>
    <x v="1130"/>
    <x v="9"/>
    <x v="1"/>
    <x v="0"/>
    <x v="1"/>
    <x v="1"/>
    <x v="1"/>
    <x v="0"/>
    <x v="0"/>
    <x v="2"/>
    <x v="5"/>
    <x v="5"/>
  </r>
  <r>
    <x v="1357"/>
    <x v="5"/>
    <x v="6"/>
    <x v="17"/>
    <x v="711"/>
    <x v="1131"/>
    <x v="9"/>
    <x v="1"/>
    <x v="0"/>
    <x v="1"/>
    <x v="1"/>
    <x v="1"/>
    <x v="0"/>
    <x v="0"/>
    <x v="2"/>
    <x v="5"/>
    <x v="5"/>
  </r>
  <r>
    <x v="1358"/>
    <x v="5"/>
    <x v="6"/>
    <x v="17"/>
    <x v="711"/>
    <x v="1132"/>
    <x v="9"/>
    <x v="1"/>
    <x v="0"/>
    <x v="0"/>
    <x v="0"/>
    <x v="1"/>
    <x v="0"/>
    <x v="0"/>
    <x v="0"/>
    <x v="0"/>
    <x v="5"/>
  </r>
  <r>
    <x v="1359"/>
    <x v="5"/>
    <x v="6"/>
    <x v="17"/>
    <x v="711"/>
    <x v="1133"/>
    <x v="9"/>
    <x v="1"/>
    <x v="0"/>
    <x v="1"/>
    <x v="1"/>
    <x v="1"/>
    <x v="0"/>
    <x v="0"/>
    <x v="2"/>
    <x v="5"/>
    <x v="5"/>
  </r>
  <r>
    <x v="1360"/>
    <x v="5"/>
    <x v="6"/>
    <x v="17"/>
    <x v="711"/>
    <x v="1134"/>
    <x v="9"/>
    <x v="1"/>
    <x v="0"/>
    <x v="1"/>
    <x v="1"/>
    <x v="1"/>
    <x v="0"/>
    <x v="0"/>
    <x v="2"/>
    <x v="5"/>
    <x v="5"/>
  </r>
  <r>
    <x v="1361"/>
    <x v="5"/>
    <x v="6"/>
    <x v="17"/>
    <x v="711"/>
    <x v="1135"/>
    <x v="9"/>
    <x v="1"/>
    <x v="0"/>
    <x v="1"/>
    <x v="1"/>
    <x v="1"/>
    <x v="0"/>
    <x v="0"/>
    <x v="2"/>
    <x v="5"/>
    <x v="5"/>
  </r>
  <r>
    <x v="1362"/>
    <x v="5"/>
    <x v="6"/>
    <x v="17"/>
    <x v="711"/>
    <x v="1136"/>
    <x v="9"/>
    <x v="1"/>
    <x v="0"/>
    <x v="1"/>
    <x v="1"/>
    <x v="1"/>
    <x v="0"/>
    <x v="0"/>
    <x v="2"/>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_Estado_CTO"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ESTADO" colHeaderCaption="CIRCUITO">
  <location ref="B3:H8"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1"/>
        <item x="2"/>
        <item x="3"/>
        <item x="4"/>
        <item x="0"/>
        <item t="default"/>
      </items>
    </pivotField>
    <pivotField axis="axisRow" showAll="0">
      <items count="4">
        <item x="0"/>
        <item x="2"/>
        <item x="1"/>
        <item t="default"/>
      </items>
    </pivotField>
    <pivotField showAll="0"/>
    <pivotField showAll="0"/>
  </pivotFields>
  <rowFields count="1">
    <field x="14"/>
  </rowFields>
  <rowItems count="4">
    <i>
      <x/>
    </i>
    <i>
      <x v="1"/>
    </i>
    <i>
      <x v="2"/>
    </i>
    <i t="grand">
      <x/>
    </i>
  </rowItems>
  <colFields count="1">
    <field x="13"/>
  </colFields>
  <colItems count="6">
    <i>
      <x/>
    </i>
    <i>
      <x v="1"/>
    </i>
    <i>
      <x v="2"/>
    </i>
    <i>
      <x v="3"/>
    </i>
    <i>
      <x v="4"/>
    </i>
    <i t="grand">
      <x/>
    </i>
  </colItems>
  <dataFields count="1">
    <dataField name="Cantid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D_Sistemas"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PART" colHeaderCaption="ESTADO">
  <location ref="B20:F37" firstHeaderRow="1" firstDataRow="2" firstDataCol="1"/>
  <pivotFields count="17">
    <pivotField dataField="1" showAll="0"/>
    <pivotField axis="axisRow" showAll="0">
      <items count="16">
        <item x="14"/>
        <item x="9"/>
        <item x="8"/>
        <item x="13"/>
        <item x="12"/>
        <item x="1"/>
        <item x="3"/>
        <item x="10"/>
        <item x="7"/>
        <item x="2"/>
        <item x="4"/>
        <item x="11"/>
        <item x="0"/>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14"/>
  </colFields>
  <colItems count="4">
    <i>
      <x/>
    </i>
    <i>
      <x v="1"/>
    </i>
    <i>
      <x v="2"/>
    </i>
    <i t="grand">
      <x/>
    </i>
  </colItems>
  <dataFields count="1">
    <dataField name="Cantidad" fld="0" subtotal="count"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TD_Resumen"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ESTADO">
  <location ref="B40:D50" firstHeaderRow="0"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7">
        <item x="0"/>
        <item x="1"/>
        <item x="4"/>
        <item x="5"/>
        <item x="2"/>
        <item x="3"/>
        <item t="default"/>
      </items>
    </pivotField>
    <pivotField showAll="0"/>
  </pivotFields>
  <rowFields count="2">
    <field x="14"/>
    <field x="15"/>
  </rowFields>
  <rowItems count="10">
    <i>
      <x/>
    </i>
    <i r="1">
      <x/>
    </i>
    <i>
      <x v="1"/>
    </i>
    <i r="1">
      <x v="1"/>
    </i>
    <i>
      <x v="2"/>
    </i>
    <i r="1">
      <x v="2"/>
    </i>
    <i r="1">
      <x v="3"/>
    </i>
    <i r="1">
      <x v="4"/>
    </i>
    <i r="1">
      <x v="5"/>
    </i>
    <i t="grand">
      <x/>
    </i>
  </rowItems>
  <colFields count="1">
    <field x="-2"/>
  </colFields>
  <colItems count="2">
    <i>
      <x/>
    </i>
    <i i="1">
      <x v="1"/>
    </i>
  </colItems>
  <dataFields count="2">
    <dataField name="Cantidad" fld="0" subtotal="count" baseField="0" baseItem="0"/>
    <dataField name="% del total" fld="0" subtotal="count" showDataAs="percentOfTotal" baseField="0" baseItem="0" numFmtId="1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TD_Subcampo"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Subcampo" colHeaderCaption="ESTADO">
  <location ref="B54:F74" firstHeaderRow="1" firstDataRow="2" firstDataCol="1"/>
  <pivotFields count="17">
    <pivotField dataField="1" showAll="0"/>
    <pivotField showAll="0"/>
    <pivotField showAll="0"/>
    <pivotField axis="axisRow" showAll="0">
      <items count="19">
        <item x="10"/>
        <item x="13"/>
        <item x="11"/>
        <item x="12"/>
        <item x="14"/>
        <item x="15"/>
        <item x="16"/>
        <item x="6"/>
        <item x="7"/>
        <item x="8"/>
        <item x="9"/>
        <item x="2"/>
        <item x="3"/>
        <item x="4"/>
        <item x="5"/>
        <item x="1"/>
        <item x="0"/>
        <item x="17"/>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Fields count="1">
    <field x="14"/>
  </colFields>
  <colItems count="4">
    <i>
      <x/>
    </i>
    <i>
      <x v="1"/>
    </i>
    <i>
      <x v="2"/>
    </i>
    <i t="grand">
      <x/>
    </i>
  </colItems>
  <dataFields count="1">
    <dataField name="Cantidad" fld="0"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TD_Externos"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Subcampo" colHeaderCaption="EXTERNO">
  <location ref="B96:H115" firstHeaderRow="1" firstDataRow="2" firstDataCol="1"/>
  <pivotFields count="17">
    <pivotField dataField="1" showAll="0"/>
    <pivotField showAll="0"/>
    <pivotField showAll="0"/>
    <pivotField axis="axisRow" showAll="0">
      <items count="19">
        <item x="2"/>
        <item x="3"/>
        <item x="4"/>
        <item x="5"/>
        <item x="6"/>
        <item x="7"/>
        <item x="8"/>
        <item x="9"/>
        <item x="10"/>
        <item x="11"/>
        <item x="12"/>
        <item x="13"/>
        <item x="14"/>
        <item x="15"/>
        <item x="16"/>
        <item x="1"/>
        <item x="0"/>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5"/>
        <item x="4"/>
        <item x="1"/>
        <item x="2"/>
        <item x="3"/>
        <item x="0" h="1"/>
        <item t="default"/>
      </items>
    </pivotField>
  </pivotFields>
  <rowFields count="1">
    <field x="3"/>
  </rowFields>
  <rowItems count="18">
    <i>
      <x/>
    </i>
    <i>
      <x v="1"/>
    </i>
    <i>
      <x v="2"/>
    </i>
    <i>
      <x v="3"/>
    </i>
    <i>
      <x v="4"/>
    </i>
    <i>
      <x v="5"/>
    </i>
    <i>
      <x v="6"/>
    </i>
    <i>
      <x v="7"/>
    </i>
    <i>
      <x v="8"/>
    </i>
    <i>
      <x v="9"/>
    </i>
    <i>
      <x v="10"/>
    </i>
    <i>
      <x v="11"/>
    </i>
    <i>
      <x v="12"/>
    </i>
    <i>
      <x v="13"/>
    </i>
    <i>
      <x v="14"/>
    </i>
    <i>
      <x v="15"/>
    </i>
    <i>
      <x v="17"/>
    </i>
    <i t="grand">
      <x/>
    </i>
  </rowItems>
  <colFields count="1">
    <field x="16"/>
  </colFields>
  <colItems count="6">
    <i>
      <x/>
    </i>
    <i>
      <x v="1"/>
    </i>
    <i>
      <x v="2"/>
    </i>
    <i>
      <x v="3"/>
    </i>
    <i>
      <x v="4"/>
    </i>
    <i t="grand">
      <x/>
    </i>
  </colItems>
  <dataFields count="1">
    <dataField name="Cantidad" fld="0" subtotal="count"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TD_Subcampo_Sistema" cacheId="1" applyNumberFormats="0" applyBorderFormats="0" applyFontFormats="0" applyPatternFormats="0" applyAlignmentFormats="0" applyWidthHeightFormats="1" dataCaption="Valores" grandTotalCaption="Total" updatedVersion="6" minRefreshableVersion="3" useAutoFormatting="1" itemPrintTitles="1" createdVersion="6" indent="0" outline="1" outlineData="1" multipleFieldFilters="0" rowHeaderCaption="Subcampo" colHeaderCaption="PART / ESTADO">
  <location ref="B121:AV142" firstHeaderRow="1" firstDataRow="3" firstDataCol="1"/>
  <pivotFields count="17">
    <pivotField dataField="1" showAll="0"/>
    <pivotField axis="axisCol" showAll="0">
      <items count="16">
        <item x="13"/>
        <item x="12"/>
        <item x="0"/>
        <item x="11"/>
        <item x="7"/>
        <item x="1"/>
        <item x="14"/>
        <item x="6"/>
        <item x="9"/>
        <item x="8"/>
        <item x="10"/>
        <item x="3"/>
        <item x="2"/>
        <item x="4"/>
        <item x="5"/>
        <item t="default"/>
      </items>
    </pivotField>
    <pivotField showAll="0"/>
    <pivotField axis="axisRow" showAll="0">
      <items count="19">
        <item x="10"/>
        <item x="13"/>
        <item x="11"/>
        <item x="12"/>
        <item x="14"/>
        <item x="15"/>
        <item x="16"/>
        <item x="6"/>
        <item x="7"/>
        <item x="8"/>
        <item x="9"/>
        <item x="2"/>
        <item x="3"/>
        <item x="4"/>
        <item x="5"/>
        <item x="1"/>
        <item x="0"/>
        <item x="17"/>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Fields count="2">
    <field x="1"/>
    <field x="14"/>
  </colFields>
  <colItems count="46">
    <i>
      <x/>
      <x/>
    </i>
    <i r="1">
      <x v="2"/>
    </i>
    <i t="default">
      <x/>
    </i>
    <i>
      <x v="1"/>
      <x/>
    </i>
    <i r="1">
      <x v="2"/>
    </i>
    <i t="default">
      <x v="1"/>
    </i>
    <i>
      <x v="2"/>
      <x/>
    </i>
    <i r="1">
      <x v="1"/>
    </i>
    <i r="1">
      <x v="2"/>
    </i>
    <i t="default">
      <x v="2"/>
    </i>
    <i>
      <x v="3"/>
      <x v="1"/>
    </i>
    <i r="1">
      <x v="2"/>
    </i>
    <i t="default">
      <x v="3"/>
    </i>
    <i>
      <x v="4"/>
      <x v="1"/>
    </i>
    <i r="1">
      <x v="2"/>
    </i>
    <i t="default">
      <x v="4"/>
    </i>
    <i>
      <x v="5"/>
      <x v="2"/>
    </i>
    <i t="default">
      <x v="5"/>
    </i>
    <i>
      <x v="6"/>
      <x v="2"/>
    </i>
    <i t="default">
      <x v="6"/>
    </i>
    <i>
      <x v="7"/>
      <x/>
    </i>
    <i r="1">
      <x v="1"/>
    </i>
    <i r="1">
      <x v="2"/>
    </i>
    <i t="default">
      <x v="7"/>
    </i>
    <i>
      <x v="8"/>
      <x v="1"/>
    </i>
    <i t="default">
      <x v="8"/>
    </i>
    <i>
      <x v="9"/>
      <x v="2"/>
    </i>
    <i t="default">
      <x v="9"/>
    </i>
    <i>
      <x v="10"/>
      <x v="1"/>
    </i>
    <i r="1">
      <x v="2"/>
    </i>
    <i t="default">
      <x v="10"/>
    </i>
    <i>
      <x v="11"/>
      <x/>
    </i>
    <i r="1">
      <x v="2"/>
    </i>
    <i t="default">
      <x v="11"/>
    </i>
    <i>
      <x v="12"/>
      <x/>
    </i>
    <i r="1">
      <x v="2"/>
    </i>
    <i t="default">
      <x v="12"/>
    </i>
    <i>
      <x v="13"/>
      <x/>
    </i>
    <i r="1">
      <x v="1"/>
    </i>
    <i r="1">
      <x v="2"/>
    </i>
    <i t="default">
      <x v="13"/>
    </i>
    <i>
      <x v="14"/>
      <x/>
    </i>
    <i r="1">
      <x v="1"/>
    </i>
    <i r="1">
      <x v="2"/>
    </i>
    <i t="default">
      <x v="14"/>
    </i>
    <i t="grand">
      <x/>
    </i>
  </colItems>
  <dataFields count="1">
    <dataField name="Cantidad"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DA4A6-2680-4021-A942-AE41CEC5F148}" name="PL" displayName="PL" ref="A1:Q1364" totalsRowShown="0" headerRowDxfId="67" headerRowBorderDxfId="66" tableBorderDxfId="65" totalsRowBorderDxfId="64">
  <autoFilter ref="A1:Q1364" xr:uid="{AA5DA4A6-2680-4021-A942-AE41CEC5F148}">
    <filterColumn colId="6">
      <filters>
        <filter val="O&amp;M"/>
      </filters>
    </filterColumn>
    <filterColumn colId="10">
      <filters>
        <filter val="ABIERTO"/>
      </filters>
    </filterColumn>
  </autoFilter>
  <sortState xmlns:xlrd2="http://schemas.microsoft.com/office/spreadsheetml/2017/richdata2" ref="A2:Q1364">
    <sortCondition ref="D2:D1364"/>
  </sortState>
  <tableColumns count="17">
    <tableColumn id="1" xr3:uid="{8EC1C802-56BF-4D98-BDB0-363433B90CB8}" name="ITEM ID" dataDxfId="63"/>
    <tableColumn id="2" xr3:uid="{9B7F27E9-AA65-48A1-9C61-83CE1C1BFD45}" name="PART" dataDxfId="62"/>
    <tableColumn id="13" xr3:uid="{D8AA57D0-0F24-4B4E-ADAB-8946AFC8E596}" name="CTO"/>
    <tableColumn id="12" xr3:uid="{D5DBAFF7-5981-418F-AE26-A3459D0B862D}" name="SC" dataDxfId="61"/>
    <tableColumn id="3" xr3:uid="{49BA04D3-5CB4-44B0-9DBF-58E68B0159F1}" name="FUNCTIONAL_PART" dataDxfId="60"/>
    <tableColumn id="4" xr3:uid="{23A33BB4-7A74-4177-A8AE-4F3758DFC266}" name="DESCRIPTION" dataDxfId="59"/>
    <tableColumn id="5" xr3:uid="{22100455-25F1-4902-9367-3AC49EEE7E96}" name="DETECTOR_ROLE" dataDxfId="58"/>
    <tableColumn id="6" xr3:uid="{09D6B68F-5788-462B-849B-CDE0E80690F0}" name="SUPPLIER NOTES" dataDxfId="57"/>
    <tableColumn id="7" xr3:uid="{2A41B731-D2FA-49B1-A77C-0D46ED1B3860}" name="CLOSING NOTES" dataDxfId="56"/>
    <tableColumn id="8" xr3:uid="{C457791E-7834-4EA4-9941-A8C727D1E493}" name="STATUS ELECNOR" dataDxfId="55"/>
    <tableColumn id="9" xr3:uid="{A26DE92C-0F1C-4EE2-8A52-ED7F2B5E7F95}" name="STATUS IUP" dataDxfId="54"/>
    <tableColumn id="10" xr3:uid="{FD9DB384-DD80-438E-B5ED-124A2A3FF625}" name="CLOSING DATE ENEL" dataDxfId="53"/>
    <tableColumn id="11" xr3:uid="{2B42B2AB-FF03-41C2-921B-162C8F49A641}" name="CLOSING DATE - ELECNOR" dataDxfId="52"/>
    <tableColumn id="14" name="CIRCUITO">
      <calculatedColumnFormula>IF(ISNUMBER(PL[[#This Row],[CTO]]),"CTO "&amp;PL[[#This Row],[CTO]],"Otros")</calculatedColumnFormula>
    </tableColumn>
    <tableColumn id="15" name="ESTADO">
      <calculatedColumnFormula>IF(PL[[#This Row],[STATUS IUP]]="CERRADO","CERRADO",IF(ISNUMBER(SEARCH("validacion de enel",PL[[#This Row],[SUPPLIER NOTES]])),"PTE Validar Enel","ABIERTO"))</calculatedColumnFormula>
    </tableColumn>
    <tableColumn id="16" name="DETALLE ESTADO">
      <calculatedColumnFormula>IF(PL[[#This Row],[ESTADO]]="CERRADO","Cerrados IUP",IF(PL[[#This Row],[ESTADO]]="PTE Validar Enel","Pendiente cierre ENEL",IF(ISNUMBER(SEARCH("suministro",PL[[#This Row],[SUPPLIER NOTES]])),"Suministros",IF(PL[[#This Row],[SC]]="SOCIAL","Social",IF(ISNUMBER(SEARCH("monolito",PL[[#This Row],[DESCRIPTION]])),"Monolitos","Varios")))))</calculatedColumnFormula>
    </tableColumn>
    <tableColumn id="17" name="EXTERNO">
      <calculatedColumnFormula>IF(ISNA(MATCH(PL[[#This Row],[ITEM ID]],Externos!$A:$A,0)),"",IF(PL[[#This Row],[DETECTOR_ROLE]]="Sustainability Manager","SOCIAL",IF(INDEX(Externos!$D:$D,MATCH(PL[[#This Row],[ITEM ID]],Externos!$A:$A,0))="TRINA",IF(PL[[#This Row],[DETECTOR_ROLE]]="O&amp;M","Trina O&amp;M",IF(PL[[#This Row],[DETECTOR_ROLE]]="Commissioning Manager","Trina Commissioning","Trina Electric")),"O&amp;M")))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40B8EC-14A3-4F5C-B917-E426F5461D6E}" name="OTROS" displayName="OTROS" ref="A1:L213" totalsRowShown="0" headerRowDxfId="51" headerRowBorderDxfId="50" tableBorderDxfId="49" headerRowCellStyle="Normal 2" dataCellStyle="Normal 2">
  <autoFilter ref="A1:L213" xr:uid="{5040B8EC-14A3-4F5C-B917-E426F5461D6E}"/>
  <tableColumns count="12">
    <tableColumn id="1" xr3:uid="{BCA8297A-8B72-42EA-AD44-6A76E0C6588A}" name="ITEM ID" dataCellStyle="Normal 2"/>
    <tableColumn id="2" xr3:uid="{9C0E4436-20DD-48DF-A462-E7C34D46EE3A}" name="PART" dataCellStyle="Normal 2"/>
    <tableColumn id="3" xr3:uid="{97D2AC11-A9D6-49EE-90D0-B2CEED53F8B7}" name="SC" dataCellStyle="Normal 2"/>
    <tableColumn id="4" xr3:uid="{49E67A11-17E8-4560-8D8A-9138C607046F}" name="FUNCTIONAL_PART" dataCellStyle="Normal 2"/>
    <tableColumn id="5" xr3:uid="{B600336C-9C43-4F76-B21E-E2866334CD36}" name="DESCRIPTION" dataCellStyle="Normal 2"/>
    <tableColumn id="6" xr3:uid="{0C6498EA-8646-4B0D-A843-47EEBC38F884}" name="DETECTOR_ROLE" dataCellStyle="Normal 2"/>
    <tableColumn id="7" xr3:uid="{49ACF225-548F-45F3-9D41-03BF058A62E7}" name="SUPPLIER NOTES" dataCellStyle="Normal 2"/>
    <tableColumn id="8" xr3:uid="{D51EFF2B-6B02-468E-807E-FFA7346EC24B}" name="CLOSING NOTES" dataCellStyle="Normal 2"/>
    <tableColumn id="9" xr3:uid="{B7E0002F-2872-4D62-9099-B2F0C3EFE9FA}" name="STATUS ELECNOR" dataCellStyle="Normal 2"/>
    <tableColumn id="10" xr3:uid="{DFF8319A-366B-46FF-A4E5-4F6652B1C3EE}" name="STATUS IUP" dataCellStyle="Normal 2"/>
    <tableColumn id="11" xr3:uid="{7C4574A3-92DE-4D76-96D3-63DEA0DD49CD}" name="CLOSING DATE ENEL" dataCellStyle="Normal 2"/>
    <tableColumn id="12" xr3:uid="{1B31A7DF-2D31-4C59-BA0A-064CAB903EAC}" name="CLOSING DATE - ELECNOR"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8050D2-7639-42BE-B8EF-B8FB62D4709C}" name="CIRCUITO5" displayName="CIRCUITO5" ref="A1:L203" totalsRowShown="0" headerRowDxfId="48" dataDxfId="46" headerRowBorderDxfId="47" tableBorderDxfId="45" headerRowCellStyle="Normal 2" dataCellStyle="Normal 2">
  <autoFilter ref="A1:L203" xr:uid="{148050D2-7639-42BE-B8EF-B8FB62D4709C}"/>
  <sortState xmlns:xlrd2="http://schemas.microsoft.com/office/spreadsheetml/2017/richdata2" ref="A2:L203">
    <sortCondition ref="A1:A203"/>
  </sortState>
  <tableColumns count="12">
    <tableColumn id="1" xr3:uid="{A72F1EEE-1309-4FC2-A284-88C931B9AFED}" name="ITEM ID" dataDxfId="44" dataCellStyle="Normal 2"/>
    <tableColumn id="2" xr3:uid="{60E4AE38-EE4B-4272-9461-FA1097FD5A3D}" name="PART" dataDxfId="43" dataCellStyle="Normal 2"/>
    <tableColumn id="3" xr3:uid="{9DF9DD23-E943-4592-8D04-7862A442DCCE}" name="SC" dataDxfId="42" dataCellStyle="Normal 2"/>
    <tableColumn id="4" xr3:uid="{DA060070-75EF-4042-A6FC-615304EF2FD1}" name="FUNCTIONAL_PART" dataDxfId="41" dataCellStyle="Normal 2"/>
    <tableColumn id="5" xr3:uid="{905778B7-D90A-4AEC-851B-A4448F168180}" name="DESCRIPTION" dataDxfId="40" dataCellStyle="Normal 2"/>
    <tableColumn id="6" xr3:uid="{D0EB6B29-67C6-4C26-ACA2-418F5B97805A}" name="DETECTOR_ROLE" dataDxfId="39" dataCellStyle="Normal 2"/>
    <tableColumn id="7" xr3:uid="{8C7AC2BF-6DBB-4C96-9021-5451F01DAFFE}" name="SUPPLIER NOTES" dataDxfId="38" dataCellStyle="Normal 2"/>
    <tableColumn id="8" xr3:uid="{2C91606B-347C-4ADB-997C-DA30393C922D}" name="CLOSING NOTES" dataDxfId="37" dataCellStyle="Normal 2"/>
    <tableColumn id="9" xr3:uid="{49245AC5-325D-49C3-8353-30E5DB865917}" name="STATUS ELECNOR" dataDxfId="36" dataCellStyle="Normal 2"/>
    <tableColumn id="10" xr3:uid="{2B88A121-064A-4A8C-A1AB-ED3C735F28F8}" name="STATUS IUP" dataDxfId="35" dataCellStyle="Normal 2"/>
    <tableColumn id="11" xr3:uid="{633BAABD-C892-4677-8789-F0A77F4ECF1A}" name="CLOSING DATE ENEL" dataDxfId="34" dataCellStyle="Normal 2"/>
    <tableColumn id="12" xr3:uid="{AB2690B3-C56F-43D9-9046-4E51D3602126}" name="CLOSING DATE - ELECNOR" dataDxfId="33"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389157-04F4-4A95-B5BE-79B380936DE5}" name="CIRCUITO8" displayName="CIRCUITO8" ref="A1:L249" totalsRowShown="0" headerRowDxfId="32" headerRowBorderDxfId="31" tableBorderDxfId="30" headerRowCellStyle="Normal 2" dataCellStyle="Normal 2">
  <sortState xmlns:xlrd2="http://schemas.microsoft.com/office/spreadsheetml/2017/richdata2" ref="A2:L248">
    <sortCondition ref="F1:F249"/>
  </sortState>
  <tableColumns count="12">
    <tableColumn id="1" xr3:uid="{34B32EA6-9B3D-4F57-90FC-34321A7AB2D5}" name="ITEM ID" dataCellStyle="Normal 2"/>
    <tableColumn id="2" xr3:uid="{11D6659A-39BC-4FEF-863C-156BDC867089}" name="PART" dataCellStyle="Normal 2"/>
    <tableColumn id="3" xr3:uid="{919057BD-D67F-4389-820F-A941E53275DA}" name="SC" dataCellStyle="Normal 2"/>
    <tableColumn id="4" xr3:uid="{4D2DFDFF-B3F6-4567-9D0F-770A25331737}" name="FUNCTIONAL_PART" dataCellStyle="Normal 2"/>
    <tableColumn id="5" xr3:uid="{9CEA18EA-854A-4B13-80B6-C020CE091B30}" name="DESCRIPTION" dataCellStyle="Normal 2"/>
    <tableColumn id="6" xr3:uid="{17532961-5FE3-48A9-B70F-B8A0256CF3C1}" name="DETECTOR_ROLE" dataCellStyle="Normal 2"/>
    <tableColumn id="7" xr3:uid="{B2ACCEF2-476C-44AD-8D18-1567E4AFBAB2}" name="SUPPLIER NOTES" dataCellStyle="Normal 2"/>
    <tableColumn id="8" xr3:uid="{F3DC166A-3728-4DC8-845F-FF054A6CA448}" name="CLOSING NOTES" dataCellStyle="Normal 2"/>
    <tableColumn id="9" xr3:uid="{49FAF6A1-6248-48A7-9203-E1375BEB573D}" name="STATUS ELECNOR" dataCellStyle="Normal 2"/>
    <tableColumn id="10" xr3:uid="{1FCB2F0A-3800-495C-93CE-26BE1653D7F9}" name="STATUS IUP" dataCellStyle="Normal 2"/>
    <tableColumn id="11" xr3:uid="{A51B69BB-5D74-446C-BE38-5F7B0828D402}" name="CLOSING DATE ENEL" dataCellStyle="Normal 2"/>
    <tableColumn id="12" xr3:uid="{19E4A170-E7AE-425B-816F-4EA908777034}" name="CLOSING DATE - ELECNOR"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127BB9-19A5-4D43-84D6-7D6542774ABD}" name="CIRCUITO9" displayName="CIRCUITO9" ref="A1:L338" totalsRowShown="0" headerRowDxfId="29" headerRowBorderDxfId="28" tableBorderDxfId="27" headerRowCellStyle="Normal 2" dataCellStyle="Normal 2">
  <autoFilter ref="A1:L338" xr:uid="{66127BB9-19A5-4D43-84D6-7D6542774ABD}"/>
  <sortState xmlns:xlrd2="http://schemas.microsoft.com/office/spreadsheetml/2017/richdata2" ref="A6:L336">
    <sortCondition ref="C1:C338"/>
  </sortState>
  <tableColumns count="12">
    <tableColumn id="1" xr3:uid="{04A2DC1C-0EF6-4275-8636-4A13D9B79DF5}" name="ITEM ID" dataCellStyle="Normal 2"/>
    <tableColumn id="2" xr3:uid="{A630DE25-42D3-4CE7-94BC-F87B7EA6BE2E}" name="PART" dataCellStyle="Normal 2"/>
    <tableColumn id="3" xr3:uid="{E7AD30DB-09C4-41C4-A718-71F46758EC45}" name="SC" dataCellStyle="Normal 2"/>
    <tableColumn id="4" xr3:uid="{34C15C71-4C41-4E32-AD1E-F1F4179CDC97}" name="FUNCTIONAL_PART" dataCellStyle="Normal 2"/>
    <tableColumn id="5" xr3:uid="{ECCFE6B4-D9E5-4B3C-97B4-F5477EE58DDB}" name="DESCRIPTION" dataCellStyle="Normal 2"/>
    <tableColumn id="6" xr3:uid="{32235B53-799D-477D-8826-9AD946F5F66E}" name="DETECTOR_ROLE" dataCellStyle="Normal 2"/>
    <tableColumn id="7" xr3:uid="{AA1C27EE-70B8-42A5-AEF4-2DA13C3279CD}" name="SUPPLIER NOTES" dataCellStyle="Normal 2"/>
    <tableColumn id="8" xr3:uid="{3E65A65C-23BC-4EC6-8096-426B7C9D7A28}" name="CLOSING NOTES" dataCellStyle="Normal 2"/>
    <tableColumn id="9" xr3:uid="{13AD856E-AFEC-4C77-B8D0-10C6E05502DC}" name="STATUS ELECNOR" dataCellStyle="Normal 2"/>
    <tableColumn id="10" xr3:uid="{8DE2EC83-7D6B-4FDD-A6CB-8B2625F04CFF}" name="STATUS IUP" dataCellStyle="Normal 2"/>
    <tableColumn id="11" xr3:uid="{D19F7724-50B8-4E06-B4FC-F2D2085851C7}" name="CLOSING DATE ENEL" dataCellStyle="Normal 2"/>
    <tableColumn id="12" xr3:uid="{63CF683F-DAC3-4512-9C1C-537544421125}" name="CLOSING DATE - ELECNOR"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3FA0AB-511F-4A91-8EC2-A1FD6B47D365}" name="CIRCUITO10" displayName="CIRCUITO10" ref="A1:L366" totalsRowShown="0" headerRowDxfId="26" headerRowBorderDxfId="25" tableBorderDxfId="24" headerRowCellStyle="Normal 2" dataCellStyle="Normal 2">
  <autoFilter ref="A1:L366" xr:uid="{783FA0AB-511F-4A91-8EC2-A1FD6B47D365}"/>
  <sortState xmlns:xlrd2="http://schemas.microsoft.com/office/spreadsheetml/2017/richdata2" ref="A2:L323">
    <sortCondition ref="C1:C366"/>
  </sortState>
  <tableColumns count="12">
    <tableColumn id="1" xr3:uid="{B8E507B7-4084-463C-8024-4B0AD6F4CD38}" name="ITEM ID" dataCellStyle="Normal 2"/>
    <tableColumn id="2" xr3:uid="{99B8318F-B479-4B0A-B87E-4A76C7711556}" name="PART" dataCellStyle="Normal 2"/>
    <tableColumn id="3" xr3:uid="{154F42B6-8078-4D4E-AC28-29306D81F837}" name="SC" dataCellStyle="Normal 2"/>
    <tableColumn id="4" xr3:uid="{A29687E5-D974-4027-BCCA-75ADEAFD4C9B}" name="FUNCTIONAL_PART" dataCellStyle="Normal 2"/>
    <tableColumn id="5" xr3:uid="{318FD2AA-35E2-48D2-A37E-7AA6CAB17547}" name="DESCRIPTION" dataCellStyle="Normal 2"/>
    <tableColumn id="6" xr3:uid="{D26CB19D-2E86-4E89-951E-C84422FCE45D}" name="DETECTOR_ROLE" dataCellStyle="Normal 2"/>
    <tableColumn id="7" xr3:uid="{4FA6E043-618D-4E7A-8772-6E99F719C4FF}" name="SUPPLIER NOTES" dataCellStyle="Normal 2"/>
    <tableColumn id="8" xr3:uid="{F1F4623E-78EB-42FF-8E86-20AF4E25A5DB}" name="CLOSING NOTES" dataCellStyle="Normal 2"/>
    <tableColumn id="9" xr3:uid="{3E59A5C2-CC7B-4A44-BC30-5192E51632ED}" name="STATUS ELECNOR" dataCellStyle="Normal 2"/>
    <tableColumn id="10" xr3:uid="{5539A9D5-55D1-45FE-9F90-F13C790E142B}" name="STATUS IUP" dataCellStyle="Normal 2"/>
    <tableColumn id="11" xr3:uid="{4435DF15-46E8-4B8A-AA63-754F64DBF6C2}" name="CLOSING DATE ENEL" dataCellStyle="Normal 2"/>
    <tableColumn id="12" xr3:uid="{3357B9E8-42C4-4EC0-AD9C-46CEC8C08C07}" name="CLOSING DATE - ELECNOR" dataCellStyle="Normal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B53F13-23B1-40CB-99D0-ABF5B1CF97C8}" name="SEGEN" displayName="SEGEN" ref="B4:H9" totalsRowShown="0" headerRowDxfId="23" dataDxfId="22">
  <autoFilter ref="B4:H9" xr:uid="{02B53F13-23B1-40CB-99D0-ABF5B1CF97C8}"/>
  <tableColumns count="7">
    <tableColumn id="1" xr3:uid="{119BE549-5651-4BC8-A332-EB701DFD40B9}" name="ESTADO" dataDxfId="21"/>
    <tableColumn id="2" xr3:uid="{C139528E-DFC8-47BF-A0E2-FCEDA3B6715C}" name="CTO 5" dataDxfId="20"/>
    <tableColumn id="3" xr3:uid="{5CDA83EC-30BB-4F4D-A3E3-6C6A5B4CD55D}" name="CTO 8" dataDxfId="19"/>
    <tableColumn id="4" xr3:uid="{DD7DA9F9-1951-41F9-8002-F1DC04E280B0}" name="CTO 9" dataDxfId="18"/>
    <tableColumn id="5" xr3:uid="{CDD3E8AC-330C-4DB0-8281-4D74322D1E6F}" name="CTO 10" dataDxfId="17"/>
    <tableColumn id="6" xr3:uid="{2505A6F7-217F-4E25-8225-187B1C2B2691}" name="Otros" dataDxfId="16"/>
    <tableColumn id="7" xr3:uid="{2066CC8E-A732-4732-9578-E0D13C95E5A3}" name="Total" dataDxfId="1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DC675E-F19E-405D-AE53-AFB537272E52}" name="SEGSC8" displayName="SEGSC8" ref="B46:G69" totalsRowShown="0" headerRowDxfId="14">
  <autoFilter ref="B46:G69" xr:uid="{58DC675E-F19E-405D-AE53-AFB537272E52}"/>
  <tableColumns count="6">
    <tableColumn id="1" xr3:uid="{52A5ED1A-0C0F-4F4A-B9D9-67FDF8B60ECA}" name="Subcampo"/>
    <tableColumn id="2" xr3:uid="{DF81AFC7-47A9-4775-85D4-80E73B8C4809}" name="Items Totales" dataDxfId="13"/>
    <tableColumn id="3" xr3:uid="{B0EA49F6-2BC9-409B-BCD8-875BB6F0CBC5}" name="Atendidos por ELECNOR"/>
    <tableColumn id="4" xr3:uid="{B77909CC-0867-4B8C-ADA2-9A360687EC76}" name="Items Cerrados IUP"/>
    <tableColumn id="5" xr3:uid="{C7E15DB5-5E95-4F85-A156-F9D5D69041D9}" name="Items por revisión de ENEL"/>
    <tableColumn id="6" xr3:uid="{72629B4E-14C2-49BC-B793-606A745A7317}" name="Items Pendientes" dataDxfId="12">
      <calculatedColumnFormula>SEGSC8[[#This Row],[Items Totales]]-SEGSC8[[#This Row],[Atendidos por ELECNOR]]</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B21883-9294-4DD1-90DA-55518B43919B}" name="Tabla7" displayName="Tabla7" ref="B20:F36" totalsRowShown="0" dataDxfId="11">
  <autoFilter ref="B20:F36" xr:uid="{2DB21883-9294-4DD1-90DA-55518B43919B}"/>
  <tableColumns count="5">
    <tableColumn id="1" xr3:uid="{D8448639-A451-46BD-8FAE-8ED0AEB74FE2}" name="PART" dataDxfId="10" dataCellStyle="Normal 2"/>
    <tableColumn id="2" xr3:uid="{1C9CDB42-3166-4838-81D2-3EE8EEA27B93}" name="Cantidad" dataDxfId="9"/>
    <tableColumn id="3" xr3:uid="{BDCF6DC1-A5B1-42D8-8C2F-705DB0C3C065}" name="Cerrados" dataDxfId="8"/>
    <tableColumn id="4" xr3:uid="{82CED37D-BB24-4F25-80B9-2D9DA1C5F2E7}" name="Pendiente validación de ENEL" dataDxfId="7"/>
    <tableColumn id="5" xr3:uid="{48DC67E1-E388-4139-B30E-5D654F54B3EE}" name="Pendientes" dataDxfId="6">
      <calculatedColumnFormula>Tabla7[[#This Row],[Cantidad]]-Tabla7[[#This Row],[Cerrados]]-Tabla7[[#This Row],[Pendiente validación de ENEL]]</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04A053-99CB-4942-8004-13213F0B03A0}" name="Tabla711" displayName="Tabla711" ref="R20:V36" totalsRowShown="0" dataDxfId="5">
  <autoFilter ref="R20:V36" xr:uid="{AD04A053-99CB-4942-8004-13213F0B03A0}"/>
  <tableColumns count="5">
    <tableColumn id="1" xr3:uid="{B966CC61-7234-4FB5-A36E-B420A078F172}" name="PART" dataDxfId="4" dataCellStyle="Normal 2"/>
    <tableColumn id="2" xr3:uid="{93D1B586-E682-4FB1-B5B4-D5D6ED9B3510}" name="Cantidad" dataDxfId="3"/>
    <tableColumn id="3" xr3:uid="{26F193DE-850C-4434-82F8-0FDF8373510E}" name="Cerrados" dataDxfId="2"/>
    <tableColumn id="4" xr3:uid="{F1493A96-A404-4241-B554-A0CE853FF601}" name="Pendiente validación de ENEL" dataDxfId="1"/>
    <tableColumn id="5" xr3:uid="{F58C619E-CD95-47F2-BAC4-A0DCA9C76240}" name="Pendientes" dataDxfId="0">
      <calculatedColumnFormula>Tabla711[[#This Row],[Cantidad]]-Tabla711[[#This Row],[Cerrados]]-Tabla711[[#This Row],[Pendiente validación de ENEL]]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1.xml"/><Relationship Id="rId5" Type="http://schemas.openxmlformats.org/officeDocument/2006/relationships/table" Target="../tables/table10.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pivotTable" Target="../pivotTables/pivotTable5.xml"/><Relationship Id="rId7"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86"/>
  <sheetViews>
    <sheetView tabSelected="1" view="pageBreakPreview" zoomScaleNormal="70" zoomScaleSheetLayoutView="100" workbookViewId="0">
      <pane ySplit="1" topLeftCell="A61" activePane="bottomLeft" state="frozen"/>
      <selection pane="bottomLeft" activeCell="F1349" sqref="F1349"/>
    </sheetView>
  </sheetViews>
  <sheetFormatPr baseColWidth="10" defaultColWidth="9.1640625" defaultRowHeight="15" x14ac:dyDescent="0.2"/>
  <cols>
    <col min="1" max="1" width="11.1640625" customWidth="1"/>
    <col min="2" max="2" width="19.5" style="26" customWidth="1"/>
    <col min="3" max="3" width="6.6640625" style="26" bestFit="1" customWidth="1"/>
    <col min="4" max="4" width="7.1640625" customWidth="1"/>
    <col min="5" max="5" width="23.6640625" customWidth="1"/>
    <col min="6" max="6" width="46.5" style="26" customWidth="1"/>
    <col min="7" max="7" width="35" customWidth="1"/>
    <col min="8" max="8" width="42.1640625" customWidth="1"/>
    <col min="9" max="9" width="37.33203125" customWidth="1"/>
    <col min="10" max="10" width="9.83203125" customWidth="1"/>
    <col min="11" max="11" width="13.6640625" customWidth="1"/>
    <col min="12" max="12" width="12.1640625" customWidth="1"/>
    <col min="13" max="13" width="12.33203125" customWidth="1"/>
    <col min="14" max="14" width="11.6640625" customWidth="1"/>
    <col min="15" max="15" width="16.6640625" customWidth="1"/>
    <col min="16" max="16" width="21.1640625" customWidth="1"/>
    <col min="17" max="17" width="18.1640625" customWidth="1"/>
  </cols>
  <sheetData>
    <row r="1" spans="1:17" ht="16" x14ac:dyDescent="0.2">
      <c r="A1" s="29" t="s">
        <v>0</v>
      </c>
      <c r="B1" s="114" t="s">
        <v>1</v>
      </c>
      <c r="C1" s="114" t="s">
        <v>3492</v>
      </c>
      <c r="D1" s="30" t="s">
        <v>3374</v>
      </c>
      <c r="E1" s="31" t="s">
        <v>5</v>
      </c>
      <c r="F1" s="114" t="s">
        <v>2</v>
      </c>
      <c r="G1" s="32" t="s">
        <v>4</v>
      </c>
      <c r="H1" s="30" t="s">
        <v>3</v>
      </c>
      <c r="I1" s="30" t="s">
        <v>6</v>
      </c>
      <c r="J1" s="30" t="s">
        <v>3371</v>
      </c>
      <c r="K1" s="30" t="s">
        <v>3370</v>
      </c>
      <c r="L1" s="32" t="s">
        <v>3373</v>
      </c>
      <c r="M1" s="33" t="s">
        <v>3372</v>
      </c>
      <c r="N1" s="30" t="s">
        <v>3494</v>
      </c>
      <c r="O1" s="30" t="s">
        <v>3395</v>
      </c>
      <c r="P1" s="30" t="s">
        <v>3495</v>
      </c>
      <c r="Q1" s="30" t="s">
        <v>3496</v>
      </c>
    </row>
    <row r="2" spans="1:17" s="157" customFormat="1" ht="16" hidden="1" x14ac:dyDescent="0.2">
      <c r="A2" s="151" t="s">
        <v>1568</v>
      </c>
      <c r="B2" s="152" t="s">
        <v>929</v>
      </c>
      <c r="C2" s="153" t="s">
        <v>3390</v>
      </c>
      <c r="D2" s="153" t="s">
        <v>3390</v>
      </c>
      <c r="E2" s="154" t="s">
        <v>1310</v>
      </c>
      <c r="F2" s="152" t="s">
        <v>1378</v>
      </c>
      <c r="G2" s="154" t="s">
        <v>1290</v>
      </c>
      <c r="H2" s="154" t="s">
        <v>3454</v>
      </c>
      <c r="I2" s="154"/>
      <c r="J2" s="154" t="s">
        <v>74</v>
      </c>
      <c r="K2" s="154" t="s">
        <v>3394</v>
      </c>
      <c r="L2" s="155">
        <v>46303</v>
      </c>
      <c r="M2" s="156"/>
      <c r="N2" s="154" t="str">
        <f>IF(ISNUMBER(PL[[#This Row],[CTO]]),"CTO "&amp;PL[[#This Row],[CTO]],"Otros")</f>
        <v>Otros</v>
      </c>
      <c r="O2" s="154" t="str">
        <f>IF(PL[[#This Row],[STATUS IUP]]="CERRADO","CERRADO",IF(ISNUMBER(SEARCH("validacion de enel",PL[[#This Row],[SUPPLIER NOTES]])),"PTE Validar Enel","ABIERTO"))</f>
        <v>CERRADO</v>
      </c>
      <c r="P2" s="154" t="str">
        <f>IF(PL[[#This Row],[ESTADO]]="CERRADO","Cerrados IUP",IF(PL[[#This Row],[ESTADO]]="PTE Validar Enel","Pendiente cierre ENEL",IF(ISNUMBER(SEARCH("suministro",PL[[#This Row],[SUPPLIER NOTES]])),"Suministros",IF(PL[[#This Row],[SC]]="SOCIAL","Social",IF(ISNUMBER(SEARCH("monolito",PL[[#This Row],[DESCRIPTION]])),"Monolitos","Varios")))))</f>
        <v>Cerrados IUP</v>
      </c>
      <c r="Q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 spans="1:17" ht="16" hidden="1" x14ac:dyDescent="0.2">
      <c r="A3" s="86" t="s">
        <v>1309</v>
      </c>
      <c r="B3" s="115" t="s">
        <v>929</v>
      </c>
      <c r="C3" s="118" t="s">
        <v>3390</v>
      </c>
      <c r="D3" s="88" t="s">
        <v>3390</v>
      </c>
      <c r="E3" s="87" t="s">
        <v>1310</v>
      </c>
      <c r="F3" s="115" t="s">
        <v>1302</v>
      </c>
      <c r="G3" s="82" t="s">
        <v>1289</v>
      </c>
      <c r="H3" s="87" t="s">
        <v>3454</v>
      </c>
      <c r="I3" s="87"/>
      <c r="J3" s="87" t="s">
        <v>11</v>
      </c>
      <c r="K3" s="87" t="s">
        <v>3393</v>
      </c>
      <c r="L3" s="87"/>
      <c r="M3" s="89"/>
      <c r="N3" s="87" t="str">
        <f>IF(ISNUMBER(PL[[#This Row],[CTO]]),"CTO "&amp;PL[[#This Row],[CTO]],"Otros")</f>
        <v>Otros</v>
      </c>
      <c r="O3" s="87" t="str">
        <f>IF(PL[[#This Row],[STATUS IUP]]="CERRADO","CERRADO",IF(ISNUMBER(SEARCH("validacion de enel",PL[[#This Row],[SUPPLIER NOTES]])),"PTE Validar Enel","ABIERTO"))</f>
        <v>PTE Validar Enel</v>
      </c>
      <c r="P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 spans="1:17" s="157" customFormat="1" ht="16" hidden="1" x14ac:dyDescent="0.2">
      <c r="A4" s="151" t="s">
        <v>1447</v>
      </c>
      <c r="B4" s="152" t="s">
        <v>929</v>
      </c>
      <c r="C4" s="153" t="s">
        <v>3390</v>
      </c>
      <c r="D4" s="153" t="s">
        <v>3390</v>
      </c>
      <c r="E4" s="154" t="s">
        <v>1402</v>
      </c>
      <c r="F4" s="152" t="s">
        <v>1378</v>
      </c>
      <c r="G4" s="154" t="s">
        <v>1290</v>
      </c>
      <c r="H4" s="154" t="s">
        <v>3454</v>
      </c>
      <c r="I4" s="154"/>
      <c r="J4" s="154" t="s">
        <v>74</v>
      </c>
      <c r="K4" s="154" t="s">
        <v>3394</v>
      </c>
      <c r="L4" s="155">
        <v>46303</v>
      </c>
      <c r="M4" s="156"/>
      <c r="N4" s="154" t="str">
        <f>IF(ISNUMBER(PL[[#This Row],[CTO]]),"CTO "&amp;PL[[#This Row],[CTO]],"Otros")</f>
        <v>Otros</v>
      </c>
      <c r="O4" s="154" t="str">
        <f>IF(PL[[#This Row],[STATUS IUP]]="CERRADO","CERRADO",IF(ISNUMBER(SEARCH("validacion de enel",PL[[#This Row],[SUPPLIER NOTES]])),"PTE Validar Enel","ABIERTO"))</f>
        <v>CERRADO</v>
      </c>
      <c r="P4" s="154" t="str">
        <f>IF(PL[[#This Row],[ESTADO]]="CERRADO","Cerrados IUP",IF(PL[[#This Row],[ESTADO]]="PTE Validar Enel","Pendiente cierre ENEL",IF(ISNUMBER(SEARCH("suministro",PL[[#This Row],[SUPPLIER NOTES]])),"Suministros",IF(PL[[#This Row],[SC]]="SOCIAL","Social",IF(ISNUMBER(SEARCH("monolito",PL[[#This Row],[DESCRIPTION]])),"Monolitos","Varios")))))</f>
        <v>Cerrados IUP</v>
      </c>
      <c r="Q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 spans="1:17" s="157" customFormat="1" ht="16" hidden="1" x14ac:dyDescent="0.2">
      <c r="A5" s="151" t="s">
        <v>1443</v>
      </c>
      <c r="B5" s="152" t="s">
        <v>929</v>
      </c>
      <c r="C5" s="153" t="s">
        <v>3390</v>
      </c>
      <c r="D5" s="153" t="s">
        <v>3390</v>
      </c>
      <c r="E5" s="154" t="s">
        <v>1444</v>
      </c>
      <c r="F5" s="152" t="s">
        <v>1378</v>
      </c>
      <c r="G5" s="154" t="s">
        <v>1290</v>
      </c>
      <c r="H5" s="154" t="s">
        <v>3454</v>
      </c>
      <c r="I5" s="154"/>
      <c r="J5" s="154" t="s">
        <v>74</v>
      </c>
      <c r="K5" s="154" t="s">
        <v>3394</v>
      </c>
      <c r="L5" s="155">
        <v>46303</v>
      </c>
      <c r="M5" s="156"/>
      <c r="N5" s="154" t="str">
        <f>IF(ISNUMBER(PL[[#This Row],[CTO]]),"CTO "&amp;PL[[#This Row],[CTO]],"Otros")</f>
        <v>Otros</v>
      </c>
      <c r="O5" s="154" t="str">
        <f>IF(PL[[#This Row],[STATUS IUP]]="CERRADO","CERRADO",IF(ISNUMBER(SEARCH("validacion de enel",PL[[#This Row],[SUPPLIER NOTES]])),"PTE Validar Enel","ABIERTO"))</f>
        <v>CERRADO</v>
      </c>
      <c r="P5" s="154" t="str">
        <f>IF(PL[[#This Row],[ESTADO]]="CERRADO","Cerrados IUP",IF(PL[[#This Row],[ESTADO]]="PTE Validar Enel","Pendiente cierre ENEL",IF(ISNUMBER(SEARCH("suministro",PL[[#This Row],[SUPPLIER NOTES]])),"Suministros",IF(PL[[#This Row],[SC]]="SOCIAL","Social",IF(ISNUMBER(SEARCH("monolito",PL[[#This Row],[DESCRIPTION]])),"Monolitos","Varios")))))</f>
        <v>Cerrados IUP</v>
      </c>
      <c r="Q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 spans="1:17" ht="16" hidden="1" x14ac:dyDescent="0.2">
      <c r="A6" s="86" t="s">
        <v>1300</v>
      </c>
      <c r="B6" s="115" t="s">
        <v>929</v>
      </c>
      <c r="C6" s="118" t="s">
        <v>3390</v>
      </c>
      <c r="D6" s="88" t="s">
        <v>3390</v>
      </c>
      <c r="E6" s="87" t="s">
        <v>1301</v>
      </c>
      <c r="F6" s="115" t="s">
        <v>1302</v>
      </c>
      <c r="G6" s="82" t="s">
        <v>1289</v>
      </c>
      <c r="H6" s="87" t="s">
        <v>3454</v>
      </c>
      <c r="I6" s="87"/>
      <c r="J6" s="87" t="s">
        <v>11</v>
      </c>
      <c r="K6" s="87" t="s">
        <v>3393</v>
      </c>
      <c r="L6" s="87"/>
      <c r="M6" s="89"/>
      <c r="N6" s="87" t="str">
        <f>IF(ISNUMBER(PL[[#This Row],[CTO]]),"CTO "&amp;PL[[#This Row],[CTO]],"Otros")</f>
        <v>Otros</v>
      </c>
      <c r="O6" s="87" t="str">
        <f>IF(PL[[#This Row],[STATUS IUP]]="CERRADO","CERRADO",IF(ISNUMBER(SEARCH("validacion de enel",PL[[#This Row],[SUPPLIER NOTES]])),"PTE Validar Enel","ABIERTO"))</f>
        <v>PTE Validar Enel</v>
      </c>
      <c r="P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 spans="1:17" ht="16" hidden="1" x14ac:dyDescent="0.2">
      <c r="A7" s="86" t="s">
        <v>2056</v>
      </c>
      <c r="B7" s="115" t="s">
        <v>929</v>
      </c>
      <c r="C7" s="118" t="s">
        <v>3390</v>
      </c>
      <c r="D7" s="88" t="s">
        <v>3390</v>
      </c>
      <c r="E7" s="87" t="s">
        <v>2057</v>
      </c>
      <c r="F7" s="115" t="s">
        <v>1302</v>
      </c>
      <c r="G7" s="82" t="s">
        <v>1289</v>
      </c>
      <c r="H7" s="87" t="s">
        <v>3454</v>
      </c>
      <c r="I7" s="87"/>
      <c r="J7" s="87" t="s">
        <v>11</v>
      </c>
      <c r="K7" s="87" t="s">
        <v>3393</v>
      </c>
      <c r="L7" s="87"/>
      <c r="M7" s="89"/>
      <c r="N7" s="87" t="str">
        <f>IF(ISNUMBER(PL[[#This Row],[CTO]]),"CTO "&amp;PL[[#This Row],[CTO]],"Otros")</f>
        <v>Otros</v>
      </c>
      <c r="O7" s="87" t="str">
        <f>IF(PL[[#This Row],[STATUS IUP]]="CERRADO","CERRADO",IF(ISNUMBER(SEARCH("validacion de enel",PL[[#This Row],[SUPPLIER NOTES]])),"PTE Validar Enel","ABIERTO"))</f>
        <v>PTE Validar Enel</v>
      </c>
      <c r="P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 spans="1:17" s="157" customFormat="1" hidden="1" x14ac:dyDescent="0.2">
      <c r="A8" s="151" t="s">
        <v>2524</v>
      </c>
      <c r="B8" s="154" t="s">
        <v>929</v>
      </c>
      <c r="C8" s="153" t="s">
        <v>3390</v>
      </c>
      <c r="D8" s="153" t="s">
        <v>3390</v>
      </c>
      <c r="E8" s="154" t="s">
        <v>2525</v>
      </c>
      <c r="F8" s="154" t="s">
        <v>1376</v>
      </c>
      <c r="G8" s="154" t="s">
        <v>216</v>
      </c>
      <c r="H8" s="154"/>
      <c r="I8" s="154"/>
      <c r="J8" s="154" t="s">
        <v>74</v>
      </c>
      <c r="K8" s="154" t="s">
        <v>3394</v>
      </c>
      <c r="L8" s="154"/>
      <c r="M8" s="160">
        <v>46137</v>
      </c>
      <c r="N8" s="154" t="str">
        <f>IF(ISNUMBER(PL[[#This Row],[CTO]]),"CTO "&amp;PL[[#This Row],[CTO]],"Otros")</f>
        <v>Otros</v>
      </c>
      <c r="O8" s="154" t="str">
        <f>IF(PL[[#This Row],[STATUS IUP]]="CERRADO","CERRADO",IF(ISNUMBER(SEARCH("validacion de enel",PL[[#This Row],[SUPPLIER NOTES]])),"PTE Validar Enel","ABIERTO"))</f>
        <v>CERRADO</v>
      </c>
      <c r="P8" s="154" t="str">
        <f>IF(PL[[#This Row],[ESTADO]]="CERRADO","Cerrados IUP",IF(PL[[#This Row],[ESTADO]]="PTE Validar Enel","Pendiente cierre ENEL",IF(ISNUMBER(SEARCH("suministro",PL[[#This Row],[SUPPLIER NOTES]])),"Suministros",IF(PL[[#This Row],[SC]]="SOCIAL","Social",IF(ISNUMBER(SEARCH("monolito",PL[[#This Row],[DESCRIPTION]])),"Monolitos","Varios")))))</f>
        <v>Cerrados IUP</v>
      </c>
      <c r="Q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 spans="1:17" s="157" customFormat="1" hidden="1" x14ac:dyDescent="0.2">
      <c r="A9" s="151" t="s">
        <v>2526</v>
      </c>
      <c r="B9" s="154" t="s">
        <v>929</v>
      </c>
      <c r="C9" s="153" t="s">
        <v>3390</v>
      </c>
      <c r="D9" s="153" t="s">
        <v>3390</v>
      </c>
      <c r="E9" s="154" t="s">
        <v>2527</v>
      </c>
      <c r="F9" s="154" t="s">
        <v>2528</v>
      </c>
      <c r="G9" s="154" t="s">
        <v>1289</v>
      </c>
      <c r="H9" s="154"/>
      <c r="I9" s="154"/>
      <c r="J9" s="154" t="s">
        <v>74</v>
      </c>
      <c r="K9" s="154" t="s">
        <v>3394</v>
      </c>
      <c r="L9" s="154"/>
      <c r="M9" s="160">
        <v>46137</v>
      </c>
      <c r="N9" s="154" t="str">
        <f>IF(ISNUMBER(PL[[#This Row],[CTO]]),"CTO "&amp;PL[[#This Row],[CTO]],"Otros")</f>
        <v>Otros</v>
      </c>
      <c r="O9" s="154" t="str">
        <f>IF(PL[[#This Row],[STATUS IUP]]="CERRADO","CERRADO",IF(ISNUMBER(SEARCH("validacion de enel",PL[[#This Row],[SUPPLIER NOTES]])),"PTE Validar Enel","ABIERTO"))</f>
        <v>CERRADO</v>
      </c>
      <c r="P9" s="154" t="str">
        <f>IF(PL[[#This Row],[ESTADO]]="CERRADO","Cerrados IUP",IF(PL[[#This Row],[ESTADO]]="PTE Validar Enel","Pendiente cierre ENEL",IF(ISNUMBER(SEARCH("suministro",PL[[#This Row],[SUPPLIER NOTES]])),"Suministros",IF(PL[[#This Row],[SC]]="SOCIAL","Social",IF(ISNUMBER(SEARCH("monolito",PL[[#This Row],[DESCRIPTION]])),"Monolitos","Varios")))))</f>
        <v>Cerrados IUP</v>
      </c>
      <c r="Q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 spans="1:17" s="157" customFormat="1" ht="16" hidden="1" x14ac:dyDescent="0.2">
      <c r="A10" s="151" t="s">
        <v>3233</v>
      </c>
      <c r="B10" s="152" t="s">
        <v>47</v>
      </c>
      <c r="C10" s="153" t="s">
        <v>3390</v>
      </c>
      <c r="D10" s="153" t="s">
        <v>3390</v>
      </c>
      <c r="E10" s="154" t="s">
        <v>3234</v>
      </c>
      <c r="F10" s="152" t="s">
        <v>2370</v>
      </c>
      <c r="G10" s="154" t="s">
        <v>1290</v>
      </c>
      <c r="H10" s="154"/>
      <c r="I10" s="154"/>
      <c r="J10" s="154" t="s">
        <v>74</v>
      </c>
      <c r="K10" s="154" t="s">
        <v>3394</v>
      </c>
      <c r="L10" s="155">
        <v>46293</v>
      </c>
      <c r="M10" s="160">
        <v>46137</v>
      </c>
      <c r="N10" s="154" t="str">
        <f>IF(ISNUMBER(PL[[#This Row],[CTO]]),"CTO "&amp;PL[[#This Row],[CTO]],"Otros")</f>
        <v>Otros</v>
      </c>
      <c r="O10" s="154" t="str">
        <f>IF(PL[[#This Row],[STATUS IUP]]="CERRADO","CERRADO",IF(ISNUMBER(SEARCH("validacion de enel",PL[[#This Row],[SUPPLIER NOTES]])),"PTE Validar Enel","ABIERTO"))</f>
        <v>CERRADO</v>
      </c>
      <c r="P10" s="154" t="str">
        <f>IF(PL[[#This Row],[ESTADO]]="CERRADO","Cerrados IUP",IF(PL[[#This Row],[ESTADO]]="PTE Validar Enel","Pendiente cierre ENEL",IF(ISNUMBER(SEARCH("suministro",PL[[#This Row],[SUPPLIER NOTES]])),"Suministros",IF(PL[[#This Row],[SC]]="SOCIAL","Social",IF(ISNUMBER(SEARCH("monolito",PL[[#This Row],[DESCRIPTION]])),"Monolitos","Varios")))))</f>
        <v>Cerrados IUP</v>
      </c>
      <c r="Q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 spans="1:17" s="157" customFormat="1" ht="16" hidden="1" x14ac:dyDescent="0.2">
      <c r="A11" s="151" t="s">
        <v>3010</v>
      </c>
      <c r="B11" s="152" t="s">
        <v>47</v>
      </c>
      <c r="C11" s="153" t="s">
        <v>3390</v>
      </c>
      <c r="D11" s="153" t="s">
        <v>3390</v>
      </c>
      <c r="E11" s="154" t="s">
        <v>3011</v>
      </c>
      <c r="F11" s="152" t="s">
        <v>2469</v>
      </c>
      <c r="G11" s="154" t="s">
        <v>1290</v>
      </c>
      <c r="H11" s="154"/>
      <c r="I11" s="154"/>
      <c r="J11" s="154" t="s">
        <v>74</v>
      </c>
      <c r="K11" s="154" t="s">
        <v>3394</v>
      </c>
      <c r="L11" s="155">
        <v>46293</v>
      </c>
      <c r="M11" s="160">
        <v>46137</v>
      </c>
      <c r="N11" s="154" t="str">
        <f>IF(ISNUMBER(PL[[#This Row],[CTO]]),"CTO "&amp;PL[[#This Row],[CTO]],"Otros")</f>
        <v>Otros</v>
      </c>
      <c r="O11" s="154" t="str">
        <f>IF(PL[[#This Row],[STATUS IUP]]="CERRADO","CERRADO",IF(ISNUMBER(SEARCH("validacion de enel",PL[[#This Row],[SUPPLIER NOTES]])),"PTE Validar Enel","ABIERTO"))</f>
        <v>CERRADO</v>
      </c>
      <c r="P11" s="154" t="str">
        <f>IF(PL[[#This Row],[ESTADO]]="CERRADO","Cerrados IUP",IF(PL[[#This Row],[ESTADO]]="PTE Validar Enel","Pendiente cierre ENEL",IF(ISNUMBER(SEARCH("suministro",PL[[#This Row],[SUPPLIER NOTES]])),"Suministros",IF(PL[[#This Row],[SC]]="SOCIAL","Social",IF(ISNUMBER(SEARCH("monolito",PL[[#This Row],[DESCRIPTION]])),"Monolitos","Varios")))))</f>
        <v>Cerrados IUP</v>
      </c>
      <c r="Q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 spans="1:17" s="157" customFormat="1" hidden="1" x14ac:dyDescent="0.2">
      <c r="A12" s="151" t="s">
        <v>2060</v>
      </c>
      <c r="B12" s="154" t="s">
        <v>929</v>
      </c>
      <c r="C12" s="153" t="s">
        <v>3390</v>
      </c>
      <c r="D12" s="153" t="s">
        <v>3390</v>
      </c>
      <c r="E12" s="154" t="s">
        <v>1310</v>
      </c>
      <c r="F12" s="154" t="s">
        <v>1312</v>
      </c>
      <c r="G12" s="154" t="s">
        <v>1290</v>
      </c>
      <c r="H12" s="154"/>
      <c r="I12" s="154"/>
      <c r="J12" s="154" t="s">
        <v>74</v>
      </c>
      <c r="K12" s="154" t="s">
        <v>3394</v>
      </c>
      <c r="L12" s="154"/>
      <c r="M12" s="156"/>
      <c r="N12" s="154" t="str">
        <f>IF(ISNUMBER(PL[[#This Row],[CTO]]),"CTO "&amp;PL[[#This Row],[CTO]],"Otros")</f>
        <v>Otros</v>
      </c>
      <c r="O12" s="154" t="str">
        <f>IF(PL[[#This Row],[STATUS IUP]]="CERRADO","CERRADO",IF(ISNUMBER(SEARCH("validacion de enel",PL[[#This Row],[SUPPLIER NOTES]])),"PTE Validar Enel","ABIERTO"))</f>
        <v>CERRADO</v>
      </c>
      <c r="P12" s="154" t="str">
        <f>IF(PL[[#This Row],[ESTADO]]="CERRADO","Cerrados IUP",IF(PL[[#This Row],[ESTADO]]="PTE Validar Enel","Pendiente cierre ENEL",IF(ISNUMBER(SEARCH("suministro",PL[[#This Row],[SUPPLIER NOTES]])),"Suministros",IF(PL[[#This Row],[SC]]="SOCIAL","Social",IF(ISNUMBER(SEARCH("monolito",PL[[#This Row],[DESCRIPTION]])),"Monolitos","Varios")))))</f>
        <v>Cerrados IUP</v>
      </c>
      <c r="Q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 spans="1:17" s="157" customFormat="1" hidden="1" x14ac:dyDescent="0.2">
      <c r="A13" s="151" t="s">
        <v>1397</v>
      </c>
      <c r="B13" s="154" t="s">
        <v>929</v>
      </c>
      <c r="C13" s="153" t="s">
        <v>3390</v>
      </c>
      <c r="D13" s="153" t="s">
        <v>3390</v>
      </c>
      <c r="E13" s="154" t="s">
        <v>1310</v>
      </c>
      <c r="F13" s="154" t="s">
        <v>1308</v>
      </c>
      <c r="G13" s="154" t="s">
        <v>1290</v>
      </c>
      <c r="H13" s="154"/>
      <c r="I13" s="154"/>
      <c r="J13" s="154" t="s">
        <v>74</v>
      </c>
      <c r="K13" s="154" t="s">
        <v>3394</v>
      </c>
      <c r="L13" s="154"/>
      <c r="M13" s="156"/>
      <c r="N13" s="154" t="str">
        <f>IF(ISNUMBER(PL[[#This Row],[CTO]]),"CTO "&amp;PL[[#This Row],[CTO]],"Otros")</f>
        <v>Otros</v>
      </c>
      <c r="O13" s="154" t="str">
        <f>IF(PL[[#This Row],[STATUS IUP]]="CERRADO","CERRADO",IF(ISNUMBER(SEARCH("validacion de enel",PL[[#This Row],[SUPPLIER NOTES]])),"PTE Validar Enel","ABIERTO"))</f>
        <v>CERRADO</v>
      </c>
      <c r="P13" s="154" t="str">
        <f>IF(PL[[#This Row],[ESTADO]]="CERRADO","Cerrados IUP",IF(PL[[#This Row],[ESTADO]]="PTE Validar Enel","Pendiente cierre ENEL",IF(ISNUMBER(SEARCH("suministro",PL[[#This Row],[SUPPLIER NOTES]])),"Suministros",IF(PL[[#This Row],[SC]]="SOCIAL","Social",IF(ISNUMBER(SEARCH("monolito",PL[[#This Row],[DESCRIPTION]])),"Monolitos","Varios")))))</f>
        <v>Cerrados IUP</v>
      </c>
      <c r="Q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 spans="1:17" s="157" customFormat="1" hidden="1" x14ac:dyDescent="0.2">
      <c r="A14" s="151" t="s">
        <v>1570</v>
      </c>
      <c r="B14" s="154" t="s">
        <v>929</v>
      </c>
      <c r="C14" s="153" t="s">
        <v>3390</v>
      </c>
      <c r="D14" s="153" t="s">
        <v>3390</v>
      </c>
      <c r="E14" s="154" t="s">
        <v>1310</v>
      </c>
      <c r="F14" s="154" t="s">
        <v>1400</v>
      </c>
      <c r="G14" s="154" t="s">
        <v>1289</v>
      </c>
      <c r="H14" s="154"/>
      <c r="I14" s="154"/>
      <c r="J14" s="154" t="s">
        <v>74</v>
      </c>
      <c r="K14" s="154" t="s">
        <v>3394</v>
      </c>
      <c r="L14" s="154"/>
      <c r="M14" s="156"/>
      <c r="N14" s="154" t="str">
        <f>IF(ISNUMBER(PL[[#This Row],[CTO]]),"CTO "&amp;PL[[#This Row],[CTO]],"Otros")</f>
        <v>Otros</v>
      </c>
      <c r="O14" s="154" t="str">
        <f>IF(PL[[#This Row],[STATUS IUP]]="CERRADO","CERRADO",IF(ISNUMBER(SEARCH("validacion de enel",PL[[#This Row],[SUPPLIER NOTES]])),"PTE Validar Enel","ABIERTO"))</f>
        <v>CERRADO</v>
      </c>
      <c r="P14" s="154" t="str">
        <f>IF(PL[[#This Row],[ESTADO]]="CERRADO","Cerrados IUP",IF(PL[[#This Row],[ESTADO]]="PTE Validar Enel","Pendiente cierre ENEL",IF(ISNUMBER(SEARCH("suministro",PL[[#This Row],[SUPPLIER NOTES]])),"Suministros",IF(PL[[#This Row],[SC]]="SOCIAL","Social",IF(ISNUMBER(SEARCH("monolito",PL[[#This Row],[DESCRIPTION]])),"Monolitos","Varios")))))</f>
        <v>Cerrados IUP</v>
      </c>
      <c r="Q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 spans="1:17" s="157" customFormat="1" hidden="1" x14ac:dyDescent="0.2">
      <c r="A15" s="151" t="s">
        <v>1567</v>
      </c>
      <c r="B15" s="154" t="s">
        <v>929</v>
      </c>
      <c r="C15" s="153" t="s">
        <v>3390</v>
      </c>
      <c r="D15" s="153" t="s">
        <v>3390</v>
      </c>
      <c r="E15" s="154" t="s">
        <v>1310</v>
      </c>
      <c r="F15" s="154" t="s">
        <v>1376</v>
      </c>
      <c r="G15" s="154" t="s">
        <v>216</v>
      </c>
      <c r="H15" s="154"/>
      <c r="I15" s="154"/>
      <c r="J15" s="154" t="s">
        <v>74</v>
      </c>
      <c r="K15" s="154" t="s">
        <v>3394</v>
      </c>
      <c r="L15" s="154"/>
      <c r="M15" s="156"/>
      <c r="N15" s="154" t="str">
        <f>IF(ISNUMBER(PL[[#This Row],[CTO]]),"CTO "&amp;PL[[#This Row],[CTO]],"Otros")</f>
        <v>Otros</v>
      </c>
      <c r="O15" s="154" t="str">
        <f>IF(PL[[#This Row],[STATUS IUP]]="CERRADO","CERRADO",IF(ISNUMBER(SEARCH("validacion de enel",PL[[#This Row],[SUPPLIER NOTES]])),"PTE Validar Enel","ABIERTO"))</f>
        <v>CERRADO</v>
      </c>
      <c r="P15" s="154" t="str">
        <f>IF(PL[[#This Row],[ESTADO]]="CERRADO","Cerrados IUP",IF(PL[[#This Row],[ESTADO]]="PTE Validar Enel","Pendiente cierre ENEL",IF(ISNUMBER(SEARCH("suministro",PL[[#This Row],[SUPPLIER NOTES]])),"Suministros",IF(PL[[#This Row],[SC]]="SOCIAL","Social",IF(ISNUMBER(SEARCH("monolito",PL[[#This Row],[DESCRIPTION]])),"Monolitos","Varios")))))</f>
        <v>Cerrados IUP</v>
      </c>
      <c r="Q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 spans="1:17" s="157" customFormat="1" hidden="1" x14ac:dyDescent="0.2">
      <c r="A16" s="151" t="s">
        <v>1401</v>
      </c>
      <c r="B16" s="154" t="s">
        <v>929</v>
      </c>
      <c r="C16" s="153" t="s">
        <v>3390</v>
      </c>
      <c r="D16" s="153" t="s">
        <v>3390</v>
      </c>
      <c r="E16" s="154" t="s">
        <v>1402</v>
      </c>
      <c r="F16" s="154" t="s">
        <v>1312</v>
      </c>
      <c r="G16" s="154" t="s">
        <v>1290</v>
      </c>
      <c r="H16" s="154"/>
      <c r="I16" s="154"/>
      <c r="J16" s="154" t="s">
        <v>74</v>
      </c>
      <c r="K16" s="154" t="s">
        <v>3394</v>
      </c>
      <c r="L16" s="154"/>
      <c r="M16" s="156"/>
      <c r="N16" s="154" t="str">
        <f>IF(ISNUMBER(PL[[#This Row],[CTO]]),"CTO "&amp;PL[[#This Row],[CTO]],"Otros")</f>
        <v>Otros</v>
      </c>
      <c r="O16" s="154" t="str">
        <f>IF(PL[[#This Row],[STATUS IUP]]="CERRADO","CERRADO",IF(ISNUMBER(SEARCH("validacion de enel",PL[[#This Row],[SUPPLIER NOTES]])),"PTE Validar Enel","ABIERTO"))</f>
        <v>CERRADO</v>
      </c>
      <c r="P16" s="154" t="str">
        <f>IF(PL[[#This Row],[ESTADO]]="CERRADO","Cerrados IUP",IF(PL[[#This Row],[ESTADO]]="PTE Validar Enel","Pendiente cierre ENEL",IF(ISNUMBER(SEARCH("suministro",PL[[#This Row],[SUPPLIER NOTES]])),"Suministros",IF(PL[[#This Row],[SC]]="SOCIAL","Social",IF(ISNUMBER(SEARCH("monolito",PL[[#This Row],[DESCRIPTION]])),"Monolitos","Varios")))))</f>
        <v>Cerrados IUP</v>
      </c>
      <c r="Q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 spans="1:17" s="157" customFormat="1" hidden="1" x14ac:dyDescent="0.2">
      <c r="A17" s="151" t="s">
        <v>1829</v>
      </c>
      <c r="B17" s="154" t="s">
        <v>929</v>
      </c>
      <c r="C17" s="153" t="s">
        <v>3390</v>
      </c>
      <c r="D17" s="153" t="s">
        <v>3390</v>
      </c>
      <c r="E17" s="154" t="s">
        <v>1402</v>
      </c>
      <c r="F17" s="154" t="s">
        <v>1308</v>
      </c>
      <c r="G17" s="154" t="s">
        <v>1290</v>
      </c>
      <c r="H17" s="154"/>
      <c r="I17" s="154"/>
      <c r="J17" s="154" t="s">
        <v>74</v>
      </c>
      <c r="K17" s="154" t="s">
        <v>3394</v>
      </c>
      <c r="L17" s="154"/>
      <c r="M17" s="156"/>
      <c r="N17" s="154" t="str">
        <f>IF(ISNUMBER(PL[[#This Row],[CTO]]),"CTO "&amp;PL[[#This Row],[CTO]],"Otros")</f>
        <v>Otros</v>
      </c>
      <c r="O17" s="154" t="str">
        <f>IF(PL[[#This Row],[STATUS IUP]]="CERRADO","CERRADO",IF(ISNUMBER(SEARCH("validacion de enel",PL[[#This Row],[SUPPLIER NOTES]])),"PTE Validar Enel","ABIERTO"))</f>
        <v>CERRADO</v>
      </c>
      <c r="P17" s="154" t="str">
        <f>IF(PL[[#This Row],[ESTADO]]="CERRADO","Cerrados IUP",IF(PL[[#This Row],[ESTADO]]="PTE Validar Enel","Pendiente cierre ENEL",IF(ISNUMBER(SEARCH("suministro",PL[[#This Row],[SUPPLIER NOTES]])),"Suministros",IF(PL[[#This Row],[SC]]="SOCIAL","Social",IF(ISNUMBER(SEARCH("monolito",PL[[#This Row],[DESCRIPTION]])),"Monolitos","Varios")))))</f>
        <v>Cerrados IUP</v>
      </c>
      <c r="Q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 spans="1:17" s="157" customFormat="1" ht="32" hidden="1" x14ac:dyDescent="0.2">
      <c r="A18" s="151" t="s">
        <v>2986</v>
      </c>
      <c r="B18" s="152" t="s">
        <v>290</v>
      </c>
      <c r="C18" s="153" t="s">
        <v>3390</v>
      </c>
      <c r="D18" s="153" t="s">
        <v>3390</v>
      </c>
      <c r="E18" s="154" t="s">
        <v>2987</v>
      </c>
      <c r="F18" s="152" t="s">
        <v>2988</v>
      </c>
      <c r="G18" s="154" t="s">
        <v>291</v>
      </c>
      <c r="H18" s="154" t="s">
        <v>3454</v>
      </c>
      <c r="I18" s="154"/>
      <c r="J18" s="154" t="s">
        <v>74</v>
      </c>
      <c r="K18" s="154" t="s">
        <v>3394</v>
      </c>
      <c r="L18" s="155">
        <v>46303</v>
      </c>
      <c r="M18" s="156"/>
      <c r="N18" s="154" t="str">
        <f>IF(ISNUMBER(PL[[#This Row],[CTO]]),"CTO "&amp;PL[[#This Row],[CTO]],"Otros")</f>
        <v>Otros</v>
      </c>
      <c r="O18" s="154" t="str">
        <f>IF(PL[[#This Row],[STATUS IUP]]="CERRADO","CERRADO",IF(ISNUMBER(SEARCH("validacion de enel",PL[[#This Row],[SUPPLIER NOTES]])),"PTE Validar Enel","ABIERTO"))</f>
        <v>CERRADO</v>
      </c>
      <c r="P18" s="154" t="str">
        <f>IF(PL[[#This Row],[ESTADO]]="CERRADO","Cerrados IUP",IF(PL[[#This Row],[ESTADO]]="PTE Validar Enel","Pendiente cierre ENEL",IF(ISNUMBER(SEARCH("suministro",PL[[#This Row],[SUPPLIER NOTES]])),"Suministros",IF(PL[[#This Row],[SC]]="SOCIAL","Social",IF(ISNUMBER(SEARCH("monolito",PL[[#This Row],[DESCRIPTION]])),"Monolitos","Varios")))))</f>
        <v>Cerrados IUP</v>
      </c>
      <c r="Q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 spans="1:17" s="157" customFormat="1" hidden="1" x14ac:dyDescent="0.2">
      <c r="A19" s="151" t="s">
        <v>2946</v>
      </c>
      <c r="B19" s="154" t="s">
        <v>929</v>
      </c>
      <c r="C19" s="153" t="s">
        <v>3390</v>
      </c>
      <c r="D19" s="153" t="s">
        <v>3390</v>
      </c>
      <c r="E19" s="154" t="s">
        <v>1402</v>
      </c>
      <c r="F19" s="154" t="s">
        <v>1400</v>
      </c>
      <c r="G19" s="154" t="s">
        <v>1289</v>
      </c>
      <c r="H19" s="154"/>
      <c r="I19" s="154"/>
      <c r="J19" s="154" t="s">
        <v>74</v>
      </c>
      <c r="K19" s="154" t="s">
        <v>3394</v>
      </c>
      <c r="L19" s="154"/>
      <c r="M19" s="156"/>
      <c r="N19" s="154" t="str">
        <f>IF(ISNUMBER(PL[[#This Row],[CTO]]),"CTO "&amp;PL[[#This Row],[CTO]],"Otros")</f>
        <v>Otros</v>
      </c>
      <c r="O19" s="154" t="str">
        <f>IF(PL[[#This Row],[STATUS IUP]]="CERRADO","CERRADO",IF(ISNUMBER(SEARCH("validacion de enel",PL[[#This Row],[SUPPLIER NOTES]])),"PTE Validar Enel","ABIERTO"))</f>
        <v>CERRADO</v>
      </c>
      <c r="P19" s="154" t="str">
        <f>IF(PL[[#This Row],[ESTADO]]="CERRADO","Cerrados IUP",IF(PL[[#This Row],[ESTADO]]="PTE Validar Enel","Pendiente cierre ENEL",IF(ISNUMBER(SEARCH("suministro",PL[[#This Row],[SUPPLIER NOTES]])),"Suministros",IF(PL[[#This Row],[SC]]="SOCIAL","Social",IF(ISNUMBER(SEARCH("monolito",PL[[#This Row],[DESCRIPTION]])),"Monolitos","Varios")))))</f>
        <v>Cerrados IUP</v>
      </c>
      <c r="Q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0" spans="1:17" s="157" customFormat="1" hidden="1" x14ac:dyDescent="0.2">
      <c r="A20" s="151" t="s">
        <v>1893</v>
      </c>
      <c r="B20" s="154" t="s">
        <v>929</v>
      </c>
      <c r="C20" s="153" t="s">
        <v>3390</v>
      </c>
      <c r="D20" s="153" t="s">
        <v>3390</v>
      </c>
      <c r="E20" s="154" t="s">
        <v>1402</v>
      </c>
      <c r="F20" s="154" t="s">
        <v>1302</v>
      </c>
      <c r="G20" s="154" t="s">
        <v>1289</v>
      </c>
      <c r="H20" s="154"/>
      <c r="I20" s="154" t="s">
        <v>3475</v>
      </c>
      <c r="J20" s="154" t="s">
        <v>74</v>
      </c>
      <c r="K20" s="154" t="s">
        <v>3394</v>
      </c>
      <c r="L20" s="155">
        <v>46288</v>
      </c>
      <c r="M20" s="156"/>
      <c r="N20" s="154" t="str">
        <f>IF(ISNUMBER(PL[[#This Row],[CTO]]),"CTO "&amp;PL[[#This Row],[CTO]],"Otros")</f>
        <v>Otros</v>
      </c>
      <c r="O20" s="154" t="str">
        <f>IF(PL[[#This Row],[STATUS IUP]]="CERRADO","CERRADO",IF(ISNUMBER(SEARCH("validacion de enel",PL[[#This Row],[SUPPLIER NOTES]])),"PTE Validar Enel","ABIERTO"))</f>
        <v>CERRADO</v>
      </c>
      <c r="P20" s="154" t="str">
        <f>IF(PL[[#This Row],[ESTADO]]="CERRADO","Cerrados IUP",IF(PL[[#This Row],[ESTADO]]="PTE Validar Enel","Pendiente cierre ENEL",IF(ISNUMBER(SEARCH("suministro",PL[[#This Row],[SUPPLIER NOTES]])),"Suministros",IF(PL[[#This Row],[SC]]="SOCIAL","Social",IF(ISNUMBER(SEARCH("monolito",PL[[#This Row],[DESCRIPTION]])),"Monolitos","Varios")))))</f>
        <v>Cerrados IUP</v>
      </c>
      <c r="Q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 spans="1:17" s="157" customFormat="1" hidden="1" x14ac:dyDescent="0.2">
      <c r="A21" s="151" t="s">
        <v>1441</v>
      </c>
      <c r="B21" s="154" t="s">
        <v>929</v>
      </c>
      <c r="C21" s="153" t="s">
        <v>3390</v>
      </c>
      <c r="D21" s="153" t="s">
        <v>3390</v>
      </c>
      <c r="E21" s="154" t="s">
        <v>1442</v>
      </c>
      <c r="F21" s="154" t="s">
        <v>1312</v>
      </c>
      <c r="G21" s="154" t="s">
        <v>1290</v>
      </c>
      <c r="H21" s="154"/>
      <c r="I21" s="154"/>
      <c r="J21" s="154" t="s">
        <v>74</v>
      </c>
      <c r="K21" s="154" t="s">
        <v>3394</v>
      </c>
      <c r="L21" s="154"/>
      <c r="M21" s="156"/>
      <c r="N21" s="154" t="str">
        <f>IF(ISNUMBER(PL[[#This Row],[CTO]]),"CTO "&amp;PL[[#This Row],[CTO]],"Otros")</f>
        <v>Otros</v>
      </c>
      <c r="O21" s="154" t="str">
        <f>IF(PL[[#This Row],[STATUS IUP]]="CERRADO","CERRADO",IF(ISNUMBER(SEARCH("validacion de enel",PL[[#This Row],[SUPPLIER NOTES]])),"PTE Validar Enel","ABIERTO"))</f>
        <v>CERRADO</v>
      </c>
      <c r="P21" s="154" t="str">
        <f>IF(PL[[#This Row],[ESTADO]]="CERRADO","Cerrados IUP",IF(PL[[#This Row],[ESTADO]]="PTE Validar Enel","Pendiente cierre ENEL",IF(ISNUMBER(SEARCH("suministro",PL[[#This Row],[SUPPLIER NOTES]])),"Suministros",IF(PL[[#This Row],[SC]]="SOCIAL","Social",IF(ISNUMBER(SEARCH("monolito",PL[[#This Row],[DESCRIPTION]])),"Monolitos","Varios")))))</f>
        <v>Cerrados IUP</v>
      </c>
      <c r="Q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 spans="1:17" s="157" customFormat="1" hidden="1" x14ac:dyDescent="0.2">
      <c r="A22" s="151" t="s">
        <v>1559</v>
      </c>
      <c r="B22" s="154" t="s">
        <v>929</v>
      </c>
      <c r="C22" s="153" t="s">
        <v>3390</v>
      </c>
      <c r="D22" s="153" t="s">
        <v>3390</v>
      </c>
      <c r="E22" s="154" t="s">
        <v>1560</v>
      </c>
      <c r="F22" s="154" t="s">
        <v>1308</v>
      </c>
      <c r="G22" s="154" t="s">
        <v>1290</v>
      </c>
      <c r="H22" s="154"/>
      <c r="I22" s="154"/>
      <c r="J22" s="154" t="s">
        <v>74</v>
      </c>
      <c r="K22" s="154" t="s">
        <v>3394</v>
      </c>
      <c r="L22" s="154"/>
      <c r="M22" s="156"/>
      <c r="N22" s="154" t="str">
        <f>IF(ISNUMBER(PL[[#This Row],[CTO]]),"CTO "&amp;PL[[#This Row],[CTO]],"Otros")</f>
        <v>Otros</v>
      </c>
      <c r="O22" s="154" t="str">
        <f>IF(PL[[#This Row],[STATUS IUP]]="CERRADO","CERRADO",IF(ISNUMBER(SEARCH("validacion de enel",PL[[#This Row],[SUPPLIER NOTES]])),"PTE Validar Enel","ABIERTO"))</f>
        <v>CERRADO</v>
      </c>
      <c r="P22" s="154" t="str">
        <f>IF(PL[[#This Row],[ESTADO]]="CERRADO","Cerrados IUP",IF(PL[[#This Row],[ESTADO]]="PTE Validar Enel","Pendiente cierre ENEL",IF(ISNUMBER(SEARCH("suministro",PL[[#This Row],[SUPPLIER NOTES]])),"Suministros",IF(PL[[#This Row],[SC]]="SOCIAL","Social",IF(ISNUMBER(SEARCH("monolito",PL[[#This Row],[DESCRIPTION]])),"Monolitos","Varios")))))</f>
        <v>Cerrados IUP</v>
      </c>
      <c r="Q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 spans="1:17" s="157" customFormat="1" hidden="1" x14ac:dyDescent="0.2">
      <c r="A23" s="151" t="s">
        <v>2004</v>
      </c>
      <c r="B23" s="154" t="s">
        <v>929</v>
      </c>
      <c r="C23" s="153" t="s">
        <v>3390</v>
      </c>
      <c r="D23" s="153" t="s">
        <v>3390</v>
      </c>
      <c r="E23" s="154" t="s">
        <v>2005</v>
      </c>
      <c r="F23" s="154" t="s">
        <v>1400</v>
      </c>
      <c r="G23" s="154" t="s">
        <v>1289</v>
      </c>
      <c r="H23" s="154"/>
      <c r="I23" s="154"/>
      <c r="J23" s="154" t="s">
        <v>74</v>
      </c>
      <c r="K23" s="154" t="s">
        <v>3394</v>
      </c>
      <c r="L23" s="154"/>
      <c r="M23" s="156"/>
      <c r="N23" s="154" t="str">
        <f>IF(ISNUMBER(PL[[#This Row],[CTO]]),"CTO "&amp;PL[[#This Row],[CTO]],"Otros")</f>
        <v>Otros</v>
      </c>
      <c r="O23" s="154" t="str">
        <f>IF(PL[[#This Row],[STATUS IUP]]="CERRADO","CERRADO",IF(ISNUMBER(SEARCH("validacion de enel",PL[[#This Row],[SUPPLIER NOTES]])),"PTE Validar Enel","ABIERTO"))</f>
        <v>CERRADO</v>
      </c>
      <c r="P23" s="154" t="str">
        <f>IF(PL[[#This Row],[ESTADO]]="CERRADO","Cerrados IUP",IF(PL[[#This Row],[ESTADO]]="PTE Validar Enel","Pendiente cierre ENEL",IF(ISNUMBER(SEARCH("suministro",PL[[#This Row],[SUPPLIER NOTES]])),"Suministros",IF(PL[[#This Row],[SC]]="SOCIAL","Social",IF(ISNUMBER(SEARCH("monolito",PL[[#This Row],[DESCRIPTION]])),"Monolitos","Varios")))))</f>
        <v>Cerrados IUP</v>
      </c>
      <c r="Q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 spans="1:17" s="157" customFormat="1" hidden="1" x14ac:dyDescent="0.2">
      <c r="A24" s="151" t="s">
        <v>2058</v>
      </c>
      <c r="B24" s="154" t="s">
        <v>929</v>
      </c>
      <c r="C24" s="153" t="s">
        <v>3390</v>
      </c>
      <c r="D24" s="153" t="s">
        <v>3390</v>
      </c>
      <c r="E24" s="154" t="s">
        <v>2059</v>
      </c>
      <c r="F24" s="154" t="s">
        <v>1378</v>
      </c>
      <c r="G24" s="154" t="s">
        <v>1290</v>
      </c>
      <c r="H24" s="154"/>
      <c r="I24" s="154"/>
      <c r="J24" s="154" t="s">
        <v>74</v>
      </c>
      <c r="K24" s="154" t="s">
        <v>3394</v>
      </c>
      <c r="L24" s="154"/>
      <c r="M24" s="156"/>
      <c r="N24" s="154" t="str">
        <f>IF(ISNUMBER(PL[[#This Row],[CTO]]),"CTO "&amp;PL[[#This Row],[CTO]],"Otros")</f>
        <v>Otros</v>
      </c>
      <c r="O24" s="154" t="str">
        <f>IF(PL[[#This Row],[STATUS IUP]]="CERRADO","CERRADO",IF(ISNUMBER(SEARCH("validacion de enel",PL[[#This Row],[SUPPLIER NOTES]])),"PTE Validar Enel","ABIERTO"))</f>
        <v>CERRADO</v>
      </c>
      <c r="P24" s="154" t="str">
        <f>IF(PL[[#This Row],[ESTADO]]="CERRADO","Cerrados IUP",IF(PL[[#This Row],[ESTADO]]="PTE Validar Enel","Pendiente cierre ENEL",IF(ISNUMBER(SEARCH("suministro",PL[[#This Row],[SUPPLIER NOTES]])),"Suministros",IF(PL[[#This Row],[SC]]="SOCIAL","Social",IF(ISNUMBER(SEARCH("monolito",PL[[#This Row],[DESCRIPTION]])),"Monolitos","Varios")))))</f>
        <v>Cerrados IUP</v>
      </c>
      <c r="Q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5" spans="1:17" s="157" customFormat="1" hidden="1" x14ac:dyDescent="0.2">
      <c r="A25" s="151" t="s">
        <v>1448</v>
      </c>
      <c r="B25" s="154" t="s">
        <v>929</v>
      </c>
      <c r="C25" s="153" t="s">
        <v>3390</v>
      </c>
      <c r="D25" s="153" t="s">
        <v>3390</v>
      </c>
      <c r="E25" s="154" t="s">
        <v>1449</v>
      </c>
      <c r="F25" s="154" t="s">
        <v>1312</v>
      </c>
      <c r="G25" s="154" t="s">
        <v>1290</v>
      </c>
      <c r="H25" s="154"/>
      <c r="I25" s="154"/>
      <c r="J25" s="154" t="s">
        <v>74</v>
      </c>
      <c r="K25" s="154" t="s">
        <v>3394</v>
      </c>
      <c r="L25" s="154"/>
      <c r="M25" s="156"/>
      <c r="N25" s="154" t="str">
        <f>IF(ISNUMBER(PL[[#This Row],[CTO]]),"CTO "&amp;PL[[#This Row],[CTO]],"Otros")</f>
        <v>Otros</v>
      </c>
      <c r="O25" s="154" t="str">
        <f>IF(PL[[#This Row],[STATUS IUP]]="CERRADO","CERRADO",IF(ISNUMBER(SEARCH("validacion de enel",PL[[#This Row],[SUPPLIER NOTES]])),"PTE Validar Enel","ABIERTO"))</f>
        <v>CERRADO</v>
      </c>
      <c r="P25" s="154" t="str">
        <f>IF(PL[[#This Row],[ESTADO]]="CERRADO","Cerrados IUP",IF(PL[[#This Row],[ESTADO]]="PTE Validar Enel","Pendiente cierre ENEL",IF(ISNUMBER(SEARCH("suministro",PL[[#This Row],[SUPPLIER NOTES]])),"Suministros",IF(PL[[#This Row],[SC]]="SOCIAL","Social",IF(ISNUMBER(SEARCH("monolito",PL[[#This Row],[DESCRIPTION]])),"Monolitos","Varios")))))</f>
        <v>Cerrados IUP</v>
      </c>
      <c r="Q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6" spans="1:17" s="157" customFormat="1" hidden="1" x14ac:dyDescent="0.2">
      <c r="A26" s="151" t="s">
        <v>2107</v>
      </c>
      <c r="B26" s="154" t="s">
        <v>929</v>
      </c>
      <c r="C26" s="153" t="s">
        <v>3390</v>
      </c>
      <c r="D26" s="153" t="s">
        <v>3390</v>
      </c>
      <c r="E26" s="154" t="s">
        <v>2108</v>
      </c>
      <c r="F26" s="154" t="s">
        <v>1308</v>
      </c>
      <c r="G26" s="154" t="s">
        <v>1290</v>
      </c>
      <c r="H26" s="154"/>
      <c r="I26" s="154"/>
      <c r="J26" s="154" t="s">
        <v>74</v>
      </c>
      <c r="K26" s="154" t="s">
        <v>3394</v>
      </c>
      <c r="L26" s="154"/>
      <c r="M26" s="156"/>
      <c r="N26" s="154" t="str">
        <f>IF(ISNUMBER(PL[[#This Row],[CTO]]),"CTO "&amp;PL[[#This Row],[CTO]],"Otros")</f>
        <v>Otros</v>
      </c>
      <c r="O26" s="154" t="str">
        <f>IF(PL[[#This Row],[STATUS IUP]]="CERRADO","CERRADO",IF(ISNUMBER(SEARCH("validacion de enel",PL[[#This Row],[SUPPLIER NOTES]])),"PTE Validar Enel","ABIERTO"))</f>
        <v>CERRADO</v>
      </c>
      <c r="P26" s="154" t="str">
        <f>IF(PL[[#This Row],[ESTADO]]="CERRADO","Cerrados IUP",IF(PL[[#This Row],[ESTADO]]="PTE Validar Enel","Pendiente cierre ENEL",IF(ISNUMBER(SEARCH("suministro",PL[[#This Row],[SUPPLIER NOTES]])),"Suministros",IF(PL[[#This Row],[SC]]="SOCIAL","Social",IF(ISNUMBER(SEARCH("monolito",PL[[#This Row],[DESCRIPTION]])),"Monolitos","Varios")))))</f>
        <v>Cerrados IUP</v>
      </c>
      <c r="Q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7" spans="1:17" s="157" customFormat="1" hidden="1" x14ac:dyDescent="0.2">
      <c r="A27" s="151" t="s">
        <v>1450</v>
      </c>
      <c r="B27" s="154" t="s">
        <v>929</v>
      </c>
      <c r="C27" s="153" t="s">
        <v>3390</v>
      </c>
      <c r="D27" s="153" t="s">
        <v>3390</v>
      </c>
      <c r="E27" s="154" t="s">
        <v>1451</v>
      </c>
      <c r="F27" s="154" t="s">
        <v>1400</v>
      </c>
      <c r="G27" s="154" t="s">
        <v>1289</v>
      </c>
      <c r="H27" s="154"/>
      <c r="I27" s="154"/>
      <c r="J27" s="154" t="s">
        <v>74</v>
      </c>
      <c r="K27" s="154" t="s">
        <v>3394</v>
      </c>
      <c r="L27" s="154"/>
      <c r="M27" s="156"/>
      <c r="N27" s="154" t="str">
        <f>IF(ISNUMBER(PL[[#This Row],[CTO]]),"CTO "&amp;PL[[#This Row],[CTO]],"Otros")</f>
        <v>Otros</v>
      </c>
      <c r="O27" s="154" t="str">
        <f>IF(PL[[#This Row],[STATUS IUP]]="CERRADO","CERRADO",IF(ISNUMBER(SEARCH("validacion de enel",PL[[#This Row],[SUPPLIER NOTES]])),"PTE Validar Enel","ABIERTO"))</f>
        <v>CERRADO</v>
      </c>
      <c r="P27" s="154" t="str">
        <f>IF(PL[[#This Row],[ESTADO]]="CERRADO","Cerrados IUP",IF(PL[[#This Row],[ESTADO]]="PTE Validar Enel","Pendiente cierre ENEL",IF(ISNUMBER(SEARCH("suministro",PL[[#This Row],[SUPPLIER NOTES]])),"Suministros",IF(PL[[#This Row],[SC]]="SOCIAL","Social",IF(ISNUMBER(SEARCH("monolito",PL[[#This Row],[DESCRIPTION]])),"Monolitos","Varios")))))</f>
        <v>Cerrados IUP</v>
      </c>
      <c r="Q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8" spans="1:17" s="157" customFormat="1" hidden="1" x14ac:dyDescent="0.2">
      <c r="A28" s="151" t="s">
        <v>1366</v>
      </c>
      <c r="B28" s="154" t="s">
        <v>1295</v>
      </c>
      <c r="C28" s="153" t="s">
        <v>3390</v>
      </c>
      <c r="D28" s="153" t="s">
        <v>3390</v>
      </c>
      <c r="E28" s="154" t="s">
        <v>1367</v>
      </c>
      <c r="F28" s="154" t="s">
        <v>1368</v>
      </c>
      <c r="G28" s="154" t="s">
        <v>1290</v>
      </c>
      <c r="H28" s="154"/>
      <c r="I28" s="154"/>
      <c r="J28" s="154" t="s">
        <v>74</v>
      </c>
      <c r="K28" s="154" t="s">
        <v>3394</v>
      </c>
      <c r="L28" s="154"/>
      <c r="M28" s="156"/>
      <c r="N28" s="154" t="str">
        <f>IF(ISNUMBER(PL[[#This Row],[CTO]]),"CTO "&amp;PL[[#This Row],[CTO]],"Otros")</f>
        <v>Otros</v>
      </c>
      <c r="O28" s="154" t="str">
        <f>IF(PL[[#This Row],[STATUS IUP]]="CERRADO","CERRADO",IF(ISNUMBER(SEARCH("validacion de enel",PL[[#This Row],[SUPPLIER NOTES]])),"PTE Validar Enel","ABIERTO"))</f>
        <v>CERRADO</v>
      </c>
      <c r="P28" s="154" t="str">
        <f>IF(PL[[#This Row],[ESTADO]]="CERRADO","Cerrados IUP",IF(PL[[#This Row],[ESTADO]]="PTE Validar Enel","Pendiente cierre ENEL",IF(ISNUMBER(SEARCH("suministro",PL[[#This Row],[SUPPLIER NOTES]])),"Suministros",IF(PL[[#This Row],[SC]]="SOCIAL","Social",IF(ISNUMBER(SEARCH("monolito",PL[[#This Row],[DESCRIPTION]])),"Monolitos","Varios")))))</f>
        <v>Cerrados IUP</v>
      </c>
      <c r="Q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9" spans="1:17" s="157" customFormat="1" hidden="1" x14ac:dyDescent="0.2">
      <c r="A29" s="151" t="s">
        <v>1473</v>
      </c>
      <c r="B29" s="154" t="s">
        <v>1295</v>
      </c>
      <c r="C29" s="153" t="s">
        <v>3390</v>
      </c>
      <c r="D29" s="153" t="s">
        <v>3390</v>
      </c>
      <c r="E29" s="154" t="s">
        <v>1474</v>
      </c>
      <c r="F29" s="154" t="s">
        <v>1365</v>
      </c>
      <c r="G29" s="154" t="s">
        <v>128</v>
      </c>
      <c r="H29" s="154"/>
      <c r="I29" s="154"/>
      <c r="J29" s="154" t="s">
        <v>74</v>
      </c>
      <c r="K29" s="154" t="s">
        <v>3394</v>
      </c>
      <c r="L29" s="154"/>
      <c r="M29" s="156"/>
      <c r="N29" s="154" t="str">
        <f>IF(ISNUMBER(PL[[#This Row],[CTO]]),"CTO "&amp;PL[[#This Row],[CTO]],"Otros")</f>
        <v>Otros</v>
      </c>
      <c r="O29" s="154" t="str">
        <f>IF(PL[[#This Row],[STATUS IUP]]="CERRADO","CERRADO",IF(ISNUMBER(SEARCH("validacion de enel",PL[[#This Row],[SUPPLIER NOTES]])),"PTE Validar Enel","ABIERTO"))</f>
        <v>CERRADO</v>
      </c>
      <c r="P29" s="154" t="str">
        <f>IF(PL[[#This Row],[ESTADO]]="CERRADO","Cerrados IUP",IF(PL[[#This Row],[ESTADO]]="PTE Validar Enel","Pendiente cierre ENEL",IF(ISNUMBER(SEARCH("suministro",PL[[#This Row],[SUPPLIER NOTES]])),"Suministros",IF(PL[[#This Row],[SC]]="SOCIAL","Social",IF(ISNUMBER(SEARCH("monolito",PL[[#This Row],[DESCRIPTION]])),"Monolitos","Varios")))))</f>
        <v>Cerrados IUP</v>
      </c>
      <c r="Q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0" spans="1:17" s="157" customFormat="1" hidden="1" x14ac:dyDescent="0.2">
      <c r="A30" s="151" t="s">
        <v>2405</v>
      </c>
      <c r="B30" s="154" t="s">
        <v>1295</v>
      </c>
      <c r="C30" s="153" t="s">
        <v>3390</v>
      </c>
      <c r="D30" s="153" t="s">
        <v>3390</v>
      </c>
      <c r="E30" s="154" t="s">
        <v>2406</v>
      </c>
      <c r="F30" s="154" t="s">
        <v>2404</v>
      </c>
      <c r="G30" s="154" t="s">
        <v>1289</v>
      </c>
      <c r="H30" s="154"/>
      <c r="I30" s="154"/>
      <c r="J30" s="154" t="s">
        <v>74</v>
      </c>
      <c r="K30" s="154" t="s">
        <v>3394</v>
      </c>
      <c r="L30" s="154"/>
      <c r="M30" s="156"/>
      <c r="N30" s="154" t="str">
        <f>IF(ISNUMBER(PL[[#This Row],[CTO]]),"CTO "&amp;PL[[#This Row],[CTO]],"Otros")</f>
        <v>Otros</v>
      </c>
      <c r="O30" s="154" t="str">
        <f>IF(PL[[#This Row],[STATUS IUP]]="CERRADO","CERRADO",IF(ISNUMBER(SEARCH("validacion de enel",PL[[#This Row],[SUPPLIER NOTES]])),"PTE Validar Enel","ABIERTO"))</f>
        <v>CERRADO</v>
      </c>
      <c r="P30" s="154" t="str">
        <f>IF(PL[[#This Row],[ESTADO]]="CERRADO","Cerrados IUP",IF(PL[[#This Row],[ESTADO]]="PTE Validar Enel","Pendiente cierre ENEL",IF(ISNUMBER(SEARCH("suministro",PL[[#This Row],[SUPPLIER NOTES]])),"Suministros",IF(PL[[#This Row],[SC]]="SOCIAL","Social",IF(ISNUMBER(SEARCH("monolito",PL[[#This Row],[DESCRIPTION]])),"Monolitos","Varios")))))</f>
        <v>Cerrados IUP</v>
      </c>
      <c r="Q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 spans="1:17" s="157" customFormat="1" hidden="1" x14ac:dyDescent="0.2">
      <c r="A31" s="151" t="s">
        <v>2402</v>
      </c>
      <c r="B31" s="154" t="s">
        <v>1295</v>
      </c>
      <c r="C31" s="153" t="s">
        <v>3390</v>
      </c>
      <c r="D31" s="153" t="s">
        <v>3390</v>
      </c>
      <c r="E31" s="154" t="s">
        <v>2403</v>
      </c>
      <c r="F31" s="154" t="s">
        <v>2404</v>
      </c>
      <c r="G31" s="154" t="s">
        <v>1289</v>
      </c>
      <c r="H31" s="154"/>
      <c r="I31" s="154"/>
      <c r="J31" s="154" t="s">
        <v>74</v>
      </c>
      <c r="K31" s="154" t="s">
        <v>3394</v>
      </c>
      <c r="L31" s="154"/>
      <c r="M31" s="156"/>
      <c r="N31" s="154" t="str">
        <f>IF(ISNUMBER(PL[[#This Row],[CTO]]),"CTO "&amp;PL[[#This Row],[CTO]],"Otros")</f>
        <v>Otros</v>
      </c>
      <c r="O31" s="154" t="str">
        <f>IF(PL[[#This Row],[STATUS IUP]]="CERRADO","CERRADO",IF(ISNUMBER(SEARCH("validacion de enel",PL[[#This Row],[SUPPLIER NOTES]])),"PTE Validar Enel","ABIERTO"))</f>
        <v>CERRADO</v>
      </c>
      <c r="P31" s="154" t="str">
        <f>IF(PL[[#This Row],[ESTADO]]="CERRADO","Cerrados IUP",IF(PL[[#This Row],[ESTADO]]="PTE Validar Enel","Pendiente cierre ENEL",IF(ISNUMBER(SEARCH("suministro",PL[[#This Row],[SUPPLIER NOTES]])),"Suministros",IF(PL[[#This Row],[SC]]="SOCIAL","Social",IF(ISNUMBER(SEARCH("monolito",PL[[#This Row],[DESCRIPTION]])),"Monolitos","Varios")))))</f>
        <v>Cerrados IUP</v>
      </c>
      <c r="Q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 spans="1:17" s="157" customFormat="1" hidden="1" x14ac:dyDescent="0.2">
      <c r="A32" s="151" t="s">
        <v>1363</v>
      </c>
      <c r="B32" s="154" t="s">
        <v>1295</v>
      </c>
      <c r="C32" s="153" t="s">
        <v>3390</v>
      </c>
      <c r="D32" s="153" t="s">
        <v>3390</v>
      </c>
      <c r="E32" s="154" t="s">
        <v>1364</v>
      </c>
      <c r="F32" s="154" t="s">
        <v>1365</v>
      </c>
      <c r="G32" s="154" t="s">
        <v>128</v>
      </c>
      <c r="H32" s="154"/>
      <c r="I32" s="154"/>
      <c r="J32" s="154" t="s">
        <v>74</v>
      </c>
      <c r="K32" s="154" t="s">
        <v>3394</v>
      </c>
      <c r="L32" s="154"/>
      <c r="M32" s="156"/>
      <c r="N32" s="154" t="str">
        <f>IF(ISNUMBER(PL[[#This Row],[CTO]]),"CTO "&amp;PL[[#This Row],[CTO]],"Otros")</f>
        <v>Otros</v>
      </c>
      <c r="O32" s="154" t="str">
        <f>IF(PL[[#This Row],[STATUS IUP]]="CERRADO","CERRADO",IF(ISNUMBER(SEARCH("validacion de enel",PL[[#This Row],[SUPPLIER NOTES]])),"PTE Validar Enel","ABIERTO"))</f>
        <v>CERRADO</v>
      </c>
      <c r="P32" s="154" t="str">
        <f>IF(PL[[#This Row],[ESTADO]]="CERRADO","Cerrados IUP",IF(PL[[#This Row],[ESTADO]]="PTE Validar Enel","Pendiente cierre ENEL",IF(ISNUMBER(SEARCH("suministro",PL[[#This Row],[SUPPLIER NOTES]])),"Suministros",IF(PL[[#This Row],[SC]]="SOCIAL","Social",IF(ISNUMBER(SEARCH("monolito",PL[[#This Row],[DESCRIPTION]])),"Monolitos","Varios")))))</f>
        <v>Cerrados IUP</v>
      </c>
      <c r="Q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3" spans="1:17" s="157" customFormat="1" ht="16" hidden="1" x14ac:dyDescent="0.2">
      <c r="A33" s="151" t="s">
        <v>1459</v>
      </c>
      <c r="B33" s="152" t="s">
        <v>1295</v>
      </c>
      <c r="C33" s="153" t="s">
        <v>3390</v>
      </c>
      <c r="D33" s="153" t="s">
        <v>3390</v>
      </c>
      <c r="E33" s="154" t="s">
        <v>1460</v>
      </c>
      <c r="F33" s="152" t="s">
        <v>1368</v>
      </c>
      <c r="G33" s="154" t="s">
        <v>1290</v>
      </c>
      <c r="H33" s="154"/>
      <c r="I33" s="154"/>
      <c r="J33" s="154" t="s">
        <v>74</v>
      </c>
      <c r="K33" s="154" t="s">
        <v>3394</v>
      </c>
      <c r="L33" s="155">
        <v>46293</v>
      </c>
      <c r="M33" s="156"/>
      <c r="N33" s="154" t="str">
        <f>IF(ISNUMBER(PL[[#This Row],[CTO]]),"CTO "&amp;PL[[#This Row],[CTO]],"Otros")</f>
        <v>Otros</v>
      </c>
      <c r="O33" s="154" t="str">
        <f>IF(PL[[#This Row],[STATUS IUP]]="CERRADO","CERRADO",IF(ISNUMBER(SEARCH("validacion de enel",PL[[#This Row],[SUPPLIER NOTES]])),"PTE Validar Enel","ABIERTO"))</f>
        <v>CERRADO</v>
      </c>
      <c r="P33" s="154" t="str">
        <f>IF(PL[[#This Row],[ESTADO]]="CERRADO","Cerrados IUP",IF(PL[[#This Row],[ESTADO]]="PTE Validar Enel","Pendiente cierre ENEL",IF(ISNUMBER(SEARCH("suministro",PL[[#This Row],[SUPPLIER NOTES]])),"Suministros",IF(PL[[#This Row],[SC]]="SOCIAL","Social",IF(ISNUMBER(SEARCH("monolito",PL[[#This Row],[DESCRIPTION]])),"Monolitos","Varios")))))</f>
        <v>Cerrados IUP</v>
      </c>
      <c r="Q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 spans="1:17" s="157" customFormat="1" hidden="1" x14ac:dyDescent="0.2">
      <c r="A34" s="151" t="s">
        <v>1343</v>
      </c>
      <c r="B34" s="154" t="s">
        <v>1295</v>
      </c>
      <c r="C34" s="153" t="s">
        <v>3390</v>
      </c>
      <c r="D34" s="153" t="s">
        <v>3390</v>
      </c>
      <c r="E34" s="154" t="s">
        <v>1344</v>
      </c>
      <c r="F34" s="154" t="s">
        <v>1345</v>
      </c>
      <c r="G34" s="154" t="s">
        <v>1290</v>
      </c>
      <c r="H34" s="154"/>
      <c r="I34" s="154"/>
      <c r="J34" s="154" t="s">
        <v>74</v>
      </c>
      <c r="K34" s="154" t="s">
        <v>3394</v>
      </c>
      <c r="L34" s="154"/>
      <c r="M34" s="156"/>
      <c r="N34" s="154" t="str">
        <f>IF(ISNUMBER(PL[[#This Row],[CTO]]),"CTO "&amp;PL[[#This Row],[CTO]],"Otros")</f>
        <v>Otros</v>
      </c>
      <c r="O34" s="154" t="str">
        <f>IF(PL[[#This Row],[STATUS IUP]]="CERRADO","CERRADO",IF(ISNUMBER(SEARCH("validacion de enel",PL[[#This Row],[SUPPLIER NOTES]])),"PTE Validar Enel","ABIERTO"))</f>
        <v>CERRADO</v>
      </c>
      <c r="P34" s="154" t="str">
        <f>IF(PL[[#This Row],[ESTADO]]="CERRADO","Cerrados IUP",IF(PL[[#This Row],[ESTADO]]="PTE Validar Enel","Pendiente cierre ENEL",IF(ISNUMBER(SEARCH("suministro",PL[[#This Row],[SUPPLIER NOTES]])),"Suministros",IF(PL[[#This Row],[SC]]="SOCIAL","Social",IF(ISNUMBER(SEARCH("monolito",PL[[#This Row],[DESCRIPTION]])),"Monolitos","Varios")))))</f>
        <v>Cerrados IUP</v>
      </c>
      <c r="Q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 spans="1:17" s="157" customFormat="1" hidden="1" x14ac:dyDescent="0.2">
      <c r="A35" s="151" t="s">
        <v>2407</v>
      </c>
      <c r="B35" s="154" t="s">
        <v>1295</v>
      </c>
      <c r="C35" s="153" t="s">
        <v>3390</v>
      </c>
      <c r="D35" s="153" t="s">
        <v>3390</v>
      </c>
      <c r="E35" s="154" t="s">
        <v>2408</v>
      </c>
      <c r="F35" s="154" t="s">
        <v>2409</v>
      </c>
      <c r="G35" s="154" t="s">
        <v>1289</v>
      </c>
      <c r="H35" s="154"/>
      <c r="I35" s="154"/>
      <c r="J35" s="154" t="s">
        <v>74</v>
      </c>
      <c r="K35" s="154" t="s">
        <v>3394</v>
      </c>
      <c r="L35" s="154"/>
      <c r="M35" s="156"/>
      <c r="N35" s="154" t="str">
        <f>IF(ISNUMBER(PL[[#This Row],[CTO]]),"CTO "&amp;PL[[#This Row],[CTO]],"Otros")</f>
        <v>Otros</v>
      </c>
      <c r="O35" s="154" t="str">
        <f>IF(PL[[#This Row],[STATUS IUP]]="CERRADO","CERRADO",IF(ISNUMBER(SEARCH("validacion de enel",PL[[#This Row],[SUPPLIER NOTES]])),"PTE Validar Enel","ABIERTO"))</f>
        <v>CERRADO</v>
      </c>
      <c r="P35" s="154" t="str">
        <f>IF(PL[[#This Row],[ESTADO]]="CERRADO","Cerrados IUP",IF(PL[[#This Row],[ESTADO]]="PTE Validar Enel","Pendiente cierre ENEL",IF(ISNUMBER(SEARCH("suministro",PL[[#This Row],[SUPPLIER NOTES]])),"Suministros",IF(PL[[#This Row],[SC]]="SOCIAL","Social",IF(ISNUMBER(SEARCH("monolito",PL[[#This Row],[DESCRIPTION]])),"Monolitos","Varios")))))</f>
        <v>Cerrados IUP</v>
      </c>
      <c r="Q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 spans="1:17" s="157" customFormat="1" hidden="1" x14ac:dyDescent="0.2">
      <c r="A36" s="151" t="s">
        <v>2410</v>
      </c>
      <c r="B36" s="154" t="s">
        <v>1295</v>
      </c>
      <c r="C36" s="153" t="s">
        <v>3390</v>
      </c>
      <c r="D36" s="153" t="s">
        <v>3390</v>
      </c>
      <c r="E36" s="154" t="s">
        <v>2411</v>
      </c>
      <c r="F36" s="154" t="s">
        <v>2412</v>
      </c>
      <c r="G36" s="154" t="s">
        <v>1289</v>
      </c>
      <c r="H36" s="154"/>
      <c r="I36" s="154"/>
      <c r="J36" s="154" t="s">
        <v>74</v>
      </c>
      <c r="K36" s="154" t="s">
        <v>3394</v>
      </c>
      <c r="L36" s="154"/>
      <c r="M36" s="156"/>
      <c r="N36" s="154" t="str">
        <f>IF(ISNUMBER(PL[[#This Row],[CTO]]),"CTO "&amp;PL[[#This Row],[CTO]],"Otros")</f>
        <v>Otros</v>
      </c>
      <c r="O36" s="154" t="str">
        <f>IF(PL[[#This Row],[STATUS IUP]]="CERRADO","CERRADO",IF(ISNUMBER(SEARCH("validacion de enel",PL[[#This Row],[SUPPLIER NOTES]])),"PTE Validar Enel","ABIERTO"))</f>
        <v>CERRADO</v>
      </c>
      <c r="P36" s="154" t="str">
        <f>IF(PL[[#This Row],[ESTADO]]="CERRADO","Cerrados IUP",IF(PL[[#This Row],[ESTADO]]="PTE Validar Enel","Pendiente cierre ENEL",IF(ISNUMBER(SEARCH("suministro",PL[[#This Row],[SUPPLIER NOTES]])),"Suministros",IF(PL[[#This Row],[SC]]="SOCIAL","Social",IF(ISNUMBER(SEARCH("monolito",PL[[#This Row],[DESCRIPTION]])),"Monolitos","Varios")))))</f>
        <v>Cerrados IUP</v>
      </c>
      <c r="Q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 spans="1:17" s="157" customFormat="1" hidden="1" x14ac:dyDescent="0.2">
      <c r="A37" s="151" t="s">
        <v>2376</v>
      </c>
      <c r="B37" s="154" t="s">
        <v>1295</v>
      </c>
      <c r="C37" s="153" t="s">
        <v>3390</v>
      </c>
      <c r="D37" s="153" t="s">
        <v>3390</v>
      </c>
      <c r="E37" s="154" t="s">
        <v>2377</v>
      </c>
      <c r="F37" s="154" t="s">
        <v>2378</v>
      </c>
      <c r="G37" s="154" t="s">
        <v>128</v>
      </c>
      <c r="H37" s="154"/>
      <c r="I37" s="154"/>
      <c r="J37" s="154" t="s">
        <v>74</v>
      </c>
      <c r="K37" s="154" t="s">
        <v>3394</v>
      </c>
      <c r="L37" s="154"/>
      <c r="M37" s="156"/>
      <c r="N37" s="154" t="str">
        <f>IF(ISNUMBER(PL[[#This Row],[CTO]]),"CTO "&amp;PL[[#This Row],[CTO]],"Otros")</f>
        <v>Otros</v>
      </c>
      <c r="O37" s="154" t="str">
        <f>IF(PL[[#This Row],[STATUS IUP]]="CERRADO","CERRADO",IF(ISNUMBER(SEARCH("validacion de enel",PL[[#This Row],[SUPPLIER NOTES]])),"PTE Validar Enel","ABIERTO"))</f>
        <v>CERRADO</v>
      </c>
      <c r="P37" s="154" t="str">
        <f>IF(PL[[#This Row],[ESTADO]]="CERRADO","Cerrados IUP",IF(PL[[#This Row],[ESTADO]]="PTE Validar Enel","Pendiente cierre ENEL",IF(ISNUMBER(SEARCH("suministro",PL[[#This Row],[SUPPLIER NOTES]])),"Suministros",IF(PL[[#This Row],[SC]]="SOCIAL","Social",IF(ISNUMBER(SEARCH("monolito",PL[[#This Row],[DESCRIPTION]])),"Monolitos","Varios")))))</f>
        <v>Cerrados IUP</v>
      </c>
      <c r="Q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 spans="1:17" s="157" customFormat="1" hidden="1" x14ac:dyDescent="0.2">
      <c r="A38" s="151" t="s">
        <v>2413</v>
      </c>
      <c r="B38" s="154" t="s">
        <v>1295</v>
      </c>
      <c r="C38" s="153" t="s">
        <v>3390</v>
      </c>
      <c r="D38" s="153" t="s">
        <v>3390</v>
      </c>
      <c r="E38" s="154" t="s">
        <v>2414</v>
      </c>
      <c r="F38" s="154" t="s">
        <v>2415</v>
      </c>
      <c r="G38" s="154" t="s">
        <v>1289</v>
      </c>
      <c r="H38" s="154"/>
      <c r="I38" s="154"/>
      <c r="J38" s="154" t="s">
        <v>74</v>
      </c>
      <c r="K38" s="154" t="s">
        <v>3394</v>
      </c>
      <c r="L38" s="154"/>
      <c r="M38" s="156"/>
      <c r="N38" s="154" t="str">
        <f>IF(ISNUMBER(PL[[#This Row],[CTO]]),"CTO "&amp;PL[[#This Row],[CTO]],"Otros")</f>
        <v>Otros</v>
      </c>
      <c r="O38" s="154" t="str">
        <f>IF(PL[[#This Row],[STATUS IUP]]="CERRADO","CERRADO",IF(ISNUMBER(SEARCH("validacion de enel",PL[[#This Row],[SUPPLIER NOTES]])),"PTE Validar Enel","ABIERTO"))</f>
        <v>CERRADO</v>
      </c>
      <c r="P38" s="154" t="str">
        <f>IF(PL[[#This Row],[ESTADO]]="CERRADO","Cerrados IUP",IF(PL[[#This Row],[ESTADO]]="PTE Validar Enel","Pendiente cierre ENEL",IF(ISNUMBER(SEARCH("suministro",PL[[#This Row],[SUPPLIER NOTES]])),"Suministros",IF(PL[[#This Row],[SC]]="SOCIAL","Social",IF(ISNUMBER(SEARCH("monolito",PL[[#This Row],[DESCRIPTION]])),"Monolitos","Varios")))))</f>
        <v>Cerrados IUP</v>
      </c>
      <c r="Q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 spans="1:17" s="157" customFormat="1" hidden="1" x14ac:dyDescent="0.2">
      <c r="A39" s="151" t="s">
        <v>2949</v>
      </c>
      <c r="B39" s="154" t="s">
        <v>290</v>
      </c>
      <c r="C39" s="153" t="s">
        <v>3390</v>
      </c>
      <c r="D39" s="153" t="s">
        <v>3390</v>
      </c>
      <c r="E39" s="154" t="s">
        <v>2950</v>
      </c>
      <c r="F39" s="154" t="s">
        <v>2951</v>
      </c>
      <c r="G39" s="154" t="s">
        <v>291</v>
      </c>
      <c r="H39" s="154"/>
      <c r="I39" s="154"/>
      <c r="J39" s="154" t="s">
        <v>74</v>
      </c>
      <c r="K39" s="154" t="s">
        <v>3394</v>
      </c>
      <c r="L39" s="154"/>
      <c r="M39" s="156"/>
      <c r="N39" s="154" t="str">
        <f>IF(ISNUMBER(PL[[#This Row],[CTO]]),"CTO "&amp;PL[[#This Row],[CTO]],"Otros")</f>
        <v>Otros</v>
      </c>
      <c r="O39" s="154" t="str">
        <f>IF(PL[[#This Row],[STATUS IUP]]="CERRADO","CERRADO",IF(ISNUMBER(SEARCH("validacion de enel",PL[[#This Row],[SUPPLIER NOTES]])),"PTE Validar Enel","ABIERTO"))</f>
        <v>CERRADO</v>
      </c>
      <c r="P39" s="154" t="str">
        <f>IF(PL[[#This Row],[ESTADO]]="CERRADO","Cerrados IUP",IF(PL[[#This Row],[ESTADO]]="PTE Validar Enel","Pendiente cierre ENEL",IF(ISNUMBER(SEARCH("suministro",PL[[#This Row],[SUPPLIER NOTES]])),"Suministros",IF(PL[[#This Row],[SC]]="SOCIAL","Social",IF(ISNUMBER(SEARCH("monolito",PL[[#This Row],[DESCRIPTION]])),"Monolitos","Varios")))))</f>
        <v>Cerrados IUP</v>
      </c>
      <c r="Q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 spans="1:17" s="157" customFormat="1" hidden="1" x14ac:dyDescent="0.2">
      <c r="A40" s="151" t="s">
        <v>2956</v>
      </c>
      <c r="B40" s="154" t="s">
        <v>290</v>
      </c>
      <c r="C40" s="153" t="s">
        <v>3390</v>
      </c>
      <c r="D40" s="153" t="s">
        <v>3390</v>
      </c>
      <c r="E40" s="154" t="s">
        <v>2957</v>
      </c>
      <c r="F40" s="154" t="s">
        <v>2958</v>
      </c>
      <c r="G40" s="154" t="s">
        <v>291</v>
      </c>
      <c r="H40" s="154"/>
      <c r="I40" s="154"/>
      <c r="J40" s="154" t="s">
        <v>74</v>
      </c>
      <c r="K40" s="154" t="s">
        <v>3394</v>
      </c>
      <c r="L40" s="154"/>
      <c r="M40" s="156"/>
      <c r="N40" s="154" t="str">
        <f>IF(ISNUMBER(PL[[#This Row],[CTO]]),"CTO "&amp;PL[[#This Row],[CTO]],"Otros")</f>
        <v>Otros</v>
      </c>
      <c r="O40" s="154" t="str">
        <f>IF(PL[[#This Row],[STATUS IUP]]="CERRADO","CERRADO",IF(ISNUMBER(SEARCH("validacion de enel",PL[[#This Row],[SUPPLIER NOTES]])),"PTE Validar Enel","ABIERTO"))</f>
        <v>CERRADO</v>
      </c>
      <c r="P40" s="154" t="str">
        <f>IF(PL[[#This Row],[ESTADO]]="CERRADO","Cerrados IUP",IF(PL[[#This Row],[ESTADO]]="PTE Validar Enel","Pendiente cierre ENEL",IF(ISNUMBER(SEARCH("suministro",PL[[#This Row],[SUPPLIER NOTES]])),"Suministros",IF(PL[[#This Row],[SC]]="SOCIAL","Social",IF(ISNUMBER(SEARCH("monolito",PL[[#This Row],[DESCRIPTION]])),"Monolitos","Varios")))))</f>
        <v>Cerrados IUP</v>
      </c>
      <c r="Q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 spans="1:17" s="157" customFormat="1" hidden="1" x14ac:dyDescent="0.2">
      <c r="A41" s="151" t="s">
        <v>2959</v>
      </c>
      <c r="B41" s="154" t="s">
        <v>290</v>
      </c>
      <c r="C41" s="153" t="s">
        <v>3390</v>
      </c>
      <c r="D41" s="153" t="s">
        <v>3390</v>
      </c>
      <c r="E41" s="154" t="s">
        <v>2960</v>
      </c>
      <c r="F41" s="154" t="s">
        <v>2961</v>
      </c>
      <c r="G41" s="154" t="s">
        <v>291</v>
      </c>
      <c r="H41" s="154"/>
      <c r="I41" s="154"/>
      <c r="J41" s="154" t="s">
        <v>74</v>
      </c>
      <c r="K41" s="154" t="s">
        <v>3394</v>
      </c>
      <c r="L41" s="154"/>
      <c r="M41" s="156"/>
      <c r="N41" s="154" t="str">
        <f>IF(ISNUMBER(PL[[#This Row],[CTO]]),"CTO "&amp;PL[[#This Row],[CTO]],"Otros")</f>
        <v>Otros</v>
      </c>
      <c r="O41" s="154" t="str">
        <f>IF(PL[[#This Row],[STATUS IUP]]="CERRADO","CERRADO",IF(ISNUMBER(SEARCH("validacion de enel",PL[[#This Row],[SUPPLIER NOTES]])),"PTE Validar Enel","ABIERTO"))</f>
        <v>CERRADO</v>
      </c>
      <c r="P41" s="154" t="str">
        <f>IF(PL[[#This Row],[ESTADO]]="CERRADO","Cerrados IUP",IF(PL[[#This Row],[ESTADO]]="PTE Validar Enel","Pendiente cierre ENEL",IF(ISNUMBER(SEARCH("suministro",PL[[#This Row],[SUPPLIER NOTES]])),"Suministros",IF(PL[[#This Row],[SC]]="SOCIAL","Social",IF(ISNUMBER(SEARCH("monolito",PL[[#This Row],[DESCRIPTION]])),"Monolitos","Varios")))))</f>
        <v>Cerrados IUP</v>
      </c>
      <c r="Q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2" spans="1:17" s="157" customFormat="1" hidden="1" x14ac:dyDescent="0.2">
      <c r="A42" s="151" t="s">
        <v>2965</v>
      </c>
      <c r="B42" s="154" t="s">
        <v>290</v>
      </c>
      <c r="C42" s="153" t="s">
        <v>3390</v>
      </c>
      <c r="D42" s="153" t="s">
        <v>3390</v>
      </c>
      <c r="E42" s="154" t="s">
        <v>2966</v>
      </c>
      <c r="F42" s="154" t="s">
        <v>2967</v>
      </c>
      <c r="G42" s="154" t="s">
        <v>291</v>
      </c>
      <c r="H42" s="154"/>
      <c r="I42" s="154"/>
      <c r="J42" s="154" t="s">
        <v>74</v>
      </c>
      <c r="K42" s="154" t="s">
        <v>3394</v>
      </c>
      <c r="L42" s="154"/>
      <c r="M42" s="156"/>
      <c r="N42" s="154" t="str">
        <f>IF(ISNUMBER(PL[[#This Row],[CTO]]),"CTO "&amp;PL[[#This Row],[CTO]],"Otros")</f>
        <v>Otros</v>
      </c>
      <c r="O42" s="154" t="str">
        <f>IF(PL[[#This Row],[STATUS IUP]]="CERRADO","CERRADO",IF(ISNUMBER(SEARCH("validacion de enel",PL[[#This Row],[SUPPLIER NOTES]])),"PTE Validar Enel","ABIERTO"))</f>
        <v>CERRADO</v>
      </c>
      <c r="P42" s="154" t="str">
        <f>IF(PL[[#This Row],[ESTADO]]="CERRADO","Cerrados IUP",IF(PL[[#This Row],[ESTADO]]="PTE Validar Enel","Pendiente cierre ENEL",IF(ISNUMBER(SEARCH("suministro",PL[[#This Row],[SUPPLIER NOTES]])),"Suministros",IF(PL[[#This Row],[SC]]="SOCIAL","Social",IF(ISNUMBER(SEARCH("monolito",PL[[#This Row],[DESCRIPTION]])),"Monolitos","Varios")))))</f>
        <v>Cerrados IUP</v>
      </c>
      <c r="Q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 spans="1:17" s="157" customFormat="1" hidden="1" x14ac:dyDescent="0.2">
      <c r="A43" s="151" t="s">
        <v>2968</v>
      </c>
      <c r="B43" s="154" t="s">
        <v>290</v>
      </c>
      <c r="C43" s="153" t="s">
        <v>3390</v>
      </c>
      <c r="D43" s="153" t="s">
        <v>3390</v>
      </c>
      <c r="E43" s="154" t="s">
        <v>2969</v>
      </c>
      <c r="F43" s="154" t="s">
        <v>2970</v>
      </c>
      <c r="G43" s="154" t="s">
        <v>291</v>
      </c>
      <c r="H43" s="154"/>
      <c r="I43" s="154"/>
      <c r="J43" s="154" t="s">
        <v>74</v>
      </c>
      <c r="K43" s="154" t="s">
        <v>3394</v>
      </c>
      <c r="L43" s="154"/>
      <c r="M43" s="156"/>
      <c r="N43" s="154" t="str">
        <f>IF(ISNUMBER(PL[[#This Row],[CTO]]),"CTO "&amp;PL[[#This Row],[CTO]],"Otros")</f>
        <v>Otros</v>
      </c>
      <c r="O43" s="154" t="str">
        <f>IF(PL[[#This Row],[STATUS IUP]]="CERRADO","CERRADO",IF(ISNUMBER(SEARCH("validacion de enel",PL[[#This Row],[SUPPLIER NOTES]])),"PTE Validar Enel","ABIERTO"))</f>
        <v>CERRADO</v>
      </c>
      <c r="P43" s="154" t="str">
        <f>IF(PL[[#This Row],[ESTADO]]="CERRADO","Cerrados IUP",IF(PL[[#This Row],[ESTADO]]="PTE Validar Enel","Pendiente cierre ENEL",IF(ISNUMBER(SEARCH("suministro",PL[[#This Row],[SUPPLIER NOTES]])),"Suministros",IF(PL[[#This Row],[SC]]="SOCIAL","Social",IF(ISNUMBER(SEARCH("monolito",PL[[#This Row],[DESCRIPTION]])),"Monolitos","Varios")))))</f>
        <v>Cerrados IUP</v>
      </c>
      <c r="Q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 spans="1:17" s="157" customFormat="1" hidden="1" x14ac:dyDescent="0.2">
      <c r="A44" s="151" t="s">
        <v>2021</v>
      </c>
      <c r="B44" s="154" t="s">
        <v>929</v>
      </c>
      <c r="C44" s="153" t="s">
        <v>3390</v>
      </c>
      <c r="D44" s="153" t="s">
        <v>3390</v>
      </c>
      <c r="E44" s="154" t="s">
        <v>2022</v>
      </c>
      <c r="F44" s="154" t="s">
        <v>1288</v>
      </c>
      <c r="G44" s="154" t="s">
        <v>1289</v>
      </c>
      <c r="H44" s="154"/>
      <c r="I44" s="154"/>
      <c r="J44" s="154" t="s">
        <v>74</v>
      </c>
      <c r="K44" s="154" t="s">
        <v>3394</v>
      </c>
      <c r="L44" s="155">
        <v>46300</v>
      </c>
      <c r="M44" s="160">
        <v>46137</v>
      </c>
      <c r="N44" s="154" t="str">
        <f>IF(ISNUMBER(PL[[#This Row],[CTO]]),"CTO "&amp;PL[[#This Row],[CTO]],"Otros")</f>
        <v>Otros</v>
      </c>
      <c r="O44" s="154" t="str">
        <f>IF(PL[[#This Row],[STATUS IUP]]="CERRADO","CERRADO",IF(ISNUMBER(SEARCH("validacion de enel",PL[[#This Row],[SUPPLIER NOTES]])),"PTE Validar Enel","ABIERTO"))</f>
        <v>CERRADO</v>
      </c>
      <c r="P44" s="154" t="str">
        <f>IF(PL[[#This Row],[ESTADO]]="CERRADO","Cerrados IUP",IF(PL[[#This Row],[ESTADO]]="PTE Validar Enel","Pendiente cierre ENEL",IF(ISNUMBER(SEARCH("suministro",PL[[#This Row],[SUPPLIER NOTES]])),"Suministros",IF(PL[[#This Row],[SC]]="SOCIAL","Social",IF(ISNUMBER(SEARCH("monolito",PL[[#This Row],[DESCRIPTION]])),"Monolitos","Varios")))))</f>
        <v>Cerrados IUP</v>
      </c>
      <c r="Q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 spans="1:17" hidden="1" x14ac:dyDescent="0.2">
      <c r="A45" s="78" t="s">
        <v>1311</v>
      </c>
      <c r="B45" s="79" t="s">
        <v>929</v>
      </c>
      <c r="C45" s="118" t="s">
        <v>3390</v>
      </c>
      <c r="D45" s="80" t="s">
        <v>3390</v>
      </c>
      <c r="E45" s="79" t="s">
        <v>1310</v>
      </c>
      <c r="F45" s="79" t="s">
        <v>1305</v>
      </c>
      <c r="G45" s="82" t="s">
        <v>1290</v>
      </c>
      <c r="H45" s="79" t="s">
        <v>3457</v>
      </c>
      <c r="I45" s="79"/>
      <c r="J45" s="79" t="s">
        <v>11</v>
      </c>
      <c r="K45" s="79" t="s">
        <v>3393</v>
      </c>
      <c r="L45" s="79"/>
      <c r="M45" s="81"/>
      <c r="N45" s="79" t="str">
        <f>IF(ISNUMBER(PL[[#This Row],[CTO]]),"CTO "&amp;PL[[#This Row],[CTO]],"Otros")</f>
        <v>Otros</v>
      </c>
      <c r="O45" s="79" t="str">
        <f>IF(PL[[#This Row],[STATUS IUP]]="CERRADO","CERRADO",IF(ISNUMBER(SEARCH("validacion de enel",PL[[#This Row],[SUPPLIER NOTES]])),"PTE Validar Enel","ABIERTO"))</f>
        <v>ABIERTO</v>
      </c>
      <c r="P45" s="79" t="str">
        <f>IF(PL[[#This Row],[ESTADO]]="CERRADO","Cerrados IUP",IF(PL[[#This Row],[ESTADO]]="PTE Validar Enel","Pendiente cierre ENEL",IF(ISNUMBER(SEARCH("suministro",PL[[#This Row],[SUPPLIER NOTES]])),"Suministros",IF(PL[[#This Row],[SC]]="SOCIAL","Social",IF(ISNUMBER(SEARCH("monolito",PL[[#This Row],[DESCRIPTION]])),"Monolitos","Varios")))))</f>
        <v>Monolitos</v>
      </c>
      <c r="Q45"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 spans="1:17" hidden="1" x14ac:dyDescent="0.2">
      <c r="A46" s="78" t="s">
        <v>1892</v>
      </c>
      <c r="B46" s="79" t="s">
        <v>929</v>
      </c>
      <c r="C46" s="118" t="s">
        <v>3390</v>
      </c>
      <c r="D46" s="80" t="s">
        <v>3390</v>
      </c>
      <c r="E46" s="79" t="s">
        <v>1402</v>
      </c>
      <c r="F46" s="79" t="s">
        <v>1305</v>
      </c>
      <c r="G46" s="82" t="s">
        <v>1290</v>
      </c>
      <c r="H46" s="79" t="s">
        <v>3457</v>
      </c>
      <c r="I46" s="79"/>
      <c r="J46" s="79" t="s">
        <v>11</v>
      </c>
      <c r="K46" s="79" t="s">
        <v>3393</v>
      </c>
      <c r="L46" s="79"/>
      <c r="M46" s="81"/>
      <c r="N46" s="79" t="str">
        <f>IF(ISNUMBER(PL[[#This Row],[CTO]]),"CTO "&amp;PL[[#This Row],[CTO]],"Otros")</f>
        <v>Otros</v>
      </c>
      <c r="O46" s="79" t="str">
        <f>IF(PL[[#This Row],[STATUS IUP]]="CERRADO","CERRADO",IF(ISNUMBER(SEARCH("validacion de enel",PL[[#This Row],[SUPPLIER NOTES]])),"PTE Validar Enel","ABIERTO"))</f>
        <v>ABIERTO</v>
      </c>
      <c r="P46" s="79" t="str">
        <f>IF(PL[[#This Row],[ESTADO]]="CERRADO","Cerrados IUP",IF(PL[[#This Row],[ESTADO]]="PTE Validar Enel","Pendiente cierre ENEL",IF(ISNUMBER(SEARCH("suministro",PL[[#This Row],[SUPPLIER NOTES]])),"Suministros",IF(PL[[#This Row],[SC]]="SOCIAL","Social",IF(ISNUMBER(SEARCH("monolito",PL[[#This Row],[DESCRIPTION]])),"Monolitos","Varios")))))</f>
        <v>Monolitos</v>
      </c>
      <c r="Q46"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 spans="1:17" s="157" customFormat="1" hidden="1" x14ac:dyDescent="0.2">
      <c r="A47" s="151" t="s">
        <v>2989</v>
      </c>
      <c r="B47" s="154" t="s">
        <v>290</v>
      </c>
      <c r="C47" s="153" t="s">
        <v>3390</v>
      </c>
      <c r="D47" s="153" t="s">
        <v>3390</v>
      </c>
      <c r="E47" s="154" t="s">
        <v>2990</v>
      </c>
      <c r="F47" s="154" t="s">
        <v>2991</v>
      </c>
      <c r="G47" s="154" t="s">
        <v>291</v>
      </c>
      <c r="H47" s="154"/>
      <c r="I47" s="154"/>
      <c r="J47" s="154" t="s">
        <v>74</v>
      </c>
      <c r="K47" s="154" t="s">
        <v>3394</v>
      </c>
      <c r="L47" s="154"/>
      <c r="M47" s="156"/>
      <c r="N47" s="154" t="str">
        <f>IF(ISNUMBER(PL[[#This Row],[CTO]]),"CTO "&amp;PL[[#This Row],[CTO]],"Otros")</f>
        <v>Otros</v>
      </c>
      <c r="O47" s="154" t="str">
        <f>IF(PL[[#This Row],[STATUS IUP]]="CERRADO","CERRADO",IF(ISNUMBER(SEARCH("validacion de enel",PL[[#This Row],[SUPPLIER NOTES]])),"PTE Validar Enel","ABIERTO"))</f>
        <v>CERRADO</v>
      </c>
      <c r="P47" s="154" t="str">
        <f>IF(PL[[#This Row],[ESTADO]]="CERRADO","Cerrados IUP",IF(PL[[#This Row],[ESTADO]]="PTE Validar Enel","Pendiente cierre ENEL",IF(ISNUMBER(SEARCH("suministro",PL[[#This Row],[SUPPLIER NOTES]])),"Suministros",IF(PL[[#This Row],[SC]]="SOCIAL","Social",IF(ISNUMBER(SEARCH("monolito",PL[[#This Row],[DESCRIPTION]])),"Monolitos","Varios")))))</f>
        <v>Cerrados IUP</v>
      </c>
      <c r="Q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 spans="1:17" s="157" customFormat="1" hidden="1" x14ac:dyDescent="0.2">
      <c r="A48" s="151" t="s">
        <v>2992</v>
      </c>
      <c r="B48" s="154" t="s">
        <v>290</v>
      </c>
      <c r="C48" s="153" t="s">
        <v>3390</v>
      </c>
      <c r="D48" s="153" t="s">
        <v>3390</v>
      </c>
      <c r="E48" s="154" t="s">
        <v>2993</v>
      </c>
      <c r="F48" s="154" t="s">
        <v>2994</v>
      </c>
      <c r="G48" s="154" t="s">
        <v>291</v>
      </c>
      <c r="H48" s="154"/>
      <c r="I48" s="154"/>
      <c r="J48" s="154" t="s">
        <v>74</v>
      </c>
      <c r="K48" s="154" t="s">
        <v>3394</v>
      </c>
      <c r="L48" s="154"/>
      <c r="M48" s="156"/>
      <c r="N48" s="154" t="str">
        <f>IF(ISNUMBER(PL[[#This Row],[CTO]]),"CTO "&amp;PL[[#This Row],[CTO]],"Otros")</f>
        <v>Otros</v>
      </c>
      <c r="O48" s="154" t="str">
        <f>IF(PL[[#This Row],[STATUS IUP]]="CERRADO","CERRADO",IF(ISNUMBER(SEARCH("validacion de enel",PL[[#This Row],[SUPPLIER NOTES]])),"PTE Validar Enel","ABIERTO"))</f>
        <v>CERRADO</v>
      </c>
      <c r="P48" s="154" t="str">
        <f>IF(PL[[#This Row],[ESTADO]]="CERRADO","Cerrados IUP",IF(PL[[#This Row],[ESTADO]]="PTE Validar Enel","Pendiente cierre ENEL",IF(ISNUMBER(SEARCH("suministro",PL[[#This Row],[SUPPLIER NOTES]])),"Suministros",IF(PL[[#This Row],[SC]]="SOCIAL","Social",IF(ISNUMBER(SEARCH("monolito",PL[[#This Row],[DESCRIPTION]])),"Monolitos","Varios")))))</f>
        <v>Cerrados IUP</v>
      </c>
      <c r="Q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 spans="1:17" s="157" customFormat="1" hidden="1" x14ac:dyDescent="0.2">
      <c r="A49" s="151" t="s">
        <v>2995</v>
      </c>
      <c r="B49" s="154" t="s">
        <v>290</v>
      </c>
      <c r="C49" s="153" t="s">
        <v>3390</v>
      </c>
      <c r="D49" s="153" t="s">
        <v>3390</v>
      </c>
      <c r="E49" s="154" t="s">
        <v>2996</v>
      </c>
      <c r="F49" s="154" t="s">
        <v>2997</v>
      </c>
      <c r="G49" s="154" t="s">
        <v>291</v>
      </c>
      <c r="H49" s="154"/>
      <c r="I49" s="154"/>
      <c r="J49" s="154" t="s">
        <v>74</v>
      </c>
      <c r="K49" s="154" t="s">
        <v>3394</v>
      </c>
      <c r="L49" s="154"/>
      <c r="M49" s="156"/>
      <c r="N49" s="154" t="str">
        <f>IF(ISNUMBER(PL[[#This Row],[CTO]]),"CTO "&amp;PL[[#This Row],[CTO]],"Otros")</f>
        <v>Otros</v>
      </c>
      <c r="O49" s="154" t="str">
        <f>IF(PL[[#This Row],[STATUS IUP]]="CERRADO","CERRADO",IF(ISNUMBER(SEARCH("validacion de enel",PL[[#This Row],[SUPPLIER NOTES]])),"PTE Validar Enel","ABIERTO"))</f>
        <v>CERRADO</v>
      </c>
      <c r="P49" s="154" t="str">
        <f>IF(PL[[#This Row],[ESTADO]]="CERRADO","Cerrados IUP",IF(PL[[#This Row],[ESTADO]]="PTE Validar Enel","Pendiente cierre ENEL",IF(ISNUMBER(SEARCH("suministro",PL[[#This Row],[SUPPLIER NOTES]])),"Suministros",IF(PL[[#This Row],[SC]]="SOCIAL","Social",IF(ISNUMBER(SEARCH("monolito",PL[[#This Row],[DESCRIPTION]])),"Monolitos","Varios")))))</f>
        <v>Cerrados IUP</v>
      </c>
      <c r="Q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 spans="1:17" s="157" customFormat="1" hidden="1" x14ac:dyDescent="0.2">
      <c r="A50" s="151" t="s">
        <v>2998</v>
      </c>
      <c r="B50" s="154" t="s">
        <v>290</v>
      </c>
      <c r="C50" s="153" t="s">
        <v>3390</v>
      </c>
      <c r="D50" s="153" t="s">
        <v>3390</v>
      </c>
      <c r="E50" s="154" t="s">
        <v>2999</v>
      </c>
      <c r="F50" s="154" t="s">
        <v>3000</v>
      </c>
      <c r="G50" s="154" t="s">
        <v>291</v>
      </c>
      <c r="H50" s="154"/>
      <c r="I50" s="154"/>
      <c r="J50" s="154" t="s">
        <v>74</v>
      </c>
      <c r="K50" s="154" t="s">
        <v>3394</v>
      </c>
      <c r="L50" s="154"/>
      <c r="M50" s="156"/>
      <c r="N50" s="154" t="str">
        <f>IF(ISNUMBER(PL[[#This Row],[CTO]]),"CTO "&amp;PL[[#This Row],[CTO]],"Otros")</f>
        <v>Otros</v>
      </c>
      <c r="O50" s="154" t="str">
        <f>IF(PL[[#This Row],[STATUS IUP]]="CERRADO","CERRADO",IF(ISNUMBER(SEARCH("validacion de enel",PL[[#This Row],[SUPPLIER NOTES]])),"PTE Validar Enel","ABIERTO"))</f>
        <v>CERRADO</v>
      </c>
      <c r="P50" s="154" t="str">
        <f>IF(PL[[#This Row],[ESTADO]]="CERRADO","Cerrados IUP",IF(PL[[#This Row],[ESTADO]]="PTE Validar Enel","Pendiente cierre ENEL",IF(ISNUMBER(SEARCH("suministro",PL[[#This Row],[SUPPLIER NOTES]])),"Suministros",IF(PL[[#This Row],[SC]]="SOCIAL","Social",IF(ISNUMBER(SEARCH("monolito",PL[[#This Row],[DESCRIPTION]])),"Monolitos","Varios")))))</f>
        <v>Cerrados IUP</v>
      </c>
      <c r="Q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 spans="1:17" s="157" customFormat="1" hidden="1" x14ac:dyDescent="0.2">
      <c r="A51" s="151" t="s">
        <v>3001</v>
      </c>
      <c r="B51" s="154" t="s">
        <v>290</v>
      </c>
      <c r="C51" s="153" t="s">
        <v>3390</v>
      </c>
      <c r="D51" s="153" t="s">
        <v>3390</v>
      </c>
      <c r="E51" s="154" t="s">
        <v>3002</v>
      </c>
      <c r="F51" s="154" t="s">
        <v>3003</v>
      </c>
      <c r="G51" s="154" t="s">
        <v>291</v>
      </c>
      <c r="H51" s="154"/>
      <c r="I51" s="154"/>
      <c r="J51" s="154" t="s">
        <v>74</v>
      </c>
      <c r="K51" s="154" t="s">
        <v>3394</v>
      </c>
      <c r="L51" s="154"/>
      <c r="M51" s="156"/>
      <c r="N51" s="154" t="str">
        <f>IF(ISNUMBER(PL[[#This Row],[CTO]]),"CTO "&amp;PL[[#This Row],[CTO]],"Otros")</f>
        <v>Otros</v>
      </c>
      <c r="O51" s="154" t="str">
        <f>IF(PL[[#This Row],[STATUS IUP]]="CERRADO","CERRADO",IF(ISNUMBER(SEARCH("validacion de enel",PL[[#This Row],[SUPPLIER NOTES]])),"PTE Validar Enel","ABIERTO"))</f>
        <v>CERRADO</v>
      </c>
      <c r="P51" s="154" t="str">
        <f>IF(PL[[#This Row],[ESTADO]]="CERRADO","Cerrados IUP",IF(PL[[#This Row],[ESTADO]]="PTE Validar Enel","Pendiente cierre ENEL",IF(ISNUMBER(SEARCH("suministro",PL[[#This Row],[SUPPLIER NOTES]])),"Suministros",IF(PL[[#This Row],[SC]]="SOCIAL","Social",IF(ISNUMBER(SEARCH("monolito",PL[[#This Row],[DESCRIPTION]])),"Monolitos","Varios")))))</f>
        <v>Cerrados IUP</v>
      </c>
      <c r="Q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 spans="1:17" s="157" customFormat="1" ht="16" hidden="1" x14ac:dyDescent="0.2">
      <c r="A52" s="151" t="s">
        <v>1445</v>
      </c>
      <c r="B52" s="152" t="s">
        <v>929</v>
      </c>
      <c r="C52" s="153" t="s">
        <v>3390</v>
      </c>
      <c r="D52" s="153" t="s">
        <v>3390</v>
      </c>
      <c r="E52" s="154" t="s">
        <v>1402</v>
      </c>
      <c r="F52" s="152" t="s">
        <v>1376</v>
      </c>
      <c r="G52" s="154" t="s">
        <v>216</v>
      </c>
      <c r="H52" s="154" t="s">
        <v>3454</v>
      </c>
      <c r="I52" s="154"/>
      <c r="J52" s="154" t="s">
        <v>74</v>
      </c>
      <c r="K52" s="154" t="s">
        <v>3394</v>
      </c>
      <c r="L52" s="155">
        <v>46303</v>
      </c>
      <c r="M52" s="156"/>
      <c r="N52" s="154" t="str">
        <f>IF(ISNUMBER(PL[[#This Row],[CTO]]),"CTO "&amp;PL[[#This Row],[CTO]],"Otros")</f>
        <v>Otros</v>
      </c>
      <c r="O52" s="154" t="str">
        <f>IF(PL[[#This Row],[STATUS IUP]]="CERRADO","CERRADO",IF(ISNUMBER(SEARCH("validacion de enel",PL[[#This Row],[SUPPLIER NOTES]])),"PTE Validar Enel","ABIERTO"))</f>
        <v>CERRADO</v>
      </c>
      <c r="P52" s="154" t="str">
        <f>IF(PL[[#This Row],[ESTADO]]="CERRADO","Cerrados IUP",IF(PL[[#This Row],[ESTADO]]="PTE Validar Enel","Pendiente cierre ENEL",IF(ISNUMBER(SEARCH("suministro",PL[[#This Row],[SUPPLIER NOTES]])),"Suministros",IF(PL[[#This Row],[SC]]="SOCIAL","Social",IF(ISNUMBER(SEARCH("monolito",PL[[#This Row],[DESCRIPTION]])),"Monolitos","Varios")))))</f>
        <v>Cerrados IUP</v>
      </c>
      <c r="Q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 spans="1:17" s="157" customFormat="1" ht="16" hidden="1" x14ac:dyDescent="0.2">
      <c r="A53" s="151" t="s">
        <v>1557</v>
      </c>
      <c r="B53" s="152" t="s">
        <v>929</v>
      </c>
      <c r="C53" s="153" t="s">
        <v>3390</v>
      </c>
      <c r="D53" s="153" t="s">
        <v>3390</v>
      </c>
      <c r="E53" s="154" t="s">
        <v>1558</v>
      </c>
      <c r="F53" s="152" t="s">
        <v>1376</v>
      </c>
      <c r="G53" s="154" t="s">
        <v>216</v>
      </c>
      <c r="H53" s="154" t="s">
        <v>3454</v>
      </c>
      <c r="I53" s="154"/>
      <c r="J53" s="154" t="s">
        <v>74</v>
      </c>
      <c r="K53" s="154" t="s">
        <v>3394</v>
      </c>
      <c r="L53" s="155">
        <v>46303</v>
      </c>
      <c r="M53" s="156"/>
      <c r="N53" s="154" t="str">
        <f>IF(ISNUMBER(PL[[#This Row],[CTO]]),"CTO "&amp;PL[[#This Row],[CTO]],"Otros")</f>
        <v>Otros</v>
      </c>
      <c r="O53" s="154" t="str">
        <f>IF(PL[[#This Row],[STATUS IUP]]="CERRADO","CERRADO",IF(ISNUMBER(SEARCH("validacion de enel",PL[[#This Row],[SUPPLIER NOTES]])),"PTE Validar Enel","ABIERTO"))</f>
        <v>CERRADO</v>
      </c>
      <c r="P53" s="154" t="str">
        <f>IF(PL[[#This Row],[ESTADO]]="CERRADO","Cerrados IUP",IF(PL[[#This Row],[ESTADO]]="PTE Validar Enel","Pendiente cierre ENEL",IF(ISNUMBER(SEARCH("suministro",PL[[#This Row],[SUPPLIER NOTES]])),"Suministros",IF(PL[[#This Row],[SC]]="SOCIAL","Social",IF(ISNUMBER(SEARCH("monolito",PL[[#This Row],[DESCRIPTION]])),"Monolitos","Varios")))))</f>
        <v>Cerrados IUP</v>
      </c>
      <c r="Q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 spans="1:17" s="157" customFormat="1" ht="16" hidden="1" x14ac:dyDescent="0.2">
      <c r="A54" s="151" t="s">
        <v>2189</v>
      </c>
      <c r="B54" s="152" t="s">
        <v>929</v>
      </c>
      <c r="C54" s="153" t="s">
        <v>3390</v>
      </c>
      <c r="D54" s="153" t="s">
        <v>3390</v>
      </c>
      <c r="E54" s="154" t="s">
        <v>2190</v>
      </c>
      <c r="F54" s="152" t="s">
        <v>1376</v>
      </c>
      <c r="G54" s="154" t="s">
        <v>216</v>
      </c>
      <c r="H54" s="154" t="s">
        <v>3454</v>
      </c>
      <c r="I54" s="154"/>
      <c r="J54" s="154" t="s">
        <v>74</v>
      </c>
      <c r="K54" s="154" t="s">
        <v>3394</v>
      </c>
      <c r="L54" s="155">
        <v>46303</v>
      </c>
      <c r="M54" s="156"/>
      <c r="N54" s="154" t="str">
        <f>IF(ISNUMBER(PL[[#This Row],[CTO]]),"CTO "&amp;PL[[#This Row],[CTO]],"Otros")</f>
        <v>Otros</v>
      </c>
      <c r="O54" s="154" t="str">
        <f>IF(PL[[#This Row],[STATUS IUP]]="CERRADO","CERRADO",IF(ISNUMBER(SEARCH("validacion de enel",PL[[#This Row],[SUPPLIER NOTES]])),"PTE Validar Enel","ABIERTO"))</f>
        <v>CERRADO</v>
      </c>
      <c r="P54" s="154" t="str">
        <f>IF(PL[[#This Row],[ESTADO]]="CERRADO","Cerrados IUP",IF(PL[[#This Row],[ESTADO]]="PTE Validar Enel","Pendiente cierre ENEL",IF(ISNUMBER(SEARCH("suministro",PL[[#This Row],[SUPPLIER NOTES]])),"Suministros",IF(PL[[#This Row],[SC]]="SOCIAL","Social",IF(ISNUMBER(SEARCH("monolito",PL[[#This Row],[DESCRIPTION]])),"Monolitos","Varios")))))</f>
        <v>Cerrados IUP</v>
      </c>
      <c r="Q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 spans="1:17" hidden="1" x14ac:dyDescent="0.2">
      <c r="A55" s="78" t="s">
        <v>1357</v>
      </c>
      <c r="B55" s="79" t="s">
        <v>1295</v>
      </c>
      <c r="C55" s="118" t="s">
        <v>3390</v>
      </c>
      <c r="D55" s="80" t="s">
        <v>3390</v>
      </c>
      <c r="E55" s="79" t="s">
        <v>1358</v>
      </c>
      <c r="F55" s="79" t="s">
        <v>1359</v>
      </c>
      <c r="G55" s="82" t="s">
        <v>1290</v>
      </c>
      <c r="H55" s="79" t="s">
        <v>3457</v>
      </c>
      <c r="I55" s="79"/>
      <c r="J55" s="79" t="s">
        <v>11</v>
      </c>
      <c r="K55" s="79" t="s">
        <v>3393</v>
      </c>
      <c r="L55" s="79"/>
      <c r="M55" s="81"/>
      <c r="N55" s="79" t="str">
        <f>IF(ISNUMBER(PL[[#This Row],[CTO]]),"CTO "&amp;PL[[#This Row],[CTO]],"Otros")</f>
        <v>Otros</v>
      </c>
      <c r="O55" s="79" t="str">
        <f>IF(PL[[#This Row],[STATUS IUP]]="CERRADO","CERRADO",IF(ISNUMBER(SEARCH("validacion de enel",PL[[#This Row],[SUPPLIER NOTES]])),"PTE Validar Enel","ABIERTO"))</f>
        <v>ABIERTO</v>
      </c>
      <c r="P55" s="79" t="str">
        <f>IF(PL[[#This Row],[ESTADO]]="CERRADO","Cerrados IUP",IF(PL[[#This Row],[ESTADO]]="PTE Validar Enel","Pendiente cierre ENEL",IF(ISNUMBER(SEARCH("suministro",PL[[#This Row],[SUPPLIER NOTES]])),"Suministros",IF(PL[[#This Row],[SC]]="SOCIAL","Social",IF(ISNUMBER(SEARCH("monolito",PL[[#This Row],[DESCRIPTION]])),"Monolitos","Varios")))))</f>
        <v>Monolitos</v>
      </c>
      <c r="Q55"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 spans="1:17" s="157" customFormat="1" hidden="1" x14ac:dyDescent="0.2">
      <c r="A56" s="151" t="s">
        <v>1334</v>
      </c>
      <c r="B56" s="154" t="s">
        <v>1295</v>
      </c>
      <c r="C56" s="153" t="s">
        <v>3390</v>
      </c>
      <c r="D56" s="153" t="s">
        <v>3390</v>
      </c>
      <c r="E56" s="154" t="s">
        <v>1335</v>
      </c>
      <c r="F56" s="154" t="s">
        <v>1336</v>
      </c>
      <c r="G56" s="154" t="s">
        <v>128</v>
      </c>
      <c r="H56" s="154"/>
      <c r="I56" s="154"/>
      <c r="J56" s="154" t="s">
        <v>74</v>
      </c>
      <c r="K56" s="154" t="s">
        <v>3394</v>
      </c>
      <c r="L56" s="155">
        <v>46304</v>
      </c>
      <c r="M56" s="156"/>
      <c r="N56" s="154" t="str">
        <f>IF(ISNUMBER(PL[[#This Row],[CTO]]),"CTO "&amp;PL[[#This Row],[CTO]],"Otros")</f>
        <v>Otros</v>
      </c>
      <c r="O56" s="154" t="str">
        <f>IF(PL[[#This Row],[STATUS IUP]]="CERRADO","CERRADO",IF(ISNUMBER(SEARCH("validacion de enel",PL[[#This Row],[SUPPLIER NOTES]])),"PTE Validar Enel","ABIERTO"))</f>
        <v>CERRADO</v>
      </c>
      <c r="P56" s="154" t="str">
        <f>IF(PL[[#This Row],[ESTADO]]="CERRADO","Cerrados IUP",IF(PL[[#This Row],[ESTADO]]="PTE Validar Enel","Pendiente cierre ENEL",IF(ISNUMBER(SEARCH("suministro",PL[[#This Row],[SUPPLIER NOTES]])),"Suministros",IF(PL[[#This Row],[SC]]="SOCIAL","Social",IF(ISNUMBER(SEARCH("monolito",PL[[#This Row],[DESCRIPTION]])),"Monolitos","Varios")))))</f>
        <v>Cerrados IUP</v>
      </c>
      <c r="Q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 spans="1:17" hidden="1" x14ac:dyDescent="0.2">
      <c r="A57" s="78" t="s">
        <v>2983</v>
      </c>
      <c r="B57" s="79" t="s">
        <v>290</v>
      </c>
      <c r="C57" s="118" t="s">
        <v>3390</v>
      </c>
      <c r="D57" s="80" t="s">
        <v>3390</v>
      </c>
      <c r="E57" s="79" t="s">
        <v>2984</v>
      </c>
      <c r="F57" s="79" t="s">
        <v>2985</v>
      </c>
      <c r="G57" s="79" t="s">
        <v>291</v>
      </c>
      <c r="H57" s="79" t="s">
        <v>3457</v>
      </c>
      <c r="I57" s="79"/>
      <c r="J57" s="79" t="s">
        <v>11</v>
      </c>
      <c r="K57" s="79" t="s">
        <v>3393</v>
      </c>
      <c r="L57" s="79"/>
      <c r="M57" s="81"/>
      <c r="N57" s="79" t="str">
        <f>IF(ISNUMBER(PL[[#This Row],[CTO]]),"CTO "&amp;PL[[#This Row],[CTO]],"Otros")</f>
        <v>Otros</v>
      </c>
      <c r="O57" s="79" t="str">
        <f>IF(PL[[#This Row],[STATUS IUP]]="CERRADO","CERRADO",IF(ISNUMBER(SEARCH("validacion de enel",PL[[#This Row],[SUPPLIER NOTES]])),"PTE Validar Enel","ABIERTO"))</f>
        <v>ABIERTO</v>
      </c>
      <c r="P57" s="79" t="str">
        <f>IF(PL[[#This Row],[ESTADO]]="CERRADO","Cerrados IUP",IF(PL[[#This Row],[ESTADO]]="PTE Validar Enel","Pendiente cierre ENEL",IF(ISNUMBER(SEARCH("suministro",PL[[#This Row],[SUPPLIER NOTES]])),"Suministros",IF(PL[[#This Row],[SC]]="SOCIAL","Social",IF(ISNUMBER(SEARCH("monolito",PL[[#This Row],[DESCRIPTION]])),"Monolitos","Varios")))))</f>
        <v>Monolitos</v>
      </c>
      <c r="Q57"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 spans="1:17" ht="64" hidden="1" x14ac:dyDescent="0.2">
      <c r="A58" s="86" t="s">
        <v>1281</v>
      </c>
      <c r="B58" s="115" t="s">
        <v>1266</v>
      </c>
      <c r="C58" s="115" t="s">
        <v>3390</v>
      </c>
      <c r="D58" s="88" t="s">
        <v>3390</v>
      </c>
      <c r="E58" s="87"/>
      <c r="F58" s="115" t="s">
        <v>1282</v>
      </c>
      <c r="G58" s="87" t="s">
        <v>291</v>
      </c>
      <c r="H58" s="87" t="s">
        <v>3454</v>
      </c>
      <c r="I58" s="87"/>
      <c r="J58" s="87" t="s">
        <v>11</v>
      </c>
      <c r="K58" s="87" t="s">
        <v>3393</v>
      </c>
      <c r="L58" s="87"/>
      <c r="M58" s="89"/>
      <c r="N58" s="87" t="str">
        <f>IF(ISNUMBER(PL[[#This Row],[CTO]]),"CTO "&amp;PL[[#This Row],[CTO]],"Otros")</f>
        <v>Otros</v>
      </c>
      <c r="O58" s="87" t="str">
        <f>IF(PL[[#This Row],[STATUS IUP]]="CERRADO","CERRADO",IF(ISNUMBER(SEARCH("validacion de enel",PL[[#This Row],[SUPPLIER NOTES]])),"PTE Validar Enel","ABIERTO"))</f>
        <v>PTE Validar Enel</v>
      </c>
      <c r="P5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5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 spans="1:17" hidden="1" x14ac:dyDescent="0.2">
      <c r="A59" s="66" t="s">
        <v>79</v>
      </c>
      <c r="B59" s="67" t="s">
        <v>8</v>
      </c>
      <c r="C59" s="67" t="s">
        <v>3419</v>
      </c>
      <c r="D59" s="68" t="s">
        <v>3419</v>
      </c>
      <c r="E59" s="67"/>
      <c r="F59" s="67" t="s">
        <v>80</v>
      </c>
      <c r="G59" s="90" t="s">
        <v>49</v>
      </c>
      <c r="H59" s="90"/>
      <c r="I59" s="67"/>
      <c r="J59" s="67" t="s">
        <v>11</v>
      </c>
      <c r="K59" s="67" t="s">
        <v>3393</v>
      </c>
      <c r="L59" s="67"/>
      <c r="M59" s="69"/>
      <c r="N59" s="67" t="str">
        <f>IF(ISNUMBER(PL[[#This Row],[CTO]]),"CTO "&amp;PL[[#This Row],[CTO]],"Otros")</f>
        <v>Otros</v>
      </c>
      <c r="O59" s="67" t="str">
        <f>IF(PL[[#This Row],[STATUS IUP]]="CERRADO","CERRADO",IF(ISNUMBER(SEARCH("validacion de enel",PL[[#This Row],[SUPPLIER NOTES]])),"PTE Validar Enel","ABIERTO"))</f>
        <v>ABIERTO</v>
      </c>
      <c r="P59" s="67" t="str">
        <f>IF(PL[[#This Row],[ESTADO]]="CERRADO","Cerrados IUP",IF(PL[[#This Row],[ESTADO]]="PTE Validar Enel","Pendiente cierre ENEL",IF(ISNUMBER(SEARCH("suministro",PL[[#This Row],[SUPPLIER NOTES]])),"Suministros",IF(PL[[#This Row],[SC]]="SOCIAL","Social",IF(ISNUMBER(SEARCH("monolito",PL[[#This Row],[DESCRIPTION]])),"Monolitos","Varios")))))</f>
        <v>Varios</v>
      </c>
      <c r="Q5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60" spans="1:17" hidden="1" x14ac:dyDescent="0.2">
      <c r="A60" s="66" t="s">
        <v>82</v>
      </c>
      <c r="B60" s="67" t="s">
        <v>8</v>
      </c>
      <c r="C60" s="67" t="s">
        <v>3419</v>
      </c>
      <c r="D60" s="68" t="s">
        <v>3419</v>
      </c>
      <c r="E60" s="67"/>
      <c r="F60" s="67" t="s">
        <v>83</v>
      </c>
      <c r="G60" s="90" t="s">
        <v>49</v>
      </c>
      <c r="H60" s="90"/>
      <c r="I60" s="67"/>
      <c r="J60" s="67" t="s">
        <v>11</v>
      </c>
      <c r="K60" s="67" t="s">
        <v>3393</v>
      </c>
      <c r="L60" s="67"/>
      <c r="M60" s="69"/>
      <c r="N60" s="67" t="str">
        <f>IF(ISNUMBER(PL[[#This Row],[CTO]]),"CTO "&amp;PL[[#This Row],[CTO]],"Otros")</f>
        <v>Otros</v>
      </c>
      <c r="O60" s="67" t="str">
        <f>IF(PL[[#This Row],[STATUS IUP]]="CERRADO","CERRADO",IF(ISNUMBER(SEARCH("validacion de enel",PL[[#This Row],[SUPPLIER NOTES]])),"PTE Validar Enel","ABIERTO"))</f>
        <v>ABIERTO</v>
      </c>
      <c r="P60" s="67" t="str">
        <f>IF(PL[[#This Row],[ESTADO]]="CERRADO","Cerrados IUP",IF(PL[[#This Row],[ESTADO]]="PTE Validar Enel","Pendiente cierre ENEL",IF(ISNUMBER(SEARCH("suministro",PL[[#This Row],[SUPPLIER NOTES]])),"Suministros",IF(PL[[#This Row],[SC]]="SOCIAL","Social",IF(ISNUMBER(SEARCH("monolito",PL[[#This Row],[DESCRIPTION]])),"Monolitos","Varios")))))</f>
        <v>Varios</v>
      </c>
      <c r="Q6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61" spans="1:17" ht="48" x14ac:dyDescent="0.2">
      <c r="A61" s="86" t="s">
        <v>1216</v>
      </c>
      <c r="B61" s="115" t="s">
        <v>8</v>
      </c>
      <c r="C61" s="115" t="s">
        <v>3419</v>
      </c>
      <c r="D61" s="88" t="s">
        <v>3419</v>
      </c>
      <c r="E61" s="87"/>
      <c r="F61" s="115" t="s">
        <v>1217</v>
      </c>
      <c r="G61" s="87" t="s">
        <v>43</v>
      </c>
      <c r="H61" s="87" t="s">
        <v>3454</v>
      </c>
      <c r="I61" s="87"/>
      <c r="J61" s="87" t="s">
        <v>11</v>
      </c>
      <c r="K61" s="87" t="s">
        <v>3393</v>
      </c>
      <c r="L61" s="87"/>
      <c r="M61" s="89"/>
      <c r="N61" s="87" t="str">
        <f>IF(ISNUMBER(PL[[#This Row],[CTO]]),"CTO "&amp;PL[[#This Row],[CTO]],"Otros")</f>
        <v>Otros</v>
      </c>
      <c r="O61" s="87" t="str">
        <f>IF(PL[[#This Row],[STATUS IUP]]="CERRADO","CERRADO",IF(ISNUMBER(SEARCH("validacion de enel",PL[[#This Row],[SUPPLIER NOTES]])),"PTE Validar Enel","ABIERTO"))</f>
        <v>PTE Validar Enel</v>
      </c>
      <c r="P6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62" spans="1:17" ht="64" x14ac:dyDescent="0.2">
      <c r="A62" s="86" t="s">
        <v>1232</v>
      </c>
      <c r="B62" s="115" t="s">
        <v>8</v>
      </c>
      <c r="C62" s="115" t="s">
        <v>3419</v>
      </c>
      <c r="D62" s="88" t="s">
        <v>3419</v>
      </c>
      <c r="E62" s="87"/>
      <c r="F62" s="115" t="s">
        <v>1233</v>
      </c>
      <c r="G62" s="87" t="s">
        <v>43</v>
      </c>
      <c r="H62" s="87" t="s">
        <v>3454</v>
      </c>
      <c r="I62" s="87"/>
      <c r="J62" s="87" t="s">
        <v>11</v>
      </c>
      <c r="K62" s="87" t="s">
        <v>3393</v>
      </c>
      <c r="L62" s="87"/>
      <c r="M62" s="89"/>
      <c r="N62" s="87" t="str">
        <f>IF(ISNUMBER(PL[[#This Row],[CTO]]),"CTO "&amp;PL[[#This Row],[CTO]],"Otros")</f>
        <v>Otros</v>
      </c>
      <c r="O62" s="87" t="str">
        <f>IF(PL[[#This Row],[STATUS IUP]]="CERRADO","CERRADO",IF(ISNUMBER(SEARCH("validacion de enel",PL[[#This Row],[SUPPLIER NOTES]])),"PTE Validar Enel","ABIERTO"))</f>
        <v>PTE Validar Enel</v>
      </c>
      <c r="P6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63" spans="1:17" x14ac:dyDescent="0.2">
      <c r="A63" s="66" t="s">
        <v>1244</v>
      </c>
      <c r="B63" s="67" t="s">
        <v>8</v>
      </c>
      <c r="C63" s="67" t="s">
        <v>3419</v>
      </c>
      <c r="D63" s="68" t="s">
        <v>3419</v>
      </c>
      <c r="E63" s="67"/>
      <c r="F63" s="67" t="s">
        <v>1245</v>
      </c>
      <c r="G63" s="90" t="s">
        <v>43</v>
      </c>
      <c r="H63" s="90"/>
      <c r="I63" s="67"/>
      <c r="J63" s="67" t="s">
        <v>11</v>
      </c>
      <c r="K63" s="67" t="s">
        <v>3393</v>
      </c>
      <c r="L63" s="67"/>
      <c r="M63" s="69"/>
      <c r="N63" s="67" t="str">
        <f>IF(ISNUMBER(PL[[#This Row],[CTO]]),"CTO "&amp;PL[[#This Row],[CTO]],"Otros")</f>
        <v>Otros</v>
      </c>
      <c r="O63" s="67" t="str">
        <f>IF(PL[[#This Row],[STATUS IUP]]="CERRADO","CERRADO",IF(ISNUMBER(SEARCH("validacion de enel",PL[[#This Row],[SUPPLIER NOTES]])),"PTE Validar Enel","ABIERTO"))</f>
        <v>ABIERTO</v>
      </c>
      <c r="P63" s="67" t="str">
        <f>IF(PL[[#This Row],[ESTADO]]="CERRADO","Cerrados IUP",IF(PL[[#This Row],[ESTADO]]="PTE Validar Enel","Pendiente cierre ENEL",IF(ISNUMBER(SEARCH("suministro",PL[[#This Row],[SUPPLIER NOTES]])),"Suministros",IF(PL[[#This Row],[SC]]="SOCIAL","Social",IF(ISNUMBER(SEARCH("monolito",PL[[#This Row],[DESCRIPTION]])),"Monolitos","Varios")))))</f>
        <v>Varios</v>
      </c>
      <c r="Q6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64" spans="1:17" s="157" customFormat="1" ht="16" hidden="1" x14ac:dyDescent="0.2">
      <c r="A64" s="151" t="s">
        <v>1982</v>
      </c>
      <c r="B64" s="152" t="s">
        <v>929</v>
      </c>
      <c r="C64" s="152">
        <v>5</v>
      </c>
      <c r="D64" s="153" t="s">
        <v>3387</v>
      </c>
      <c r="E64" s="154" t="s">
        <v>1304</v>
      </c>
      <c r="F64" s="152" t="s">
        <v>1302</v>
      </c>
      <c r="G64" s="154" t="s">
        <v>1289</v>
      </c>
      <c r="H64" s="154" t="s">
        <v>3454</v>
      </c>
      <c r="I64" s="154"/>
      <c r="J64" s="154" t="s">
        <v>74</v>
      </c>
      <c r="K64" s="154" t="s">
        <v>3394</v>
      </c>
      <c r="L64" s="154"/>
      <c r="M64" s="156"/>
      <c r="N64" s="154" t="str">
        <f>IF(ISNUMBER(PL[[#This Row],[CTO]]),"CTO "&amp;PL[[#This Row],[CTO]],"Otros")</f>
        <v>CTO 5</v>
      </c>
      <c r="O64" s="154" t="str">
        <f>IF(PL[[#This Row],[STATUS IUP]]="CERRADO","CERRADO",IF(ISNUMBER(SEARCH("validacion de enel",PL[[#This Row],[SUPPLIER NOTES]])),"PTE Validar Enel","ABIERTO"))</f>
        <v>CERRADO</v>
      </c>
      <c r="P64" s="154" t="str">
        <f>IF(PL[[#This Row],[ESTADO]]="CERRADO","Cerrados IUP",IF(PL[[#This Row],[ESTADO]]="PTE Validar Enel","Pendiente cierre ENEL",IF(ISNUMBER(SEARCH("suministro",PL[[#This Row],[SUPPLIER NOTES]])),"Suministros",IF(PL[[#This Row],[SC]]="SOCIAL","Social",IF(ISNUMBER(SEARCH("monolito",PL[[#This Row],[DESCRIPTION]])),"Monolitos","Varios")))))</f>
        <v>Cerrados IUP</v>
      </c>
      <c r="Q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 spans="1:17" s="157" customFormat="1" ht="16" hidden="1" x14ac:dyDescent="0.2">
      <c r="A65" s="151" t="s">
        <v>1379</v>
      </c>
      <c r="B65" s="152" t="s">
        <v>929</v>
      </c>
      <c r="C65" s="152">
        <v>5</v>
      </c>
      <c r="D65" s="153" t="s">
        <v>3387</v>
      </c>
      <c r="E65" s="154" t="s">
        <v>1304</v>
      </c>
      <c r="F65" s="152" t="s">
        <v>1380</v>
      </c>
      <c r="G65" s="154" t="s">
        <v>1289</v>
      </c>
      <c r="H65" s="154"/>
      <c r="I65" s="154"/>
      <c r="J65" s="154" t="s">
        <v>74</v>
      </c>
      <c r="K65" s="154" t="s">
        <v>3394</v>
      </c>
      <c r="L65" s="155">
        <v>46300</v>
      </c>
      <c r="M65" s="156"/>
      <c r="N65" s="154" t="str">
        <f>IF(ISNUMBER(PL[[#This Row],[CTO]]),"CTO "&amp;PL[[#This Row],[CTO]],"Otros")</f>
        <v>CTO 5</v>
      </c>
      <c r="O65" s="154" t="str">
        <f>IF(PL[[#This Row],[STATUS IUP]]="CERRADO","CERRADO",IF(ISNUMBER(SEARCH("validacion de enel",PL[[#This Row],[SUPPLIER NOTES]])),"PTE Validar Enel","ABIERTO"))</f>
        <v>CERRADO</v>
      </c>
      <c r="P65" s="154" t="str">
        <f>IF(PL[[#This Row],[ESTADO]]="CERRADO","Cerrados IUP",IF(PL[[#This Row],[ESTADO]]="PTE Validar Enel","Pendiente cierre ENEL",IF(ISNUMBER(SEARCH("suministro",PL[[#This Row],[SUPPLIER NOTES]])),"Suministros",IF(PL[[#This Row],[SC]]="SOCIAL","Social",IF(ISNUMBER(SEARCH("monolito",PL[[#This Row],[DESCRIPTION]])),"Monolitos","Varios")))))</f>
        <v>Cerrados IUP</v>
      </c>
      <c r="Q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 spans="1:17" s="157" customFormat="1" hidden="1" x14ac:dyDescent="0.2">
      <c r="A66" s="151" t="s">
        <v>1377</v>
      </c>
      <c r="B66" s="154" t="s">
        <v>929</v>
      </c>
      <c r="C66" s="152">
        <v>5</v>
      </c>
      <c r="D66" s="153" t="s">
        <v>3387</v>
      </c>
      <c r="E66" s="154" t="s">
        <v>1307</v>
      </c>
      <c r="F66" s="154" t="s">
        <v>1378</v>
      </c>
      <c r="G66" s="154" t="s">
        <v>1290</v>
      </c>
      <c r="H66" s="154"/>
      <c r="I66" s="154"/>
      <c r="J66" s="154" t="s">
        <v>74</v>
      </c>
      <c r="K66" s="154" t="s">
        <v>3394</v>
      </c>
      <c r="L66" s="154"/>
      <c r="M66" s="156"/>
      <c r="N66" s="154" t="str">
        <f>IF(ISNUMBER(PL[[#This Row],[CTO]]),"CTO "&amp;PL[[#This Row],[CTO]],"Otros")</f>
        <v>CTO 5</v>
      </c>
      <c r="O66" s="154" t="str">
        <f>IF(PL[[#This Row],[STATUS IUP]]="CERRADO","CERRADO",IF(ISNUMBER(SEARCH("validacion de enel",PL[[#This Row],[SUPPLIER NOTES]])),"PTE Validar Enel","ABIERTO"))</f>
        <v>CERRADO</v>
      </c>
      <c r="P66" s="154" t="str">
        <f>IF(PL[[#This Row],[ESTADO]]="CERRADO","Cerrados IUP",IF(PL[[#This Row],[ESTADO]]="PTE Validar Enel","Pendiente cierre ENEL",IF(ISNUMBER(SEARCH("suministro",PL[[#This Row],[SUPPLIER NOTES]])),"Suministros",IF(PL[[#This Row],[SC]]="SOCIAL","Social",IF(ISNUMBER(SEARCH("monolito",PL[[#This Row],[DESCRIPTION]])),"Monolitos","Varios")))))</f>
        <v>Cerrados IUP</v>
      </c>
      <c r="Q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 spans="1:17" s="157" customFormat="1" hidden="1" x14ac:dyDescent="0.2">
      <c r="A67" s="151" t="s">
        <v>1403</v>
      </c>
      <c r="B67" s="154" t="s">
        <v>929</v>
      </c>
      <c r="C67" s="152">
        <v>5</v>
      </c>
      <c r="D67" s="153" t="s">
        <v>3387</v>
      </c>
      <c r="E67" s="154" t="s">
        <v>1307</v>
      </c>
      <c r="F67" s="154" t="s">
        <v>1312</v>
      </c>
      <c r="G67" s="154" t="s">
        <v>1290</v>
      </c>
      <c r="H67" s="154"/>
      <c r="I67" s="154"/>
      <c r="J67" s="154" t="s">
        <v>74</v>
      </c>
      <c r="K67" s="154" t="s">
        <v>3394</v>
      </c>
      <c r="L67" s="154"/>
      <c r="M67" s="156"/>
      <c r="N67" s="154" t="str">
        <f>IF(ISNUMBER(PL[[#This Row],[CTO]]),"CTO "&amp;PL[[#This Row],[CTO]],"Otros")</f>
        <v>CTO 5</v>
      </c>
      <c r="O67" s="154" t="str">
        <f>IF(PL[[#This Row],[STATUS IUP]]="CERRADO","CERRADO",IF(ISNUMBER(SEARCH("validacion de enel",PL[[#This Row],[SUPPLIER NOTES]])),"PTE Validar Enel","ABIERTO"))</f>
        <v>CERRADO</v>
      </c>
      <c r="P67" s="154" t="str">
        <f>IF(PL[[#This Row],[ESTADO]]="CERRADO","Cerrados IUP",IF(PL[[#This Row],[ESTADO]]="PTE Validar Enel","Pendiente cierre ENEL",IF(ISNUMBER(SEARCH("suministro",PL[[#This Row],[SUPPLIER NOTES]])),"Suministros",IF(PL[[#This Row],[SC]]="SOCIAL","Social",IF(ISNUMBER(SEARCH("monolito",PL[[#This Row],[DESCRIPTION]])),"Monolitos","Varios")))))</f>
        <v>Cerrados IUP</v>
      </c>
      <c r="Q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 spans="1:17" s="157" customFormat="1" hidden="1" x14ac:dyDescent="0.2">
      <c r="A68" s="151" t="s">
        <v>1306</v>
      </c>
      <c r="B68" s="154" t="s">
        <v>929</v>
      </c>
      <c r="C68" s="152">
        <v>5</v>
      </c>
      <c r="D68" s="153" t="s">
        <v>3387</v>
      </c>
      <c r="E68" s="154" t="s">
        <v>1307</v>
      </c>
      <c r="F68" s="154" t="s">
        <v>1308</v>
      </c>
      <c r="G68" s="154" t="s">
        <v>1290</v>
      </c>
      <c r="H68" s="154"/>
      <c r="I68" s="154"/>
      <c r="J68" s="154" t="s">
        <v>74</v>
      </c>
      <c r="K68" s="154" t="s">
        <v>3394</v>
      </c>
      <c r="L68" s="154"/>
      <c r="M68" s="156"/>
      <c r="N68" s="154" t="str">
        <f>IF(ISNUMBER(PL[[#This Row],[CTO]]),"CTO "&amp;PL[[#This Row],[CTO]],"Otros")</f>
        <v>CTO 5</v>
      </c>
      <c r="O68" s="154" t="str">
        <f>IF(PL[[#This Row],[STATUS IUP]]="CERRADO","CERRADO",IF(ISNUMBER(SEARCH("validacion de enel",PL[[#This Row],[SUPPLIER NOTES]])),"PTE Validar Enel","ABIERTO"))</f>
        <v>CERRADO</v>
      </c>
      <c r="P68" s="154" t="str">
        <f>IF(PL[[#This Row],[ESTADO]]="CERRADO","Cerrados IUP",IF(PL[[#This Row],[ESTADO]]="PTE Validar Enel","Pendiente cierre ENEL",IF(ISNUMBER(SEARCH("suministro",PL[[#This Row],[SUPPLIER NOTES]])),"Suministros",IF(PL[[#This Row],[SC]]="SOCIAL","Social",IF(ISNUMBER(SEARCH("monolito",PL[[#This Row],[DESCRIPTION]])),"Monolitos","Varios")))))</f>
        <v>Cerrados IUP</v>
      </c>
      <c r="Q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 spans="1:17" s="157" customFormat="1" hidden="1" x14ac:dyDescent="0.2">
      <c r="A69" s="151" t="s">
        <v>1569</v>
      </c>
      <c r="B69" s="154" t="s">
        <v>929</v>
      </c>
      <c r="C69" s="152">
        <v>5</v>
      </c>
      <c r="D69" s="153" t="s">
        <v>3387</v>
      </c>
      <c r="E69" s="154" t="s">
        <v>1307</v>
      </c>
      <c r="F69" s="154" t="s">
        <v>1400</v>
      </c>
      <c r="G69" s="154" t="s">
        <v>1290</v>
      </c>
      <c r="H69" s="154"/>
      <c r="I69" s="154"/>
      <c r="J69" s="154" t="s">
        <v>74</v>
      </c>
      <c r="K69" s="154" t="s">
        <v>3394</v>
      </c>
      <c r="L69" s="154"/>
      <c r="M69" s="156"/>
      <c r="N69" s="154" t="str">
        <f>IF(ISNUMBER(PL[[#This Row],[CTO]]),"CTO "&amp;PL[[#This Row],[CTO]],"Otros")</f>
        <v>CTO 5</v>
      </c>
      <c r="O69" s="154" t="str">
        <f>IF(PL[[#This Row],[STATUS IUP]]="CERRADO","CERRADO",IF(ISNUMBER(SEARCH("validacion de enel",PL[[#This Row],[SUPPLIER NOTES]])),"PTE Validar Enel","ABIERTO"))</f>
        <v>CERRADO</v>
      </c>
      <c r="P69" s="154" t="str">
        <f>IF(PL[[#This Row],[ESTADO]]="CERRADO","Cerrados IUP",IF(PL[[#This Row],[ESTADO]]="PTE Validar Enel","Pendiente cierre ENEL",IF(ISNUMBER(SEARCH("suministro",PL[[#This Row],[SUPPLIER NOTES]])),"Suministros",IF(PL[[#This Row],[SC]]="SOCIAL","Social",IF(ISNUMBER(SEARCH("monolito",PL[[#This Row],[DESCRIPTION]])),"Monolitos","Varios")))))</f>
        <v>Cerrados IUP</v>
      </c>
      <c r="Q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 spans="1:17" s="157" customFormat="1" hidden="1" x14ac:dyDescent="0.2">
      <c r="A70" s="151" t="s">
        <v>1375</v>
      </c>
      <c r="B70" s="154" t="s">
        <v>929</v>
      </c>
      <c r="C70" s="152">
        <v>5</v>
      </c>
      <c r="D70" s="153" t="s">
        <v>3387</v>
      </c>
      <c r="E70" s="154" t="s">
        <v>1307</v>
      </c>
      <c r="F70" s="154" t="s">
        <v>1376</v>
      </c>
      <c r="G70" s="154" t="s">
        <v>1289</v>
      </c>
      <c r="H70" s="154"/>
      <c r="I70" s="154"/>
      <c r="J70" s="154" t="s">
        <v>74</v>
      </c>
      <c r="K70" s="154" t="s">
        <v>3394</v>
      </c>
      <c r="L70" s="154"/>
      <c r="M70" s="156"/>
      <c r="N70" s="154" t="str">
        <f>IF(ISNUMBER(PL[[#This Row],[CTO]]),"CTO "&amp;PL[[#This Row],[CTO]],"Otros")</f>
        <v>CTO 5</v>
      </c>
      <c r="O70" s="154" t="str">
        <f>IF(PL[[#This Row],[STATUS IUP]]="CERRADO","CERRADO",IF(ISNUMBER(SEARCH("validacion de enel",PL[[#This Row],[SUPPLIER NOTES]])),"PTE Validar Enel","ABIERTO"))</f>
        <v>CERRADO</v>
      </c>
      <c r="P70" s="154" t="str">
        <f>IF(PL[[#This Row],[ESTADO]]="CERRADO","Cerrados IUP",IF(PL[[#This Row],[ESTADO]]="PTE Validar Enel","Pendiente cierre ENEL",IF(ISNUMBER(SEARCH("suministro",PL[[#This Row],[SUPPLIER NOTES]])),"Suministros",IF(PL[[#This Row],[SC]]="SOCIAL","Social",IF(ISNUMBER(SEARCH("monolito",PL[[#This Row],[DESCRIPTION]])),"Monolitos","Varios")))))</f>
        <v>Cerrados IUP</v>
      </c>
      <c r="Q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 spans="1:17" s="157" customFormat="1" hidden="1" x14ac:dyDescent="0.2">
      <c r="A71" s="151" t="s">
        <v>2191</v>
      </c>
      <c r="B71" s="154" t="s">
        <v>929</v>
      </c>
      <c r="C71" s="152">
        <v>5</v>
      </c>
      <c r="D71" s="153" t="s">
        <v>3387</v>
      </c>
      <c r="E71" s="154" t="s">
        <v>1307</v>
      </c>
      <c r="F71" s="154" t="s">
        <v>1302</v>
      </c>
      <c r="G71" s="154" t="s">
        <v>216</v>
      </c>
      <c r="H71" s="154"/>
      <c r="I71" s="154"/>
      <c r="J71" s="154" t="s">
        <v>74</v>
      </c>
      <c r="K71" s="154" t="s">
        <v>3394</v>
      </c>
      <c r="L71" s="154"/>
      <c r="M71" s="156"/>
      <c r="N71" s="154" t="str">
        <f>IF(ISNUMBER(PL[[#This Row],[CTO]]),"CTO "&amp;PL[[#This Row],[CTO]],"Otros")</f>
        <v>CTO 5</v>
      </c>
      <c r="O71" s="154" t="str">
        <f>IF(PL[[#This Row],[STATUS IUP]]="CERRADO","CERRADO",IF(ISNUMBER(SEARCH("validacion de enel",PL[[#This Row],[SUPPLIER NOTES]])),"PTE Validar Enel","ABIERTO"))</f>
        <v>CERRADO</v>
      </c>
      <c r="P71" s="154" t="str">
        <f>IF(PL[[#This Row],[ESTADO]]="CERRADO","Cerrados IUP",IF(PL[[#This Row],[ESTADO]]="PTE Validar Enel","Pendiente cierre ENEL",IF(ISNUMBER(SEARCH("suministro",PL[[#This Row],[SUPPLIER NOTES]])),"Suministros",IF(PL[[#This Row],[SC]]="SOCIAL","Social",IF(ISNUMBER(SEARCH("monolito",PL[[#This Row],[DESCRIPTION]])),"Monolitos","Varios")))))</f>
        <v>Cerrados IUP</v>
      </c>
      <c r="Q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 spans="1:17" s="157" customFormat="1" hidden="1" x14ac:dyDescent="0.2">
      <c r="A72" s="151" t="s">
        <v>1478</v>
      </c>
      <c r="B72" s="154" t="s">
        <v>929</v>
      </c>
      <c r="C72" s="152">
        <v>5</v>
      </c>
      <c r="D72" s="153" t="s">
        <v>3387</v>
      </c>
      <c r="E72" s="154" t="s">
        <v>1304</v>
      </c>
      <c r="F72" s="154" t="s">
        <v>1378</v>
      </c>
      <c r="G72" s="154" t="s">
        <v>1290</v>
      </c>
      <c r="H72" s="154"/>
      <c r="I72" s="154"/>
      <c r="J72" s="154" t="s">
        <v>74</v>
      </c>
      <c r="K72" s="154" t="s">
        <v>3394</v>
      </c>
      <c r="L72" s="154"/>
      <c r="M72" s="156"/>
      <c r="N72" s="154" t="str">
        <f>IF(ISNUMBER(PL[[#This Row],[CTO]]),"CTO "&amp;PL[[#This Row],[CTO]],"Otros")</f>
        <v>CTO 5</v>
      </c>
      <c r="O72" s="154" t="str">
        <f>IF(PL[[#This Row],[STATUS IUP]]="CERRADO","CERRADO",IF(ISNUMBER(SEARCH("validacion de enel",PL[[#This Row],[SUPPLIER NOTES]])),"PTE Validar Enel","ABIERTO"))</f>
        <v>CERRADO</v>
      </c>
      <c r="P72" s="154" t="str">
        <f>IF(PL[[#This Row],[ESTADO]]="CERRADO","Cerrados IUP",IF(PL[[#This Row],[ESTADO]]="PTE Validar Enel","Pendiente cierre ENEL",IF(ISNUMBER(SEARCH("suministro",PL[[#This Row],[SUPPLIER NOTES]])),"Suministros",IF(PL[[#This Row],[SC]]="SOCIAL","Social",IF(ISNUMBER(SEARCH("monolito",PL[[#This Row],[DESCRIPTION]])),"Monolitos","Varios")))))</f>
        <v>Cerrados IUP</v>
      </c>
      <c r="Q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 spans="1:17" s="157" customFormat="1" hidden="1" x14ac:dyDescent="0.2">
      <c r="A73" s="151" t="s">
        <v>1477</v>
      </c>
      <c r="B73" s="154" t="s">
        <v>929</v>
      </c>
      <c r="C73" s="152">
        <v>5</v>
      </c>
      <c r="D73" s="153" t="s">
        <v>3387</v>
      </c>
      <c r="E73" s="154" t="s">
        <v>1304</v>
      </c>
      <c r="F73" s="154" t="s">
        <v>1312</v>
      </c>
      <c r="G73" s="154" t="s">
        <v>1290</v>
      </c>
      <c r="H73" s="154"/>
      <c r="I73" s="154"/>
      <c r="J73" s="154" t="s">
        <v>74</v>
      </c>
      <c r="K73" s="154" t="s">
        <v>3394</v>
      </c>
      <c r="L73" s="154"/>
      <c r="M73" s="156"/>
      <c r="N73" s="154" t="str">
        <f>IF(ISNUMBER(PL[[#This Row],[CTO]]),"CTO "&amp;PL[[#This Row],[CTO]],"Otros")</f>
        <v>CTO 5</v>
      </c>
      <c r="O73" s="154" t="str">
        <f>IF(PL[[#This Row],[STATUS IUP]]="CERRADO","CERRADO",IF(ISNUMBER(SEARCH("validacion de enel",PL[[#This Row],[SUPPLIER NOTES]])),"PTE Validar Enel","ABIERTO"))</f>
        <v>CERRADO</v>
      </c>
      <c r="P73" s="154" t="str">
        <f>IF(PL[[#This Row],[ESTADO]]="CERRADO","Cerrados IUP",IF(PL[[#This Row],[ESTADO]]="PTE Validar Enel","Pendiente cierre ENEL",IF(ISNUMBER(SEARCH("suministro",PL[[#This Row],[SUPPLIER NOTES]])),"Suministros",IF(PL[[#This Row],[SC]]="SOCIAL","Social",IF(ISNUMBER(SEARCH("monolito",PL[[#This Row],[DESCRIPTION]])),"Monolitos","Varios")))))</f>
        <v>Cerrados IUP</v>
      </c>
      <c r="Q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 spans="1:17" s="157" customFormat="1" hidden="1" x14ac:dyDescent="0.2">
      <c r="A74" s="151" t="s">
        <v>1562</v>
      </c>
      <c r="B74" s="154" t="s">
        <v>929</v>
      </c>
      <c r="C74" s="152">
        <v>5</v>
      </c>
      <c r="D74" s="153" t="s">
        <v>3387</v>
      </c>
      <c r="E74" s="154" t="s">
        <v>1304</v>
      </c>
      <c r="F74" s="154" t="s">
        <v>1399</v>
      </c>
      <c r="G74" s="154" t="s">
        <v>1290</v>
      </c>
      <c r="H74" s="154"/>
      <c r="I74" s="154"/>
      <c r="J74" s="154" t="s">
        <v>74</v>
      </c>
      <c r="K74" s="154" t="s">
        <v>3394</v>
      </c>
      <c r="L74" s="154"/>
      <c r="M74" s="156"/>
      <c r="N74" s="154" t="str">
        <f>IF(ISNUMBER(PL[[#This Row],[CTO]]),"CTO "&amp;PL[[#This Row],[CTO]],"Otros")</f>
        <v>CTO 5</v>
      </c>
      <c r="O74" s="154" t="str">
        <f>IF(PL[[#This Row],[STATUS IUP]]="CERRADO","CERRADO",IF(ISNUMBER(SEARCH("validacion de enel",PL[[#This Row],[SUPPLIER NOTES]])),"PTE Validar Enel","ABIERTO"))</f>
        <v>CERRADO</v>
      </c>
      <c r="P74" s="154" t="str">
        <f>IF(PL[[#This Row],[ESTADO]]="CERRADO","Cerrados IUP",IF(PL[[#This Row],[ESTADO]]="PTE Validar Enel","Pendiente cierre ENEL",IF(ISNUMBER(SEARCH("suministro",PL[[#This Row],[SUPPLIER NOTES]])),"Suministros",IF(PL[[#This Row],[SC]]="SOCIAL","Social",IF(ISNUMBER(SEARCH("monolito",PL[[#This Row],[DESCRIPTION]])),"Monolitos","Varios")))))</f>
        <v>Cerrados IUP</v>
      </c>
      <c r="Q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5" spans="1:17" s="157" customFormat="1" hidden="1" x14ac:dyDescent="0.2">
      <c r="A75" s="151" t="s">
        <v>1565</v>
      </c>
      <c r="B75" s="154" t="s">
        <v>929</v>
      </c>
      <c r="C75" s="152">
        <v>5</v>
      </c>
      <c r="D75" s="153" t="s">
        <v>3387</v>
      </c>
      <c r="E75" s="154" t="s">
        <v>1304</v>
      </c>
      <c r="F75" s="154" t="s">
        <v>1308</v>
      </c>
      <c r="G75" s="154" t="s">
        <v>1290</v>
      </c>
      <c r="H75" s="154"/>
      <c r="I75" s="154"/>
      <c r="J75" s="154" t="s">
        <v>74</v>
      </c>
      <c r="K75" s="154" t="s">
        <v>3394</v>
      </c>
      <c r="L75" s="154"/>
      <c r="M75" s="156"/>
      <c r="N75" s="154" t="str">
        <f>IF(ISNUMBER(PL[[#This Row],[CTO]]),"CTO "&amp;PL[[#This Row],[CTO]],"Otros")</f>
        <v>CTO 5</v>
      </c>
      <c r="O75" s="154" t="str">
        <f>IF(PL[[#This Row],[STATUS IUP]]="CERRADO","CERRADO",IF(ISNUMBER(SEARCH("validacion de enel",PL[[#This Row],[SUPPLIER NOTES]])),"PTE Validar Enel","ABIERTO"))</f>
        <v>CERRADO</v>
      </c>
      <c r="P75" s="154" t="str">
        <f>IF(PL[[#This Row],[ESTADO]]="CERRADO","Cerrados IUP",IF(PL[[#This Row],[ESTADO]]="PTE Validar Enel","Pendiente cierre ENEL",IF(ISNUMBER(SEARCH("suministro",PL[[#This Row],[SUPPLIER NOTES]])),"Suministros",IF(PL[[#This Row],[SC]]="SOCIAL","Social",IF(ISNUMBER(SEARCH("monolito",PL[[#This Row],[DESCRIPTION]])),"Monolitos","Varios")))))</f>
        <v>Cerrados IUP</v>
      </c>
      <c r="Q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 spans="1:17" s="157" customFormat="1" hidden="1" x14ac:dyDescent="0.2">
      <c r="A76" s="151" t="s">
        <v>2208</v>
      </c>
      <c r="B76" s="154" t="s">
        <v>929</v>
      </c>
      <c r="C76" s="152">
        <v>5</v>
      </c>
      <c r="D76" s="153" t="s">
        <v>3387</v>
      </c>
      <c r="E76" s="154" t="s">
        <v>1304</v>
      </c>
      <c r="F76" s="154" t="s">
        <v>1400</v>
      </c>
      <c r="G76" s="154" t="s">
        <v>1289</v>
      </c>
      <c r="H76" s="154"/>
      <c r="I76" s="154"/>
      <c r="J76" s="154" t="s">
        <v>74</v>
      </c>
      <c r="K76" s="154" t="s">
        <v>3394</v>
      </c>
      <c r="L76" s="154"/>
      <c r="M76" s="156"/>
      <c r="N76" s="154" t="str">
        <f>IF(ISNUMBER(PL[[#This Row],[CTO]]),"CTO "&amp;PL[[#This Row],[CTO]],"Otros")</f>
        <v>CTO 5</v>
      </c>
      <c r="O76" s="154" t="str">
        <f>IF(PL[[#This Row],[STATUS IUP]]="CERRADO","CERRADO",IF(ISNUMBER(SEARCH("validacion de enel",PL[[#This Row],[SUPPLIER NOTES]])),"PTE Validar Enel","ABIERTO"))</f>
        <v>CERRADO</v>
      </c>
      <c r="P76" s="154" t="str">
        <f>IF(PL[[#This Row],[ESTADO]]="CERRADO","Cerrados IUP",IF(PL[[#This Row],[ESTADO]]="PTE Validar Enel","Pendiente cierre ENEL",IF(ISNUMBER(SEARCH("suministro",PL[[#This Row],[SUPPLIER NOTES]])),"Suministros",IF(PL[[#This Row],[SC]]="SOCIAL","Social",IF(ISNUMBER(SEARCH("monolito",PL[[#This Row],[DESCRIPTION]])),"Monolitos","Varios")))))</f>
        <v>Cerrados IUP</v>
      </c>
      <c r="Q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 spans="1:17" s="157" customFormat="1" hidden="1" x14ac:dyDescent="0.2">
      <c r="A77" s="151" t="s">
        <v>1561</v>
      </c>
      <c r="B77" s="154" t="s">
        <v>929</v>
      </c>
      <c r="C77" s="152">
        <v>5</v>
      </c>
      <c r="D77" s="153" t="s">
        <v>3387</v>
      </c>
      <c r="E77" s="154" t="s">
        <v>1304</v>
      </c>
      <c r="F77" s="154" t="s">
        <v>1376</v>
      </c>
      <c r="G77" s="154" t="s">
        <v>216</v>
      </c>
      <c r="H77" s="154"/>
      <c r="I77" s="154"/>
      <c r="J77" s="154" t="s">
        <v>74</v>
      </c>
      <c r="K77" s="154" t="s">
        <v>3394</v>
      </c>
      <c r="L77" s="154"/>
      <c r="M77" s="156"/>
      <c r="N77" s="154" t="str">
        <f>IF(ISNUMBER(PL[[#This Row],[CTO]]),"CTO "&amp;PL[[#This Row],[CTO]],"Otros")</f>
        <v>CTO 5</v>
      </c>
      <c r="O77" s="154" t="str">
        <f>IF(PL[[#This Row],[STATUS IUP]]="CERRADO","CERRADO",IF(ISNUMBER(SEARCH("validacion de enel",PL[[#This Row],[SUPPLIER NOTES]])),"PTE Validar Enel","ABIERTO"))</f>
        <v>CERRADO</v>
      </c>
      <c r="P77" s="154" t="str">
        <f>IF(PL[[#This Row],[ESTADO]]="CERRADO","Cerrados IUP",IF(PL[[#This Row],[ESTADO]]="PTE Validar Enel","Pendiente cierre ENEL",IF(ISNUMBER(SEARCH("suministro",PL[[#This Row],[SUPPLIER NOTES]])),"Suministros",IF(PL[[#This Row],[SC]]="SOCIAL","Social",IF(ISNUMBER(SEARCH("monolito",PL[[#This Row],[DESCRIPTION]])),"Monolitos","Varios")))))</f>
        <v>Cerrados IUP</v>
      </c>
      <c r="Q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 spans="1:17" ht="32" hidden="1" x14ac:dyDescent="0.2">
      <c r="A78" s="86" t="s">
        <v>422</v>
      </c>
      <c r="B78" s="115" t="s">
        <v>8</v>
      </c>
      <c r="C78" s="52">
        <v>5</v>
      </c>
      <c r="D78" s="88" t="s">
        <v>3387</v>
      </c>
      <c r="E78" s="87"/>
      <c r="F78" s="115" t="s">
        <v>423</v>
      </c>
      <c r="G78" s="82" t="s">
        <v>1289</v>
      </c>
      <c r="H78" s="87" t="s">
        <v>3454</v>
      </c>
      <c r="I78" s="87"/>
      <c r="J78" s="87" t="s">
        <v>11</v>
      </c>
      <c r="K78" s="87" t="s">
        <v>3393</v>
      </c>
      <c r="L78" s="87"/>
      <c r="M78" s="89"/>
      <c r="N78" s="87" t="str">
        <f>IF(ISNUMBER(PL[[#This Row],[CTO]]),"CTO "&amp;PL[[#This Row],[CTO]],"Otros")</f>
        <v>CTO 5</v>
      </c>
      <c r="O78" s="87" t="str">
        <f>IF(PL[[#This Row],[STATUS IUP]]="CERRADO","CERRADO",IF(ISNUMBER(SEARCH("validacion de enel",PL[[#This Row],[SUPPLIER NOTES]])),"PTE Validar Enel","ABIERTO"))</f>
        <v>PTE Validar Enel</v>
      </c>
      <c r="P7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7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 spans="1:17" ht="32" hidden="1" x14ac:dyDescent="0.2">
      <c r="A79" s="86" t="s">
        <v>426</v>
      </c>
      <c r="B79" s="115" t="s">
        <v>8</v>
      </c>
      <c r="C79" s="52">
        <v>5</v>
      </c>
      <c r="D79" s="88" t="s">
        <v>3387</v>
      </c>
      <c r="E79" s="87"/>
      <c r="F79" s="115" t="s">
        <v>427</v>
      </c>
      <c r="G79" s="87" t="s">
        <v>108</v>
      </c>
      <c r="H79" s="87" t="s">
        <v>3454</v>
      </c>
      <c r="I79" s="87"/>
      <c r="J79" s="87" t="s">
        <v>11</v>
      </c>
      <c r="K79" s="87" t="s">
        <v>3393</v>
      </c>
      <c r="L79" s="87"/>
      <c r="M79" s="89"/>
      <c r="N79" s="87" t="str">
        <f>IF(ISNUMBER(PL[[#This Row],[CTO]]),"CTO "&amp;PL[[#This Row],[CTO]],"Otros")</f>
        <v>CTO 5</v>
      </c>
      <c r="O79" s="87" t="str">
        <f>IF(PL[[#This Row],[STATUS IUP]]="CERRADO","CERRADO",IF(ISNUMBER(SEARCH("validacion de enel",PL[[#This Row],[SUPPLIER NOTES]])),"PTE Validar Enel","ABIERTO"))</f>
        <v>PTE Validar Enel</v>
      </c>
      <c r="P79"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79"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 spans="1:17" ht="16" hidden="1" x14ac:dyDescent="0.2">
      <c r="A80" s="86" t="s">
        <v>428</v>
      </c>
      <c r="B80" s="115" t="s">
        <v>8</v>
      </c>
      <c r="C80" s="52">
        <v>5</v>
      </c>
      <c r="D80" s="88" t="s">
        <v>3387</v>
      </c>
      <c r="E80" s="87"/>
      <c r="F80" s="115" t="s">
        <v>429</v>
      </c>
      <c r="G80" s="87" t="s">
        <v>108</v>
      </c>
      <c r="H80" s="87" t="s">
        <v>3454</v>
      </c>
      <c r="I80" s="87"/>
      <c r="J80" s="87" t="s">
        <v>11</v>
      </c>
      <c r="K80" s="87" t="s">
        <v>3393</v>
      </c>
      <c r="L80" s="87"/>
      <c r="M80" s="89"/>
      <c r="N80" s="87" t="str">
        <f>IF(ISNUMBER(PL[[#This Row],[CTO]]),"CTO "&amp;PL[[#This Row],[CTO]],"Otros")</f>
        <v>CTO 5</v>
      </c>
      <c r="O80" s="87" t="str">
        <f>IF(PL[[#This Row],[STATUS IUP]]="CERRADO","CERRADO",IF(ISNUMBER(SEARCH("validacion de enel",PL[[#This Row],[SUPPLIER NOTES]])),"PTE Validar Enel","ABIERTO"))</f>
        <v>PTE Validar Enel</v>
      </c>
      <c r="P80"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0"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 spans="1:17" ht="16" hidden="1" x14ac:dyDescent="0.2">
      <c r="A81" s="86" t="s">
        <v>464</v>
      </c>
      <c r="B81" s="115" t="s">
        <v>8</v>
      </c>
      <c r="C81" s="52">
        <v>5</v>
      </c>
      <c r="D81" s="88" t="s">
        <v>3387</v>
      </c>
      <c r="E81" s="87"/>
      <c r="F81" s="115" t="s">
        <v>465</v>
      </c>
      <c r="G81" s="82" t="s">
        <v>1290</v>
      </c>
      <c r="H81" s="87" t="s">
        <v>3454</v>
      </c>
      <c r="I81" s="87"/>
      <c r="J81" s="87" t="s">
        <v>11</v>
      </c>
      <c r="K81" s="87" t="s">
        <v>3393</v>
      </c>
      <c r="L81" s="87"/>
      <c r="M81" s="89"/>
      <c r="N81" s="87" t="str">
        <f>IF(ISNUMBER(PL[[#This Row],[CTO]]),"CTO "&amp;PL[[#This Row],[CTO]],"Otros")</f>
        <v>CTO 5</v>
      </c>
      <c r="O81" s="87" t="str">
        <f>IF(PL[[#This Row],[STATUS IUP]]="CERRADO","CERRADO",IF(ISNUMBER(SEARCH("validacion de enel",PL[[#This Row],[SUPPLIER NOTES]])),"PTE Validar Enel","ABIERTO"))</f>
        <v>PTE Validar Enel</v>
      </c>
      <c r="P8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 spans="1:17" hidden="1" x14ac:dyDescent="0.2">
      <c r="A82" s="78" t="s">
        <v>1566</v>
      </c>
      <c r="B82" s="79" t="s">
        <v>929</v>
      </c>
      <c r="C82" s="52">
        <v>5</v>
      </c>
      <c r="D82" s="80" t="s">
        <v>3387</v>
      </c>
      <c r="E82" s="79" t="s">
        <v>1307</v>
      </c>
      <c r="F82" s="79" t="s">
        <v>1305</v>
      </c>
      <c r="G82" s="82" t="s">
        <v>1290</v>
      </c>
      <c r="H82" s="79" t="s">
        <v>3457</v>
      </c>
      <c r="I82" s="79"/>
      <c r="J82" s="79" t="s">
        <v>11</v>
      </c>
      <c r="K82" s="79" t="s">
        <v>3393</v>
      </c>
      <c r="L82" s="79"/>
      <c r="M82" s="81"/>
      <c r="N82" s="79" t="str">
        <f>IF(ISNUMBER(PL[[#This Row],[CTO]]),"CTO "&amp;PL[[#This Row],[CTO]],"Otros")</f>
        <v>CTO 5</v>
      </c>
      <c r="O82" s="79" t="str">
        <f>IF(PL[[#This Row],[STATUS IUP]]="CERRADO","CERRADO",IF(ISNUMBER(SEARCH("validacion de enel",PL[[#This Row],[SUPPLIER NOTES]])),"PTE Validar Enel","ABIERTO"))</f>
        <v>ABIERTO</v>
      </c>
      <c r="P82" s="79" t="str">
        <f>IF(PL[[#This Row],[ESTADO]]="CERRADO","Cerrados IUP",IF(PL[[#This Row],[ESTADO]]="PTE Validar Enel","Pendiente cierre ENEL",IF(ISNUMBER(SEARCH("suministro",PL[[#This Row],[SUPPLIER NOTES]])),"Suministros",IF(PL[[#This Row],[SC]]="SOCIAL","Social",IF(ISNUMBER(SEARCH("monolito",PL[[#This Row],[DESCRIPTION]])),"Monolitos","Varios")))))</f>
        <v>Monolitos</v>
      </c>
      <c r="Q82"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 spans="1:17" hidden="1" x14ac:dyDescent="0.2">
      <c r="A83" s="78" t="s">
        <v>1303</v>
      </c>
      <c r="B83" s="79" t="s">
        <v>929</v>
      </c>
      <c r="C83" s="52">
        <v>5</v>
      </c>
      <c r="D83" s="80" t="s">
        <v>3387</v>
      </c>
      <c r="E83" s="79" t="s">
        <v>1304</v>
      </c>
      <c r="F83" s="79" t="s">
        <v>1305</v>
      </c>
      <c r="G83" s="82" t="s">
        <v>1290</v>
      </c>
      <c r="H83" s="79" t="s">
        <v>3457</v>
      </c>
      <c r="I83" s="79"/>
      <c r="J83" s="79" t="s">
        <v>11</v>
      </c>
      <c r="K83" s="79" t="s">
        <v>3393</v>
      </c>
      <c r="L83" s="79"/>
      <c r="M83" s="81"/>
      <c r="N83" s="79" t="str">
        <f>IF(ISNUMBER(PL[[#This Row],[CTO]]),"CTO "&amp;PL[[#This Row],[CTO]],"Otros")</f>
        <v>CTO 5</v>
      </c>
      <c r="O83" s="79" t="str">
        <f>IF(PL[[#This Row],[STATUS IUP]]="CERRADO","CERRADO",IF(ISNUMBER(SEARCH("validacion de enel",PL[[#This Row],[SUPPLIER NOTES]])),"PTE Validar Enel","ABIERTO"))</f>
        <v>ABIERTO</v>
      </c>
      <c r="P83" s="79" t="str">
        <f>IF(PL[[#This Row],[ESTADO]]="CERRADO","Cerrados IUP",IF(PL[[#This Row],[ESTADO]]="PTE Validar Enel","Pendiente cierre ENEL",IF(ISNUMBER(SEARCH("suministro",PL[[#This Row],[SUPPLIER NOTES]])),"Suministros",IF(PL[[#This Row],[SC]]="SOCIAL","Social",IF(ISNUMBER(SEARCH("monolito",PL[[#This Row],[DESCRIPTION]])),"Monolitos","Varios")))))</f>
        <v>Monolitos</v>
      </c>
      <c r="Q83"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 spans="1:17" s="157" customFormat="1" hidden="1" x14ac:dyDescent="0.2">
      <c r="A84" s="151" t="s">
        <v>424</v>
      </c>
      <c r="B84" s="154" t="s">
        <v>8</v>
      </c>
      <c r="C84" s="152">
        <v>5</v>
      </c>
      <c r="D84" s="153" t="s">
        <v>3387</v>
      </c>
      <c r="E84" s="154"/>
      <c r="F84" s="154" t="s">
        <v>425</v>
      </c>
      <c r="G84" s="154" t="s">
        <v>1290</v>
      </c>
      <c r="H84" s="154"/>
      <c r="I84" s="154"/>
      <c r="J84" s="154" t="s">
        <v>74</v>
      </c>
      <c r="K84" s="154" t="s">
        <v>3394</v>
      </c>
      <c r="L84" s="154"/>
      <c r="M84" s="156"/>
      <c r="N84" s="154" t="str">
        <f>IF(ISNUMBER(PL[[#This Row],[CTO]]),"CTO "&amp;PL[[#This Row],[CTO]],"Otros")</f>
        <v>CTO 5</v>
      </c>
      <c r="O84" s="154" t="str">
        <f>IF(PL[[#This Row],[STATUS IUP]]="CERRADO","CERRADO",IF(ISNUMBER(SEARCH("validacion de enel",PL[[#This Row],[SUPPLIER NOTES]])),"PTE Validar Enel","ABIERTO"))</f>
        <v>CERRADO</v>
      </c>
      <c r="P84" s="154" t="str">
        <f>IF(PL[[#This Row],[ESTADO]]="CERRADO","Cerrados IUP",IF(PL[[#This Row],[ESTADO]]="PTE Validar Enel","Pendiente cierre ENEL",IF(ISNUMBER(SEARCH("suministro",PL[[#This Row],[SUPPLIER NOTES]])),"Suministros",IF(PL[[#This Row],[SC]]="SOCIAL","Social",IF(ISNUMBER(SEARCH("monolito",PL[[#This Row],[DESCRIPTION]])),"Monolitos","Varios")))))</f>
        <v>Cerrados IUP</v>
      </c>
      <c r="Q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5" spans="1:17" s="157" customFormat="1" hidden="1" x14ac:dyDescent="0.2">
      <c r="A85" s="151" t="s">
        <v>430</v>
      </c>
      <c r="B85" s="154" t="s">
        <v>8</v>
      </c>
      <c r="C85" s="152">
        <v>5</v>
      </c>
      <c r="D85" s="153" t="s">
        <v>3387</v>
      </c>
      <c r="E85" s="154"/>
      <c r="F85" s="154" t="s">
        <v>431</v>
      </c>
      <c r="G85" s="154" t="s">
        <v>1290</v>
      </c>
      <c r="H85" s="154"/>
      <c r="I85" s="154"/>
      <c r="J85" s="154" t="s">
        <v>74</v>
      </c>
      <c r="K85" s="154" t="s">
        <v>3394</v>
      </c>
      <c r="L85" s="154"/>
      <c r="M85" s="156"/>
      <c r="N85" s="154" t="str">
        <f>IF(ISNUMBER(PL[[#This Row],[CTO]]),"CTO "&amp;PL[[#This Row],[CTO]],"Otros")</f>
        <v>CTO 5</v>
      </c>
      <c r="O85" s="154" t="str">
        <f>IF(PL[[#This Row],[STATUS IUP]]="CERRADO","CERRADO",IF(ISNUMBER(SEARCH("validacion de enel",PL[[#This Row],[SUPPLIER NOTES]])),"PTE Validar Enel","ABIERTO"))</f>
        <v>CERRADO</v>
      </c>
      <c r="P85" s="154" t="str">
        <f>IF(PL[[#This Row],[ESTADO]]="CERRADO","Cerrados IUP",IF(PL[[#This Row],[ESTADO]]="PTE Validar Enel","Pendiente cierre ENEL",IF(ISNUMBER(SEARCH("suministro",PL[[#This Row],[SUPPLIER NOTES]])),"Suministros",IF(PL[[#This Row],[SC]]="SOCIAL","Social",IF(ISNUMBER(SEARCH("monolito",PL[[#This Row],[DESCRIPTION]])),"Monolitos","Varios")))))</f>
        <v>Cerrados IUP</v>
      </c>
      <c r="Q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 spans="1:17" s="157" customFormat="1" hidden="1" x14ac:dyDescent="0.2">
      <c r="A86" s="151" t="s">
        <v>432</v>
      </c>
      <c r="B86" s="154" t="s">
        <v>8</v>
      </c>
      <c r="C86" s="152">
        <v>5</v>
      </c>
      <c r="D86" s="153" t="s">
        <v>3387</v>
      </c>
      <c r="E86" s="154"/>
      <c r="F86" s="154" t="s">
        <v>433</v>
      </c>
      <c r="G86" s="154" t="s">
        <v>1290</v>
      </c>
      <c r="H86" s="154"/>
      <c r="I86" s="154"/>
      <c r="J86" s="154" t="s">
        <v>74</v>
      </c>
      <c r="K86" s="154" t="s">
        <v>3394</v>
      </c>
      <c r="L86" s="154"/>
      <c r="M86" s="156"/>
      <c r="N86" s="154" t="str">
        <f>IF(ISNUMBER(PL[[#This Row],[CTO]]),"CTO "&amp;PL[[#This Row],[CTO]],"Otros")</f>
        <v>CTO 5</v>
      </c>
      <c r="O86" s="154" t="str">
        <f>IF(PL[[#This Row],[STATUS IUP]]="CERRADO","CERRADO",IF(ISNUMBER(SEARCH("validacion de enel",PL[[#This Row],[SUPPLIER NOTES]])),"PTE Validar Enel","ABIERTO"))</f>
        <v>CERRADO</v>
      </c>
      <c r="P86" s="154" t="str">
        <f>IF(PL[[#This Row],[ESTADO]]="CERRADO","Cerrados IUP",IF(PL[[#This Row],[ESTADO]]="PTE Validar Enel","Pendiente cierre ENEL",IF(ISNUMBER(SEARCH("suministro",PL[[#This Row],[SUPPLIER NOTES]])),"Suministros",IF(PL[[#This Row],[SC]]="SOCIAL","Social",IF(ISNUMBER(SEARCH("monolito",PL[[#This Row],[DESCRIPTION]])),"Monolitos","Varios")))))</f>
        <v>Cerrados IUP</v>
      </c>
      <c r="Q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 spans="1:17" s="157" customFormat="1" ht="32" hidden="1" x14ac:dyDescent="0.2">
      <c r="A87" s="151" t="s">
        <v>434</v>
      </c>
      <c r="B87" s="152" t="s">
        <v>8</v>
      </c>
      <c r="C87" s="152">
        <v>5</v>
      </c>
      <c r="D87" s="153" t="s">
        <v>3387</v>
      </c>
      <c r="E87" s="154"/>
      <c r="F87" s="152" t="s">
        <v>435</v>
      </c>
      <c r="G87" s="154" t="s">
        <v>1290</v>
      </c>
      <c r="H87" s="154"/>
      <c r="I87" s="154"/>
      <c r="J87" s="154" t="s">
        <v>74</v>
      </c>
      <c r="K87" s="154" t="s">
        <v>3394</v>
      </c>
      <c r="L87" s="155">
        <v>46293</v>
      </c>
      <c r="M87" s="156"/>
      <c r="N87" s="154" t="str">
        <f>IF(ISNUMBER(PL[[#This Row],[CTO]]),"CTO "&amp;PL[[#This Row],[CTO]],"Otros")</f>
        <v>CTO 5</v>
      </c>
      <c r="O87" s="154" t="str">
        <f>IF(PL[[#This Row],[STATUS IUP]]="CERRADO","CERRADO",IF(ISNUMBER(SEARCH("validacion de enel",PL[[#This Row],[SUPPLIER NOTES]])),"PTE Validar Enel","ABIERTO"))</f>
        <v>CERRADO</v>
      </c>
      <c r="P87" s="154" t="str">
        <f>IF(PL[[#This Row],[ESTADO]]="CERRADO","Cerrados IUP",IF(PL[[#This Row],[ESTADO]]="PTE Validar Enel","Pendiente cierre ENEL",IF(ISNUMBER(SEARCH("suministro",PL[[#This Row],[SUPPLIER NOTES]])),"Suministros",IF(PL[[#This Row],[SC]]="SOCIAL","Social",IF(ISNUMBER(SEARCH("monolito",PL[[#This Row],[DESCRIPTION]])),"Monolitos","Varios")))))</f>
        <v>Cerrados IUP</v>
      </c>
      <c r="Q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 spans="1:17" s="157" customFormat="1" ht="16" hidden="1" x14ac:dyDescent="0.2">
      <c r="A88" s="151" t="s">
        <v>436</v>
      </c>
      <c r="B88" s="152" t="s">
        <v>8</v>
      </c>
      <c r="C88" s="152">
        <v>5</v>
      </c>
      <c r="D88" s="153" t="s">
        <v>3387</v>
      </c>
      <c r="E88" s="154"/>
      <c r="F88" s="152" t="s">
        <v>437</v>
      </c>
      <c r="G88" s="154" t="s">
        <v>1290</v>
      </c>
      <c r="H88" s="154"/>
      <c r="I88" s="154"/>
      <c r="J88" s="154" t="s">
        <v>74</v>
      </c>
      <c r="K88" s="154" t="s">
        <v>3394</v>
      </c>
      <c r="L88" s="155">
        <v>46293</v>
      </c>
      <c r="M88" s="156"/>
      <c r="N88" s="154" t="str">
        <f>IF(ISNUMBER(PL[[#This Row],[CTO]]),"CTO "&amp;PL[[#This Row],[CTO]],"Otros")</f>
        <v>CTO 5</v>
      </c>
      <c r="O88" s="154" t="str">
        <f>IF(PL[[#This Row],[STATUS IUP]]="CERRADO","CERRADO",IF(ISNUMBER(SEARCH("validacion de enel",PL[[#This Row],[SUPPLIER NOTES]])),"PTE Validar Enel","ABIERTO"))</f>
        <v>CERRADO</v>
      </c>
      <c r="P88" s="154" t="str">
        <f>IF(PL[[#This Row],[ESTADO]]="CERRADO","Cerrados IUP",IF(PL[[#This Row],[ESTADO]]="PTE Validar Enel","Pendiente cierre ENEL",IF(ISNUMBER(SEARCH("suministro",PL[[#This Row],[SUPPLIER NOTES]])),"Suministros",IF(PL[[#This Row],[SC]]="SOCIAL","Social",IF(ISNUMBER(SEARCH("monolito",PL[[#This Row],[DESCRIPTION]])),"Monolitos","Varios")))))</f>
        <v>Cerrados IUP</v>
      </c>
      <c r="Q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 spans="1:17" s="157" customFormat="1" hidden="1" x14ac:dyDescent="0.2">
      <c r="A89" s="151" t="s">
        <v>438</v>
      </c>
      <c r="B89" s="154" t="s">
        <v>8</v>
      </c>
      <c r="C89" s="152">
        <v>5</v>
      </c>
      <c r="D89" s="153" t="s">
        <v>3387</v>
      </c>
      <c r="E89" s="154"/>
      <c r="F89" s="154" t="s">
        <v>439</v>
      </c>
      <c r="G89" s="154" t="s">
        <v>1290</v>
      </c>
      <c r="H89" s="154"/>
      <c r="I89" s="154"/>
      <c r="J89" s="154" t="s">
        <v>74</v>
      </c>
      <c r="K89" s="154" t="s">
        <v>3394</v>
      </c>
      <c r="L89" s="154"/>
      <c r="M89" s="156"/>
      <c r="N89" s="154" t="str">
        <f>IF(ISNUMBER(PL[[#This Row],[CTO]]),"CTO "&amp;PL[[#This Row],[CTO]],"Otros")</f>
        <v>CTO 5</v>
      </c>
      <c r="O89" s="154" t="str">
        <f>IF(PL[[#This Row],[STATUS IUP]]="CERRADO","CERRADO",IF(ISNUMBER(SEARCH("validacion de enel",PL[[#This Row],[SUPPLIER NOTES]])),"PTE Validar Enel","ABIERTO"))</f>
        <v>CERRADO</v>
      </c>
      <c r="P89" s="154" t="str">
        <f>IF(PL[[#This Row],[ESTADO]]="CERRADO","Cerrados IUP",IF(PL[[#This Row],[ESTADO]]="PTE Validar Enel","Pendiente cierre ENEL",IF(ISNUMBER(SEARCH("suministro",PL[[#This Row],[SUPPLIER NOTES]])),"Suministros",IF(PL[[#This Row],[SC]]="SOCIAL","Social",IF(ISNUMBER(SEARCH("monolito",PL[[#This Row],[DESCRIPTION]])),"Monolitos","Varios")))))</f>
        <v>Cerrados IUP</v>
      </c>
      <c r="Q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 spans="1:17" s="157" customFormat="1" hidden="1" x14ac:dyDescent="0.2">
      <c r="A90" s="151" t="s">
        <v>462</v>
      </c>
      <c r="B90" s="154" t="s">
        <v>8</v>
      </c>
      <c r="C90" s="152">
        <v>5</v>
      </c>
      <c r="D90" s="153" t="s">
        <v>3387</v>
      </c>
      <c r="E90" s="154"/>
      <c r="F90" s="154" t="s">
        <v>463</v>
      </c>
      <c r="G90" s="154" t="s">
        <v>43</v>
      </c>
      <c r="H90" s="154"/>
      <c r="I90" s="154"/>
      <c r="J90" s="154" t="s">
        <v>74</v>
      </c>
      <c r="K90" s="154" t="s">
        <v>3394</v>
      </c>
      <c r="L90" s="154"/>
      <c r="M90" s="156"/>
      <c r="N90" s="154" t="str">
        <f>IF(ISNUMBER(PL[[#This Row],[CTO]]),"CTO "&amp;PL[[#This Row],[CTO]],"Otros")</f>
        <v>CTO 5</v>
      </c>
      <c r="O90" s="154" t="str">
        <f>IF(PL[[#This Row],[STATUS IUP]]="CERRADO","CERRADO",IF(ISNUMBER(SEARCH("validacion de enel",PL[[#This Row],[SUPPLIER NOTES]])),"PTE Validar Enel","ABIERTO"))</f>
        <v>CERRADO</v>
      </c>
      <c r="P90" s="154" t="str">
        <f>IF(PL[[#This Row],[ESTADO]]="CERRADO","Cerrados IUP",IF(PL[[#This Row],[ESTADO]]="PTE Validar Enel","Pendiente cierre ENEL",IF(ISNUMBER(SEARCH("suministro",PL[[#This Row],[SUPPLIER NOTES]])),"Suministros",IF(PL[[#This Row],[SC]]="SOCIAL","Social",IF(ISNUMBER(SEARCH("monolito",PL[[#This Row],[DESCRIPTION]])),"Monolitos","Varios")))))</f>
        <v>Cerrados IUP</v>
      </c>
      <c r="Q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1" spans="1:17" s="157" customFormat="1" hidden="1" x14ac:dyDescent="0.2">
      <c r="A91" s="151" t="s">
        <v>470</v>
      </c>
      <c r="B91" s="154" t="s">
        <v>8</v>
      </c>
      <c r="C91" s="152">
        <v>5</v>
      </c>
      <c r="D91" s="153" t="s">
        <v>3387</v>
      </c>
      <c r="E91" s="154"/>
      <c r="F91" s="154" t="s">
        <v>471</v>
      </c>
      <c r="G91" s="154" t="s">
        <v>43</v>
      </c>
      <c r="H91" s="154"/>
      <c r="I91" s="154"/>
      <c r="J91" s="154" t="s">
        <v>74</v>
      </c>
      <c r="K91" s="154" t="s">
        <v>3394</v>
      </c>
      <c r="L91" s="154"/>
      <c r="M91" s="156"/>
      <c r="N91" s="154" t="str">
        <f>IF(ISNUMBER(PL[[#This Row],[CTO]]),"CTO "&amp;PL[[#This Row],[CTO]],"Otros")</f>
        <v>CTO 5</v>
      </c>
      <c r="O91" s="154" t="str">
        <f>IF(PL[[#This Row],[STATUS IUP]]="CERRADO","CERRADO",IF(ISNUMBER(SEARCH("validacion de enel",PL[[#This Row],[SUPPLIER NOTES]])),"PTE Validar Enel","ABIERTO"))</f>
        <v>CERRADO</v>
      </c>
      <c r="P91" s="154" t="str">
        <f>IF(PL[[#This Row],[ESTADO]]="CERRADO","Cerrados IUP",IF(PL[[#This Row],[ESTADO]]="PTE Validar Enel","Pendiente cierre ENEL",IF(ISNUMBER(SEARCH("suministro",PL[[#This Row],[SUPPLIER NOTES]])),"Suministros",IF(PL[[#This Row],[SC]]="SOCIAL","Social",IF(ISNUMBER(SEARCH("monolito",PL[[#This Row],[DESCRIPTION]])),"Monolitos","Varios")))))</f>
        <v>Cerrados IUP</v>
      </c>
      <c r="Q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2" spans="1:17" s="157" customFormat="1" hidden="1" x14ac:dyDescent="0.2">
      <c r="A92" s="151" t="s">
        <v>472</v>
      </c>
      <c r="B92" s="154" t="s">
        <v>8</v>
      </c>
      <c r="C92" s="152">
        <v>5</v>
      </c>
      <c r="D92" s="153" t="s">
        <v>3387</v>
      </c>
      <c r="E92" s="154"/>
      <c r="F92" s="154" t="s">
        <v>473</v>
      </c>
      <c r="G92" s="154" t="s">
        <v>43</v>
      </c>
      <c r="H92" s="154"/>
      <c r="I92" s="154"/>
      <c r="J92" s="154" t="s">
        <v>74</v>
      </c>
      <c r="K92" s="154" t="s">
        <v>3394</v>
      </c>
      <c r="L92" s="154"/>
      <c r="M92" s="156"/>
      <c r="N92" s="154" t="str">
        <f>IF(ISNUMBER(PL[[#This Row],[CTO]]),"CTO "&amp;PL[[#This Row],[CTO]],"Otros")</f>
        <v>CTO 5</v>
      </c>
      <c r="O92" s="154" t="str">
        <f>IF(PL[[#This Row],[STATUS IUP]]="CERRADO","CERRADO",IF(ISNUMBER(SEARCH("validacion de enel",PL[[#This Row],[SUPPLIER NOTES]])),"PTE Validar Enel","ABIERTO"))</f>
        <v>CERRADO</v>
      </c>
      <c r="P92" s="154" t="str">
        <f>IF(PL[[#This Row],[ESTADO]]="CERRADO","Cerrados IUP",IF(PL[[#This Row],[ESTADO]]="PTE Validar Enel","Pendiente cierre ENEL",IF(ISNUMBER(SEARCH("suministro",PL[[#This Row],[SUPPLIER NOTES]])),"Suministros",IF(PL[[#This Row],[SC]]="SOCIAL","Social",IF(ISNUMBER(SEARCH("monolito",PL[[#This Row],[DESCRIPTION]])),"Monolitos","Varios")))))</f>
        <v>Cerrados IUP</v>
      </c>
      <c r="Q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3" spans="1:17" s="157" customFormat="1" hidden="1" x14ac:dyDescent="0.2">
      <c r="A93" s="151" t="s">
        <v>474</v>
      </c>
      <c r="B93" s="154" t="s">
        <v>8</v>
      </c>
      <c r="C93" s="152">
        <v>5</v>
      </c>
      <c r="D93" s="153" t="s">
        <v>3387</v>
      </c>
      <c r="E93" s="154"/>
      <c r="F93" s="154" t="s">
        <v>475</v>
      </c>
      <c r="G93" s="154" t="s">
        <v>1290</v>
      </c>
      <c r="H93" s="154"/>
      <c r="I93" s="154"/>
      <c r="J93" s="154" t="s">
        <v>74</v>
      </c>
      <c r="K93" s="154" t="s">
        <v>3394</v>
      </c>
      <c r="L93" s="154"/>
      <c r="M93" s="156"/>
      <c r="N93" s="154" t="str">
        <f>IF(ISNUMBER(PL[[#This Row],[CTO]]),"CTO "&amp;PL[[#This Row],[CTO]],"Otros")</f>
        <v>CTO 5</v>
      </c>
      <c r="O93" s="154" t="str">
        <f>IF(PL[[#This Row],[STATUS IUP]]="CERRADO","CERRADO",IF(ISNUMBER(SEARCH("validacion de enel",PL[[#This Row],[SUPPLIER NOTES]])),"PTE Validar Enel","ABIERTO"))</f>
        <v>CERRADO</v>
      </c>
      <c r="P93" s="154" t="str">
        <f>IF(PL[[#This Row],[ESTADO]]="CERRADO","Cerrados IUP",IF(PL[[#This Row],[ESTADO]]="PTE Validar Enel","Pendiente cierre ENEL",IF(ISNUMBER(SEARCH("suministro",PL[[#This Row],[SUPPLIER NOTES]])),"Suministros",IF(PL[[#This Row],[SC]]="SOCIAL","Social",IF(ISNUMBER(SEARCH("monolito",PL[[#This Row],[DESCRIPTION]])),"Monolitos","Varios")))))</f>
        <v>Cerrados IUP</v>
      </c>
      <c r="Q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 spans="1:17" s="157" customFormat="1" hidden="1" x14ac:dyDescent="0.2">
      <c r="A94" s="151" t="s">
        <v>476</v>
      </c>
      <c r="B94" s="154" t="s">
        <v>8</v>
      </c>
      <c r="C94" s="152">
        <v>5</v>
      </c>
      <c r="D94" s="153" t="s">
        <v>3387</v>
      </c>
      <c r="E94" s="154"/>
      <c r="F94" s="154" t="s">
        <v>477</v>
      </c>
      <c r="G94" s="154" t="s">
        <v>1289</v>
      </c>
      <c r="H94" s="154"/>
      <c r="I94" s="154"/>
      <c r="J94" s="154" t="s">
        <v>74</v>
      </c>
      <c r="K94" s="154" t="s">
        <v>3394</v>
      </c>
      <c r="L94" s="154"/>
      <c r="M94" s="156"/>
      <c r="N94" s="154" t="str">
        <f>IF(ISNUMBER(PL[[#This Row],[CTO]]),"CTO "&amp;PL[[#This Row],[CTO]],"Otros")</f>
        <v>CTO 5</v>
      </c>
      <c r="O94" s="154" t="str">
        <f>IF(PL[[#This Row],[STATUS IUP]]="CERRADO","CERRADO",IF(ISNUMBER(SEARCH("validacion de enel",PL[[#This Row],[SUPPLIER NOTES]])),"PTE Validar Enel","ABIERTO"))</f>
        <v>CERRADO</v>
      </c>
      <c r="P94" s="154" t="str">
        <f>IF(PL[[#This Row],[ESTADO]]="CERRADO","Cerrados IUP",IF(PL[[#This Row],[ESTADO]]="PTE Validar Enel","Pendiente cierre ENEL",IF(ISNUMBER(SEARCH("suministro",PL[[#This Row],[SUPPLIER NOTES]])),"Suministros",IF(PL[[#This Row],[SC]]="SOCIAL","Social",IF(ISNUMBER(SEARCH("monolito",PL[[#This Row],[DESCRIPTION]])),"Monolitos","Varios")))))</f>
        <v>Cerrados IUP</v>
      </c>
      <c r="Q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5" spans="1:17" s="157" customFormat="1" hidden="1" x14ac:dyDescent="0.2">
      <c r="A95" s="151" t="s">
        <v>478</v>
      </c>
      <c r="B95" s="154" t="s">
        <v>8</v>
      </c>
      <c r="C95" s="152">
        <v>5</v>
      </c>
      <c r="D95" s="153" t="s">
        <v>3387</v>
      </c>
      <c r="E95" s="154"/>
      <c r="F95" s="154" t="s">
        <v>479</v>
      </c>
      <c r="G95" s="154" t="s">
        <v>43</v>
      </c>
      <c r="H95" s="154"/>
      <c r="I95" s="154"/>
      <c r="J95" s="154" t="s">
        <v>74</v>
      </c>
      <c r="K95" s="154" t="s">
        <v>3394</v>
      </c>
      <c r="L95" s="154"/>
      <c r="M95" s="156"/>
      <c r="N95" s="154" t="str">
        <f>IF(ISNUMBER(PL[[#This Row],[CTO]]),"CTO "&amp;PL[[#This Row],[CTO]],"Otros")</f>
        <v>CTO 5</v>
      </c>
      <c r="O95" s="154" t="str">
        <f>IF(PL[[#This Row],[STATUS IUP]]="CERRADO","CERRADO",IF(ISNUMBER(SEARCH("validacion de enel",PL[[#This Row],[SUPPLIER NOTES]])),"PTE Validar Enel","ABIERTO"))</f>
        <v>CERRADO</v>
      </c>
      <c r="P95" s="154" t="str">
        <f>IF(PL[[#This Row],[ESTADO]]="CERRADO","Cerrados IUP",IF(PL[[#This Row],[ESTADO]]="PTE Validar Enel","Pendiente cierre ENEL",IF(ISNUMBER(SEARCH("suministro",PL[[#This Row],[SUPPLIER NOTES]])),"Suministros",IF(PL[[#This Row],[SC]]="SOCIAL","Social",IF(ISNUMBER(SEARCH("monolito",PL[[#This Row],[DESCRIPTION]])),"Monolitos","Varios")))))</f>
        <v>Cerrados IUP</v>
      </c>
      <c r="Q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6" spans="1:17" ht="32" x14ac:dyDescent="0.2">
      <c r="A96" s="86" t="s">
        <v>480</v>
      </c>
      <c r="B96" s="115" t="s">
        <v>8</v>
      </c>
      <c r="C96" s="52">
        <v>5</v>
      </c>
      <c r="D96" s="88" t="s">
        <v>3387</v>
      </c>
      <c r="E96" s="87"/>
      <c r="F96" s="115" t="s">
        <v>481</v>
      </c>
      <c r="G96" s="87" t="s">
        <v>43</v>
      </c>
      <c r="H96" s="87" t="s">
        <v>3454</v>
      </c>
      <c r="I96" s="87"/>
      <c r="J96" s="87" t="s">
        <v>11</v>
      </c>
      <c r="K96" s="87" t="s">
        <v>3393</v>
      </c>
      <c r="L96" s="87"/>
      <c r="M96" s="89"/>
      <c r="N96" s="87" t="str">
        <f>IF(ISNUMBER(PL[[#This Row],[CTO]]),"CTO "&amp;PL[[#This Row],[CTO]],"Otros")</f>
        <v>CTO 5</v>
      </c>
      <c r="O96" s="87" t="str">
        <f>IF(PL[[#This Row],[STATUS IUP]]="CERRADO","CERRADO",IF(ISNUMBER(SEARCH("validacion de enel",PL[[#This Row],[SUPPLIER NOTES]])),"PTE Validar Enel","ABIERTO"))</f>
        <v>PTE Validar Enel</v>
      </c>
      <c r="P9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9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7" spans="1:17" ht="32" x14ac:dyDescent="0.2">
      <c r="A97" s="86" t="s">
        <v>482</v>
      </c>
      <c r="B97" s="115" t="s">
        <v>8</v>
      </c>
      <c r="C97" s="52">
        <v>5</v>
      </c>
      <c r="D97" s="88" t="s">
        <v>3387</v>
      </c>
      <c r="E97" s="87"/>
      <c r="F97" s="115" t="s">
        <v>483</v>
      </c>
      <c r="G97" s="87" t="s">
        <v>43</v>
      </c>
      <c r="H97" s="87" t="s">
        <v>3454</v>
      </c>
      <c r="I97" s="87"/>
      <c r="J97" s="87" t="s">
        <v>11</v>
      </c>
      <c r="K97" s="87" t="s">
        <v>3393</v>
      </c>
      <c r="L97" s="87"/>
      <c r="M97" s="89"/>
      <c r="N97" s="87" t="str">
        <f>IF(ISNUMBER(PL[[#This Row],[CTO]]),"CTO "&amp;PL[[#This Row],[CTO]],"Otros")</f>
        <v>CTO 5</v>
      </c>
      <c r="O97" s="87" t="str">
        <f>IF(PL[[#This Row],[STATUS IUP]]="CERRADO","CERRADO",IF(ISNUMBER(SEARCH("validacion de enel",PL[[#This Row],[SUPPLIER NOTES]])),"PTE Validar Enel","ABIERTO"))</f>
        <v>PTE Validar Enel</v>
      </c>
      <c r="P9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9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8" spans="1:17" s="157" customFormat="1" ht="32" hidden="1" x14ac:dyDescent="0.2">
      <c r="A98" s="151" t="s">
        <v>144</v>
      </c>
      <c r="B98" s="152" t="s">
        <v>8</v>
      </c>
      <c r="C98" s="152">
        <v>5</v>
      </c>
      <c r="D98" s="153" t="s">
        <v>3387</v>
      </c>
      <c r="E98" s="154"/>
      <c r="F98" s="152" t="s">
        <v>145</v>
      </c>
      <c r="G98" s="154" t="s">
        <v>1290</v>
      </c>
      <c r="H98" s="154"/>
      <c r="I98" s="154"/>
      <c r="J98" s="154" t="s">
        <v>74</v>
      </c>
      <c r="K98" s="154" t="s">
        <v>3394</v>
      </c>
      <c r="L98" s="155">
        <v>46293</v>
      </c>
      <c r="M98" s="156"/>
      <c r="N98" s="154" t="str">
        <f>IF(ISNUMBER(PL[[#This Row],[CTO]]),"CTO "&amp;PL[[#This Row],[CTO]],"Otros")</f>
        <v>CTO 5</v>
      </c>
      <c r="O98" s="154" t="str">
        <f>IF(PL[[#This Row],[STATUS IUP]]="CERRADO","CERRADO",IF(ISNUMBER(SEARCH("validacion de enel",PL[[#This Row],[SUPPLIER NOTES]])),"PTE Validar Enel","ABIERTO"))</f>
        <v>CERRADO</v>
      </c>
      <c r="P98" s="154" t="str">
        <f>IF(PL[[#This Row],[ESTADO]]="CERRADO","Cerrados IUP",IF(PL[[#This Row],[ESTADO]]="PTE Validar Enel","Pendiente cierre ENEL",IF(ISNUMBER(SEARCH("suministro",PL[[#This Row],[SUPPLIER NOTES]])),"Suministros",IF(PL[[#This Row],[SC]]="SOCIAL","Social",IF(ISNUMBER(SEARCH("monolito",PL[[#This Row],[DESCRIPTION]])),"Monolitos","Varios")))))</f>
        <v>Cerrados IUP</v>
      </c>
      <c r="Q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 spans="1:17" s="157" customFormat="1" hidden="1" x14ac:dyDescent="0.2">
      <c r="A99" s="151" t="s">
        <v>146</v>
      </c>
      <c r="B99" s="154" t="s">
        <v>8</v>
      </c>
      <c r="C99" s="152">
        <v>5</v>
      </c>
      <c r="D99" s="153" t="s">
        <v>3387</v>
      </c>
      <c r="E99" s="154"/>
      <c r="F99" s="154" t="s">
        <v>147</v>
      </c>
      <c r="G99" s="154" t="s">
        <v>43</v>
      </c>
      <c r="H99" s="154"/>
      <c r="I99" s="154"/>
      <c r="J99" s="154" t="s">
        <v>74</v>
      </c>
      <c r="K99" s="154" t="s">
        <v>3394</v>
      </c>
      <c r="L99" s="154"/>
      <c r="M99" s="156"/>
      <c r="N99" s="154" t="str">
        <f>IF(ISNUMBER(PL[[#This Row],[CTO]]),"CTO "&amp;PL[[#This Row],[CTO]],"Otros")</f>
        <v>CTO 5</v>
      </c>
      <c r="O99" s="154" t="str">
        <f>IF(PL[[#This Row],[STATUS IUP]]="CERRADO","CERRADO",IF(ISNUMBER(SEARCH("validacion de enel",PL[[#This Row],[SUPPLIER NOTES]])),"PTE Validar Enel","ABIERTO"))</f>
        <v>CERRADO</v>
      </c>
      <c r="P99" s="154" t="str">
        <f>IF(PL[[#This Row],[ESTADO]]="CERRADO","Cerrados IUP",IF(PL[[#This Row],[ESTADO]]="PTE Validar Enel","Pendiente cierre ENEL",IF(ISNUMBER(SEARCH("suministro",PL[[#This Row],[SUPPLIER NOTES]])),"Suministros",IF(PL[[#This Row],[SC]]="SOCIAL","Social",IF(ISNUMBER(SEARCH("monolito",PL[[#This Row],[DESCRIPTION]])),"Monolitos","Varios")))))</f>
        <v>Cerrados IUP</v>
      </c>
      <c r="Q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00" spans="1:17" s="157" customFormat="1" hidden="1" x14ac:dyDescent="0.2">
      <c r="A100" s="151" t="s">
        <v>148</v>
      </c>
      <c r="B100" s="154" t="s">
        <v>8</v>
      </c>
      <c r="C100" s="152">
        <v>5</v>
      </c>
      <c r="D100" s="153" t="s">
        <v>3387</v>
      </c>
      <c r="E100" s="154"/>
      <c r="F100" s="154" t="s">
        <v>149</v>
      </c>
      <c r="G100" s="154" t="s">
        <v>1289</v>
      </c>
      <c r="H100" s="154"/>
      <c r="I100" s="154"/>
      <c r="J100" s="154" t="s">
        <v>74</v>
      </c>
      <c r="K100" s="154" t="s">
        <v>3394</v>
      </c>
      <c r="L100" s="154"/>
      <c r="M100" s="156"/>
      <c r="N100" s="154" t="str">
        <f>IF(ISNUMBER(PL[[#This Row],[CTO]]),"CTO "&amp;PL[[#This Row],[CTO]],"Otros")</f>
        <v>CTO 5</v>
      </c>
      <c r="O100" s="154" t="str">
        <f>IF(PL[[#This Row],[STATUS IUP]]="CERRADO","CERRADO",IF(ISNUMBER(SEARCH("validacion de enel",PL[[#This Row],[SUPPLIER NOTES]])),"PTE Validar Enel","ABIERTO"))</f>
        <v>CERRADO</v>
      </c>
      <c r="P100" s="154" t="str">
        <f>IF(PL[[#This Row],[ESTADO]]="CERRADO","Cerrados IUP",IF(PL[[#This Row],[ESTADO]]="PTE Validar Enel","Pendiente cierre ENEL",IF(ISNUMBER(SEARCH("suministro",PL[[#This Row],[SUPPLIER NOTES]])),"Suministros",IF(PL[[#This Row],[SC]]="SOCIAL","Social",IF(ISNUMBER(SEARCH("monolito",PL[[#This Row],[DESCRIPTION]])),"Monolitos","Varios")))))</f>
        <v>Cerrados IUP</v>
      </c>
      <c r="Q1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 spans="1:17" s="157" customFormat="1" hidden="1" x14ac:dyDescent="0.2">
      <c r="A101" s="151" t="s">
        <v>150</v>
      </c>
      <c r="B101" s="154" t="s">
        <v>8</v>
      </c>
      <c r="C101" s="152">
        <v>5</v>
      </c>
      <c r="D101" s="153" t="s">
        <v>3387</v>
      </c>
      <c r="E101" s="154"/>
      <c r="F101" s="154" t="s">
        <v>151</v>
      </c>
      <c r="G101" s="154" t="s">
        <v>1290</v>
      </c>
      <c r="H101" s="154"/>
      <c r="I101" s="154"/>
      <c r="J101" s="154" t="s">
        <v>74</v>
      </c>
      <c r="K101" s="154" t="s">
        <v>3394</v>
      </c>
      <c r="L101" s="154"/>
      <c r="M101" s="156"/>
      <c r="N101" s="154" t="str">
        <f>IF(ISNUMBER(PL[[#This Row],[CTO]]),"CTO "&amp;PL[[#This Row],[CTO]],"Otros")</f>
        <v>CTO 5</v>
      </c>
      <c r="O101" s="154" t="str">
        <f>IF(PL[[#This Row],[STATUS IUP]]="CERRADO","CERRADO",IF(ISNUMBER(SEARCH("validacion de enel",PL[[#This Row],[SUPPLIER NOTES]])),"PTE Validar Enel","ABIERTO"))</f>
        <v>CERRADO</v>
      </c>
      <c r="P101" s="154" t="str">
        <f>IF(PL[[#This Row],[ESTADO]]="CERRADO","Cerrados IUP",IF(PL[[#This Row],[ESTADO]]="PTE Validar Enel","Pendiente cierre ENEL",IF(ISNUMBER(SEARCH("suministro",PL[[#This Row],[SUPPLIER NOTES]])),"Suministros",IF(PL[[#This Row],[SC]]="SOCIAL","Social",IF(ISNUMBER(SEARCH("monolito",PL[[#This Row],[DESCRIPTION]])),"Monolitos","Varios")))))</f>
        <v>Cerrados IUP</v>
      </c>
      <c r="Q1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 spans="1:17" s="157" customFormat="1" hidden="1" x14ac:dyDescent="0.2">
      <c r="A102" s="151" t="s">
        <v>152</v>
      </c>
      <c r="B102" s="154" t="s">
        <v>8</v>
      </c>
      <c r="C102" s="152">
        <v>5</v>
      </c>
      <c r="D102" s="153" t="s">
        <v>3387</v>
      </c>
      <c r="E102" s="154"/>
      <c r="F102" s="154" t="s">
        <v>153</v>
      </c>
      <c r="G102" s="154" t="s">
        <v>1290</v>
      </c>
      <c r="H102" s="154"/>
      <c r="I102" s="154"/>
      <c r="J102" s="154" t="s">
        <v>74</v>
      </c>
      <c r="K102" s="154" t="s">
        <v>3394</v>
      </c>
      <c r="L102" s="154"/>
      <c r="M102" s="156"/>
      <c r="N102" s="154" t="str">
        <f>IF(ISNUMBER(PL[[#This Row],[CTO]]),"CTO "&amp;PL[[#This Row],[CTO]],"Otros")</f>
        <v>CTO 5</v>
      </c>
      <c r="O102" s="154" t="str">
        <f>IF(PL[[#This Row],[STATUS IUP]]="CERRADO","CERRADO",IF(ISNUMBER(SEARCH("validacion de enel",PL[[#This Row],[SUPPLIER NOTES]])),"PTE Validar Enel","ABIERTO"))</f>
        <v>CERRADO</v>
      </c>
      <c r="P102" s="154" t="str">
        <f>IF(PL[[#This Row],[ESTADO]]="CERRADO","Cerrados IUP",IF(PL[[#This Row],[ESTADO]]="PTE Validar Enel","Pendiente cierre ENEL",IF(ISNUMBER(SEARCH("suministro",PL[[#This Row],[SUPPLIER NOTES]])),"Suministros",IF(PL[[#This Row],[SC]]="SOCIAL","Social",IF(ISNUMBER(SEARCH("monolito",PL[[#This Row],[DESCRIPTION]])),"Monolitos","Varios")))))</f>
        <v>Cerrados IUP</v>
      </c>
      <c r="Q1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 spans="1:17" s="157" customFormat="1" hidden="1" x14ac:dyDescent="0.2">
      <c r="A103" s="151" t="s">
        <v>154</v>
      </c>
      <c r="B103" s="154" t="s">
        <v>8</v>
      </c>
      <c r="C103" s="152">
        <v>5</v>
      </c>
      <c r="D103" s="153" t="s">
        <v>3387</v>
      </c>
      <c r="E103" s="154"/>
      <c r="F103" s="154" t="s">
        <v>155</v>
      </c>
      <c r="G103" s="154" t="s">
        <v>43</v>
      </c>
      <c r="H103" s="154"/>
      <c r="I103" s="154"/>
      <c r="J103" s="154" t="s">
        <v>74</v>
      </c>
      <c r="K103" s="154" t="s">
        <v>3394</v>
      </c>
      <c r="L103" s="154"/>
      <c r="M103" s="156"/>
      <c r="N103" s="154" t="str">
        <f>IF(ISNUMBER(PL[[#This Row],[CTO]]),"CTO "&amp;PL[[#This Row],[CTO]],"Otros")</f>
        <v>CTO 5</v>
      </c>
      <c r="O103" s="154" t="str">
        <f>IF(PL[[#This Row],[STATUS IUP]]="CERRADO","CERRADO",IF(ISNUMBER(SEARCH("validacion de enel",PL[[#This Row],[SUPPLIER NOTES]])),"PTE Validar Enel","ABIERTO"))</f>
        <v>CERRADO</v>
      </c>
      <c r="P103" s="154" t="str">
        <f>IF(PL[[#This Row],[ESTADO]]="CERRADO","Cerrados IUP",IF(PL[[#This Row],[ESTADO]]="PTE Validar Enel","Pendiente cierre ENEL",IF(ISNUMBER(SEARCH("suministro",PL[[#This Row],[SUPPLIER NOTES]])),"Suministros",IF(PL[[#This Row],[SC]]="SOCIAL","Social",IF(ISNUMBER(SEARCH("monolito",PL[[#This Row],[DESCRIPTION]])),"Monolitos","Varios")))))</f>
        <v>Cerrados IUP</v>
      </c>
      <c r="Q1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04" spans="1:17" s="157" customFormat="1" hidden="1" x14ac:dyDescent="0.2">
      <c r="A104" s="151" t="s">
        <v>156</v>
      </c>
      <c r="B104" s="154" t="s">
        <v>8</v>
      </c>
      <c r="C104" s="152">
        <v>5</v>
      </c>
      <c r="D104" s="153" t="s">
        <v>3387</v>
      </c>
      <c r="E104" s="154"/>
      <c r="F104" s="154" t="s">
        <v>157</v>
      </c>
      <c r="G104" s="154" t="s">
        <v>1290</v>
      </c>
      <c r="H104" s="154"/>
      <c r="I104" s="154"/>
      <c r="J104" s="154" t="s">
        <v>74</v>
      </c>
      <c r="K104" s="154" t="s">
        <v>3394</v>
      </c>
      <c r="L104" s="154"/>
      <c r="M104" s="156"/>
      <c r="N104" s="154" t="str">
        <f>IF(ISNUMBER(PL[[#This Row],[CTO]]),"CTO "&amp;PL[[#This Row],[CTO]],"Otros")</f>
        <v>CTO 5</v>
      </c>
      <c r="O104" s="154" t="str">
        <f>IF(PL[[#This Row],[STATUS IUP]]="CERRADO","CERRADO",IF(ISNUMBER(SEARCH("validacion de enel",PL[[#This Row],[SUPPLIER NOTES]])),"PTE Validar Enel","ABIERTO"))</f>
        <v>CERRADO</v>
      </c>
      <c r="P104" s="154" t="str">
        <f>IF(PL[[#This Row],[ESTADO]]="CERRADO","Cerrados IUP",IF(PL[[#This Row],[ESTADO]]="PTE Validar Enel","Pendiente cierre ENEL",IF(ISNUMBER(SEARCH("suministro",PL[[#This Row],[SUPPLIER NOTES]])),"Suministros",IF(PL[[#This Row],[SC]]="SOCIAL","Social",IF(ISNUMBER(SEARCH("monolito",PL[[#This Row],[DESCRIPTION]])),"Monolitos","Varios")))))</f>
        <v>Cerrados IUP</v>
      </c>
      <c r="Q1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 spans="1:17" s="157" customFormat="1" hidden="1" x14ac:dyDescent="0.2">
      <c r="A105" s="151" t="s">
        <v>158</v>
      </c>
      <c r="B105" s="154" t="s">
        <v>8</v>
      </c>
      <c r="C105" s="152">
        <v>5</v>
      </c>
      <c r="D105" s="153" t="s">
        <v>3387</v>
      </c>
      <c r="E105" s="154"/>
      <c r="F105" s="154" t="s">
        <v>159</v>
      </c>
      <c r="G105" s="154" t="s">
        <v>1290</v>
      </c>
      <c r="H105" s="154"/>
      <c r="I105" s="154"/>
      <c r="J105" s="154" t="s">
        <v>74</v>
      </c>
      <c r="K105" s="154" t="s">
        <v>3394</v>
      </c>
      <c r="L105" s="154"/>
      <c r="M105" s="156"/>
      <c r="N105" s="154" t="str">
        <f>IF(ISNUMBER(PL[[#This Row],[CTO]]),"CTO "&amp;PL[[#This Row],[CTO]],"Otros")</f>
        <v>CTO 5</v>
      </c>
      <c r="O105" s="154" t="str">
        <f>IF(PL[[#This Row],[STATUS IUP]]="CERRADO","CERRADO",IF(ISNUMBER(SEARCH("validacion de enel",PL[[#This Row],[SUPPLIER NOTES]])),"PTE Validar Enel","ABIERTO"))</f>
        <v>CERRADO</v>
      </c>
      <c r="P105" s="154" t="str">
        <f>IF(PL[[#This Row],[ESTADO]]="CERRADO","Cerrados IUP",IF(PL[[#This Row],[ESTADO]]="PTE Validar Enel","Pendiente cierre ENEL",IF(ISNUMBER(SEARCH("suministro",PL[[#This Row],[SUPPLIER NOTES]])),"Suministros",IF(PL[[#This Row],[SC]]="SOCIAL","Social",IF(ISNUMBER(SEARCH("monolito",PL[[#This Row],[DESCRIPTION]])),"Monolitos","Varios")))))</f>
        <v>Cerrados IUP</v>
      </c>
      <c r="Q1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6" spans="1:17" s="157" customFormat="1" hidden="1" x14ac:dyDescent="0.2">
      <c r="A106" s="151" t="s">
        <v>160</v>
      </c>
      <c r="B106" s="154" t="s">
        <v>8</v>
      </c>
      <c r="C106" s="152">
        <v>5</v>
      </c>
      <c r="D106" s="153" t="s">
        <v>3387</v>
      </c>
      <c r="E106" s="154"/>
      <c r="F106" s="154" t="s">
        <v>161</v>
      </c>
      <c r="G106" s="154" t="s">
        <v>1290</v>
      </c>
      <c r="H106" s="154" t="s">
        <v>163</v>
      </c>
      <c r="I106" s="154" t="s">
        <v>163</v>
      </c>
      <c r="J106" s="154" t="s">
        <v>74</v>
      </c>
      <c r="K106" s="154" t="s">
        <v>3394</v>
      </c>
      <c r="L106" s="161">
        <v>46231</v>
      </c>
      <c r="M106" s="160">
        <v>46231</v>
      </c>
      <c r="N106" s="154" t="str">
        <f>IF(ISNUMBER(PL[[#This Row],[CTO]]),"CTO "&amp;PL[[#This Row],[CTO]],"Otros")</f>
        <v>CTO 5</v>
      </c>
      <c r="O106" s="154" t="str">
        <f>IF(PL[[#This Row],[STATUS IUP]]="CERRADO","CERRADO",IF(ISNUMBER(SEARCH("validacion de enel",PL[[#This Row],[SUPPLIER NOTES]])),"PTE Validar Enel","ABIERTO"))</f>
        <v>CERRADO</v>
      </c>
      <c r="P106" s="154" t="str">
        <f>IF(PL[[#This Row],[ESTADO]]="CERRADO","Cerrados IUP",IF(PL[[#This Row],[ESTADO]]="PTE Validar Enel","Pendiente cierre ENEL",IF(ISNUMBER(SEARCH("suministro",PL[[#This Row],[SUPPLIER NOTES]])),"Suministros",IF(PL[[#This Row],[SC]]="SOCIAL","Social",IF(ISNUMBER(SEARCH("monolito",PL[[#This Row],[DESCRIPTION]])),"Monolitos","Varios")))))</f>
        <v>Cerrados IUP</v>
      </c>
      <c r="Q1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 spans="1:17" s="157" customFormat="1" hidden="1" x14ac:dyDescent="0.2">
      <c r="A107" s="151" t="s">
        <v>164</v>
      </c>
      <c r="B107" s="154" t="s">
        <v>8</v>
      </c>
      <c r="C107" s="152">
        <v>5</v>
      </c>
      <c r="D107" s="153" t="s">
        <v>3387</v>
      </c>
      <c r="E107" s="154"/>
      <c r="F107" s="154" t="s">
        <v>165</v>
      </c>
      <c r="G107" s="154" t="s">
        <v>1290</v>
      </c>
      <c r="H107" s="154"/>
      <c r="I107" s="154"/>
      <c r="J107" s="154" t="s">
        <v>74</v>
      </c>
      <c r="K107" s="154" t="s">
        <v>3394</v>
      </c>
      <c r="L107" s="154"/>
      <c r="M107" s="156"/>
      <c r="N107" s="154" t="str">
        <f>IF(ISNUMBER(PL[[#This Row],[CTO]]),"CTO "&amp;PL[[#This Row],[CTO]],"Otros")</f>
        <v>CTO 5</v>
      </c>
      <c r="O107" s="154" t="str">
        <f>IF(PL[[#This Row],[STATUS IUP]]="CERRADO","CERRADO",IF(ISNUMBER(SEARCH("validacion de enel",PL[[#This Row],[SUPPLIER NOTES]])),"PTE Validar Enel","ABIERTO"))</f>
        <v>CERRADO</v>
      </c>
      <c r="P107" s="154" t="str">
        <f>IF(PL[[#This Row],[ESTADO]]="CERRADO","Cerrados IUP",IF(PL[[#This Row],[ESTADO]]="PTE Validar Enel","Pendiente cierre ENEL",IF(ISNUMBER(SEARCH("suministro",PL[[#This Row],[SUPPLIER NOTES]])),"Suministros",IF(PL[[#This Row],[SC]]="SOCIAL","Social",IF(ISNUMBER(SEARCH("monolito",PL[[#This Row],[DESCRIPTION]])),"Monolitos","Varios")))))</f>
        <v>Cerrados IUP</v>
      </c>
      <c r="Q1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 spans="1:17" s="157" customFormat="1" hidden="1" x14ac:dyDescent="0.2">
      <c r="A108" s="151" t="s">
        <v>168</v>
      </c>
      <c r="B108" s="154" t="s">
        <v>8</v>
      </c>
      <c r="C108" s="152">
        <v>5</v>
      </c>
      <c r="D108" s="153" t="s">
        <v>3387</v>
      </c>
      <c r="E108" s="154"/>
      <c r="F108" s="154" t="s">
        <v>169</v>
      </c>
      <c r="G108" s="154" t="s">
        <v>43</v>
      </c>
      <c r="H108" s="154"/>
      <c r="I108" s="154"/>
      <c r="J108" s="154" t="s">
        <v>74</v>
      </c>
      <c r="K108" s="154" t="s">
        <v>3394</v>
      </c>
      <c r="L108" s="154"/>
      <c r="M108" s="156"/>
      <c r="N108" s="154" t="str">
        <f>IF(ISNUMBER(PL[[#This Row],[CTO]]),"CTO "&amp;PL[[#This Row],[CTO]],"Otros")</f>
        <v>CTO 5</v>
      </c>
      <c r="O108" s="154" t="str">
        <f>IF(PL[[#This Row],[STATUS IUP]]="CERRADO","CERRADO",IF(ISNUMBER(SEARCH("validacion de enel",PL[[#This Row],[SUPPLIER NOTES]])),"PTE Validar Enel","ABIERTO"))</f>
        <v>CERRADO</v>
      </c>
      <c r="P108" s="154" t="str">
        <f>IF(PL[[#This Row],[ESTADO]]="CERRADO","Cerrados IUP",IF(PL[[#This Row],[ESTADO]]="PTE Validar Enel","Pendiente cierre ENEL",IF(ISNUMBER(SEARCH("suministro",PL[[#This Row],[SUPPLIER NOTES]])),"Suministros",IF(PL[[#This Row],[SC]]="SOCIAL","Social",IF(ISNUMBER(SEARCH("monolito",PL[[#This Row],[DESCRIPTION]])),"Monolitos","Varios")))))</f>
        <v>Cerrados IUP</v>
      </c>
      <c r="Q1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09" spans="1:17" x14ac:dyDescent="0.2">
      <c r="A109" s="66" t="s">
        <v>170</v>
      </c>
      <c r="B109" s="67" t="s">
        <v>8</v>
      </c>
      <c r="C109" s="52">
        <v>5</v>
      </c>
      <c r="D109" s="68" t="s">
        <v>3387</v>
      </c>
      <c r="E109" s="67"/>
      <c r="F109" s="67" t="s">
        <v>171</v>
      </c>
      <c r="G109" s="90" t="s">
        <v>43</v>
      </c>
      <c r="H109" s="90" t="s">
        <v>3459</v>
      </c>
      <c r="I109" s="67"/>
      <c r="J109" s="67" t="s">
        <v>11</v>
      </c>
      <c r="K109" s="67" t="s">
        <v>3393</v>
      </c>
      <c r="L109" s="67"/>
      <c r="M109" s="69"/>
      <c r="N109" s="67" t="str">
        <f>IF(ISNUMBER(PL[[#This Row],[CTO]]),"CTO "&amp;PL[[#This Row],[CTO]],"Otros")</f>
        <v>CTO 5</v>
      </c>
      <c r="O109" s="67" t="str">
        <f>IF(PL[[#This Row],[STATUS IUP]]="CERRADO","CERRADO",IF(ISNUMBER(SEARCH("validacion de enel",PL[[#This Row],[SUPPLIER NOTES]])),"PTE Validar Enel","ABIERTO"))</f>
        <v>ABIERTO</v>
      </c>
      <c r="P109" s="67" t="str">
        <f>IF(PL[[#This Row],[ESTADO]]="CERRADO","Cerrados IUP",IF(PL[[#This Row],[ESTADO]]="PTE Validar Enel","Pendiente cierre ENEL",IF(ISNUMBER(SEARCH("suministro",PL[[#This Row],[SUPPLIER NOTES]])),"Suministros",IF(PL[[#This Row],[SC]]="SOCIAL","Social",IF(ISNUMBER(SEARCH("monolito",PL[[#This Row],[DESCRIPTION]])),"Monolitos","Varios")))))</f>
        <v>Varios</v>
      </c>
      <c r="Q10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0" spans="1:17" s="157" customFormat="1" ht="32" hidden="1" x14ac:dyDescent="0.2">
      <c r="A110" s="151" t="s">
        <v>172</v>
      </c>
      <c r="B110" s="152" t="s">
        <v>8</v>
      </c>
      <c r="C110" s="152">
        <v>5</v>
      </c>
      <c r="D110" s="153" t="s">
        <v>3387</v>
      </c>
      <c r="E110" s="154"/>
      <c r="F110" s="152" t="s">
        <v>173</v>
      </c>
      <c r="G110" s="154" t="s">
        <v>43</v>
      </c>
      <c r="H110" s="154"/>
      <c r="I110" s="154"/>
      <c r="J110" s="154" t="s">
        <v>74</v>
      </c>
      <c r="K110" s="154" t="s">
        <v>3394</v>
      </c>
      <c r="L110" s="155">
        <v>46300</v>
      </c>
      <c r="M110" s="156"/>
      <c r="N110" s="154" t="str">
        <f>IF(ISNUMBER(PL[[#This Row],[CTO]]),"CTO "&amp;PL[[#This Row],[CTO]],"Otros")</f>
        <v>CTO 5</v>
      </c>
      <c r="O110" s="154" t="str">
        <f>IF(PL[[#This Row],[STATUS IUP]]="CERRADO","CERRADO",IF(ISNUMBER(SEARCH("validacion de enel",PL[[#This Row],[SUPPLIER NOTES]])),"PTE Validar Enel","ABIERTO"))</f>
        <v>CERRADO</v>
      </c>
      <c r="P110" s="154" t="str">
        <f>IF(PL[[#This Row],[ESTADO]]="CERRADO","Cerrados IUP",IF(PL[[#This Row],[ESTADO]]="PTE Validar Enel","Pendiente cierre ENEL",IF(ISNUMBER(SEARCH("suministro",PL[[#This Row],[SUPPLIER NOTES]])),"Suministros",IF(PL[[#This Row],[SC]]="SOCIAL","Social",IF(ISNUMBER(SEARCH("monolito",PL[[#This Row],[DESCRIPTION]])),"Monolitos","Varios")))))</f>
        <v>Cerrados IUP</v>
      </c>
      <c r="Q1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 spans="1:17" s="157" customFormat="1" hidden="1" x14ac:dyDescent="0.2">
      <c r="A111" s="151" t="s">
        <v>174</v>
      </c>
      <c r="B111" s="154" t="s">
        <v>8</v>
      </c>
      <c r="C111" s="152">
        <v>5</v>
      </c>
      <c r="D111" s="153" t="s">
        <v>3387</v>
      </c>
      <c r="E111" s="154"/>
      <c r="F111" s="154" t="s">
        <v>175</v>
      </c>
      <c r="G111" s="154" t="s">
        <v>1290</v>
      </c>
      <c r="H111" s="154"/>
      <c r="I111" s="154"/>
      <c r="J111" s="154" t="s">
        <v>74</v>
      </c>
      <c r="K111" s="154" t="s">
        <v>3394</v>
      </c>
      <c r="L111" s="154"/>
      <c r="M111" s="156"/>
      <c r="N111" s="154" t="str">
        <f>IF(ISNUMBER(PL[[#This Row],[CTO]]),"CTO "&amp;PL[[#This Row],[CTO]],"Otros")</f>
        <v>CTO 5</v>
      </c>
      <c r="O111" s="154" t="str">
        <f>IF(PL[[#This Row],[STATUS IUP]]="CERRADO","CERRADO",IF(ISNUMBER(SEARCH("validacion de enel",PL[[#This Row],[SUPPLIER NOTES]])),"PTE Validar Enel","ABIERTO"))</f>
        <v>CERRADO</v>
      </c>
      <c r="P111" s="154" t="str">
        <f>IF(PL[[#This Row],[ESTADO]]="CERRADO","Cerrados IUP",IF(PL[[#This Row],[ESTADO]]="PTE Validar Enel","Pendiente cierre ENEL",IF(ISNUMBER(SEARCH("suministro",PL[[#This Row],[SUPPLIER NOTES]])),"Suministros",IF(PL[[#This Row],[SC]]="SOCIAL","Social",IF(ISNUMBER(SEARCH("monolito",PL[[#This Row],[DESCRIPTION]])),"Monolitos","Varios")))))</f>
        <v>Cerrados IUP</v>
      </c>
      <c r="Q1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 spans="1:17" s="157" customFormat="1" hidden="1" x14ac:dyDescent="0.2">
      <c r="A112" s="151" t="s">
        <v>176</v>
      </c>
      <c r="B112" s="154" t="s">
        <v>8</v>
      </c>
      <c r="C112" s="152">
        <v>5</v>
      </c>
      <c r="D112" s="153" t="s">
        <v>3387</v>
      </c>
      <c r="E112" s="154"/>
      <c r="F112" s="154" t="s">
        <v>177</v>
      </c>
      <c r="G112" s="154" t="s">
        <v>1289</v>
      </c>
      <c r="H112" s="154"/>
      <c r="I112" s="154"/>
      <c r="J112" s="154" t="s">
        <v>74</v>
      </c>
      <c r="K112" s="154" t="s">
        <v>3394</v>
      </c>
      <c r="L112" s="154"/>
      <c r="M112" s="156"/>
      <c r="N112" s="154" t="str">
        <f>IF(ISNUMBER(PL[[#This Row],[CTO]]),"CTO "&amp;PL[[#This Row],[CTO]],"Otros")</f>
        <v>CTO 5</v>
      </c>
      <c r="O112" s="154" t="str">
        <f>IF(PL[[#This Row],[STATUS IUP]]="CERRADO","CERRADO",IF(ISNUMBER(SEARCH("validacion de enel",PL[[#This Row],[SUPPLIER NOTES]])),"PTE Validar Enel","ABIERTO"))</f>
        <v>CERRADO</v>
      </c>
      <c r="P112" s="154" t="str">
        <f>IF(PL[[#This Row],[ESTADO]]="CERRADO","Cerrados IUP",IF(PL[[#This Row],[ESTADO]]="PTE Validar Enel","Pendiente cierre ENEL",IF(ISNUMBER(SEARCH("suministro",PL[[#This Row],[SUPPLIER NOTES]])),"Suministros",IF(PL[[#This Row],[SC]]="SOCIAL","Social",IF(ISNUMBER(SEARCH("monolito",PL[[#This Row],[DESCRIPTION]])),"Monolitos","Varios")))))</f>
        <v>Cerrados IUP</v>
      </c>
      <c r="Q1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 spans="1:17" s="157" customFormat="1" hidden="1" x14ac:dyDescent="0.2">
      <c r="A113" s="151" t="s">
        <v>178</v>
      </c>
      <c r="B113" s="154" t="s">
        <v>8</v>
      </c>
      <c r="C113" s="152">
        <v>5</v>
      </c>
      <c r="D113" s="153" t="s">
        <v>3387</v>
      </c>
      <c r="E113" s="154"/>
      <c r="F113" s="154" t="s">
        <v>179</v>
      </c>
      <c r="G113" s="154" t="s">
        <v>1290</v>
      </c>
      <c r="H113" s="154"/>
      <c r="I113" s="154"/>
      <c r="J113" s="154" t="s">
        <v>74</v>
      </c>
      <c r="K113" s="154" t="s">
        <v>3394</v>
      </c>
      <c r="L113" s="154"/>
      <c r="M113" s="156"/>
      <c r="N113" s="154" t="str">
        <f>IF(ISNUMBER(PL[[#This Row],[CTO]]),"CTO "&amp;PL[[#This Row],[CTO]],"Otros")</f>
        <v>CTO 5</v>
      </c>
      <c r="O113" s="154" t="str">
        <f>IF(PL[[#This Row],[STATUS IUP]]="CERRADO","CERRADO",IF(ISNUMBER(SEARCH("validacion de enel",PL[[#This Row],[SUPPLIER NOTES]])),"PTE Validar Enel","ABIERTO"))</f>
        <v>CERRADO</v>
      </c>
      <c r="P113" s="154" t="str">
        <f>IF(PL[[#This Row],[ESTADO]]="CERRADO","Cerrados IUP",IF(PL[[#This Row],[ESTADO]]="PTE Validar Enel","Pendiente cierre ENEL",IF(ISNUMBER(SEARCH("suministro",PL[[#This Row],[SUPPLIER NOTES]])),"Suministros",IF(PL[[#This Row],[SC]]="SOCIAL","Social",IF(ISNUMBER(SEARCH("monolito",PL[[#This Row],[DESCRIPTION]])),"Monolitos","Varios")))))</f>
        <v>Cerrados IUP</v>
      </c>
      <c r="Q1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 spans="1:17" s="157" customFormat="1" hidden="1" x14ac:dyDescent="0.2">
      <c r="A114" s="151" t="s">
        <v>180</v>
      </c>
      <c r="B114" s="154" t="s">
        <v>8</v>
      </c>
      <c r="C114" s="152">
        <v>5</v>
      </c>
      <c r="D114" s="153" t="s">
        <v>3387</v>
      </c>
      <c r="E114" s="154"/>
      <c r="F114" s="154" t="s">
        <v>181</v>
      </c>
      <c r="G114" s="154" t="s">
        <v>1290</v>
      </c>
      <c r="H114" s="154"/>
      <c r="I114" s="154"/>
      <c r="J114" s="154" t="s">
        <v>74</v>
      </c>
      <c r="K114" s="154" t="s">
        <v>3394</v>
      </c>
      <c r="L114" s="154"/>
      <c r="M114" s="156"/>
      <c r="N114" s="154" t="str">
        <f>IF(ISNUMBER(PL[[#This Row],[CTO]]),"CTO "&amp;PL[[#This Row],[CTO]],"Otros")</f>
        <v>CTO 5</v>
      </c>
      <c r="O114" s="154" t="str">
        <f>IF(PL[[#This Row],[STATUS IUP]]="CERRADO","CERRADO",IF(ISNUMBER(SEARCH("validacion de enel",PL[[#This Row],[SUPPLIER NOTES]])),"PTE Validar Enel","ABIERTO"))</f>
        <v>CERRADO</v>
      </c>
      <c r="P114" s="154" t="str">
        <f>IF(PL[[#This Row],[ESTADO]]="CERRADO","Cerrados IUP",IF(PL[[#This Row],[ESTADO]]="PTE Validar Enel","Pendiente cierre ENEL",IF(ISNUMBER(SEARCH("suministro",PL[[#This Row],[SUPPLIER NOTES]])),"Suministros",IF(PL[[#This Row],[SC]]="SOCIAL","Social",IF(ISNUMBER(SEARCH("monolito",PL[[#This Row],[DESCRIPTION]])),"Monolitos","Varios")))))</f>
        <v>Cerrados IUP</v>
      </c>
      <c r="Q1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 spans="1:17" ht="32" x14ac:dyDescent="0.2">
      <c r="A115" s="86" t="s">
        <v>182</v>
      </c>
      <c r="B115" s="115" t="s">
        <v>8</v>
      </c>
      <c r="C115" s="52">
        <v>5</v>
      </c>
      <c r="D115" s="88" t="s">
        <v>3387</v>
      </c>
      <c r="E115" s="87"/>
      <c r="F115" s="115" t="s">
        <v>183</v>
      </c>
      <c r="G115" s="87" t="s">
        <v>43</v>
      </c>
      <c r="H115" s="87" t="s">
        <v>3454</v>
      </c>
      <c r="I115" s="87"/>
      <c r="J115" s="87" t="s">
        <v>11</v>
      </c>
      <c r="K115" s="87" t="s">
        <v>3393</v>
      </c>
      <c r="L115" s="87"/>
      <c r="M115" s="89"/>
      <c r="N115" s="87" t="str">
        <f>IF(ISNUMBER(PL[[#This Row],[CTO]]),"CTO "&amp;PL[[#This Row],[CTO]],"Otros")</f>
        <v>CTO 5</v>
      </c>
      <c r="O115" s="87" t="str">
        <f>IF(PL[[#This Row],[STATUS IUP]]="CERRADO","CERRADO",IF(ISNUMBER(SEARCH("validacion de enel",PL[[#This Row],[SUPPLIER NOTES]])),"PTE Validar Enel","ABIERTO"))</f>
        <v>PTE Validar Enel</v>
      </c>
      <c r="P11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1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6" spans="1:17" s="157" customFormat="1" hidden="1" x14ac:dyDescent="0.2">
      <c r="A116" s="151" t="s">
        <v>184</v>
      </c>
      <c r="B116" s="154" t="s">
        <v>8</v>
      </c>
      <c r="C116" s="152">
        <v>5</v>
      </c>
      <c r="D116" s="153" t="s">
        <v>3387</v>
      </c>
      <c r="E116" s="154"/>
      <c r="F116" s="154" t="s">
        <v>185</v>
      </c>
      <c r="G116" s="154" t="s">
        <v>1290</v>
      </c>
      <c r="H116" s="154"/>
      <c r="I116" s="154"/>
      <c r="J116" s="154" t="s">
        <v>74</v>
      </c>
      <c r="K116" s="154" t="s">
        <v>3394</v>
      </c>
      <c r="L116" s="154"/>
      <c r="M116" s="156"/>
      <c r="N116" s="154" t="str">
        <f>IF(ISNUMBER(PL[[#This Row],[CTO]]),"CTO "&amp;PL[[#This Row],[CTO]],"Otros")</f>
        <v>CTO 5</v>
      </c>
      <c r="O116" s="154" t="str">
        <f>IF(PL[[#This Row],[STATUS IUP]]="CERRADO","CERRADO",IF(ISNUMBER(SEARCH("validacion de enel",PL[[#This Row],[SUPPLIER NOTES]])),"PTE Validar Enel","ABIERTO"))</f>
        <v>CERRADO</v>
      </c>
      <c r="P116" s="154" t="str">
        <f>IF(PL[[#This Row],[ESTADO]]="CERRADO","Cerrados IUP",IF(PL[[#This Row],[ESTADO]]="PTE Validar Enel","Pendiente cierre ENEL",IF(ISNUMBER(SEARCH("suministro",PL[[#This Row],[SUPPLIER NOTES]])),"Suministros",IF(PL[[#This Row],[SC]]="SOCIAL","Social",IF(ISNUMBER(SEARCH("monolito",PL[[#This Row],[DESCRIPTION]])),"Monolitos","Varios")))))</f>
        <v>Cerrados IUP</v>
      </c>
      <c r="Q1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 spans="1:17" s="157" customFormat="1" hidden="1" x14ac:dyDescent="0.2">
      <c r="A117" s="151" t="s">
        <v>186</v>
      </c>
      <c r="B117" s="154" t="s">
        <v>8</v>
      </c>
      <c r="C117" s="152">
        <v>5</v>
      </c>
      <c r="D117" s="153" t="s">
        <v>3387</v>
      </c>
      <c r="E117" s="154"/>
      <c r="F117" s="154" t="s">
        <v>187</v>
      </c>
      <c r="G117" s="154" t="s">
        <v>1290</v>
      </c>
      <c r="H117" s="154"/>
      <c r="I117" s="154"/>
      <c r="J117" s="154" t="s">
        <v>74</v>
      </c>
      <c r="K117" s="154" t="s">
        <v>3394</v>
      </c>
      <c r="L117" s="154"/>
      <c r="M117" s="156"/>
      <c r="N117" s="154" t="str">
        <f>IF(ISNUMBER(PL[[#This Row],[CTO]]),"CTO "&amp;PL[[#This Row],[CTO]],"Otros")</f>
        <v>CTO 5</v>
      </c>
      <c r="O117" s="154" t="str">
        <f>IF(PL[[#This Row],[STATUS IUP]]="CERRADO","CERRADO",IF(ISNUMBER(SEARCH("validacion de enel",PL[[#This Row],[SUPPLIER NOTES]])),"PTE Validar Enel","ABIERTO"))</f>
        <v>CERRADO</v>
      </c>
      <c r="P117" s="154" t="str">
        <f>IF(PL[[#This Row],[ESTADO]]="CERRADO","Cerrados IUP",IF(PL[[#This Row],[ESTADO]]="PTE Validar Enel","Pendiente cierre ENEL",IF(ISNUMBER(SEARCH("suministro",PL[[#This Row],[SUPPLIER NOTES]])),"Suministros",IF(PL[[#This Row],[SC]]="SOCIAL","Social",IF(ISNUMBER(SEARCH("monolito",PL[[#This Row],[DESCRIPTION]])),"Monolitos","Varios")))))</f>
        <v>Cerrados IUP</v>
      </c>
      <c r="Q1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 spans="1:17" s="157" customFormat="1" hidden="1" x14ac:dyDescent="0.2">
      <c r="A118" s="151" t="s">
        <v>188</v>
      </c>
      <c r="B118" s="154" t="s">
        <v>8</v>
      </c>
      <c r="C118" s="152">
        <v>5</v>
      </c>
      <c r="D118" s="153" t="s">
        <v>3387</v>
      </c>
      <c r="E118" s="154"/>
      <c r="F118" s="154" t="s">
        <v>189</v>
      </c>
      <c r="G118" s="154" t="s">
        <v>1290</v>
      </c>
      <c r="H118" s="154"/>
      <c r="I118" s="154"/>
      <c r="J118" s="154" t="s">
        <v>74</v>
      </c>
      <c r="K118" s="154" t="s">
        <v>3394</v>
      </c>
      <c r="L118" s="154"/>
      <c r="M118" s="156"/>
      <c r="N118" s="154" t="str">
        <f>IF(ISNUMBER(PL[[#This Row],[CTO]]),"CTO "&amp;PL[[#This Row],[CTO]],"Otros")</f>
        <v>CTO 5</v>
      </c>
      <c r="O118" s="154" t="str">
        <f>IF(PL[[#This Row],[STATUS IUP]]="CERRADO","CERRADO",IF(ISNUMBER(SEARCH("validacion de enel",PL[[#This Row],[SUPPLIER NOTES]])),"PTE Validar Enel","ABIERTO"))</f>
        <v>CERRADO</v>
      </c>
      <c r="P118" s="154" t="str">
        <f>IF(PL[[#This Row],[ESTADO]]="CERRADO","Cerrados IUP",IF(PL[[#This Row],[ESTADO]]="PTE Validar Enel","Pendiente cierre ENEL",IF(ISNUMBER(SEARCH("suministro",PL[[#This Row],[SUPPLIER NOTES]])),"Suministros",IF(PL[[#This Row],[SC]]="SOCIAL","Social",IF(ISNUMBER(SEARCH("monolito",PL[[#This Row],[DESCRIPTION]])),"Monolitos","Varios")))))</f>
        <v>Cerrados IUP</v>
      </c>
      <c r="Q1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 spans="1:17" s="157" customFormat="1" hidden="1" x14ac:dyDescent="0.2">
      <c r="A119" s="151" t="s">
        <v>190</v>
      </c>
      <c r="B119" s="154" t="s">
        <v>8</v>
      </c>
      <c r="C119" s="152">
        <v>5</v>
      </c>
      <c r="D119" s="153" t="s">
        <v>3387</v>
      </c>
      <c r="E119" s="154"/>
      <c r="F119" s="154" t="s">
        <v>191</v>
      </c>
      <c r="G119" s="154" t="s">
        <v>1289</v>
      </c>
      <c r="H119" s="154"/>
      <c r="I119" s="154"/>
      <c r="J119" s="154" t="s">
        <v>74</v>
      </c>
      <c r="K119" s="154" t="s">
        <v>3394</v>
      </c>
      <c r="L119" s="154"/>
      <c r="M119" s="156"/>
      <c r="N119" s="154" t="str">
        <f>IF(ISNUMBER(PL[[#This Row],[CTO]]),"CTO "&amp;PL[[#This Row],[CTO]],"Otros")</f>
        <v>CTO 5</v>
      </c>
      <c r="O119" s="154" t="str">
        <f>IF(PL[[#This Row],[STATUS IUP]]="CERRADO","CERRADO",IF(ISNUMBER(SEARCH("validacion de enel",PL[[#This Row],[SUPPLIER NOTES]])),"PTE Validar Enel","ABIERTO"))</f>
        <v>CERRADO</v>
      </c>
      <c r="P119" s="154" t="str">
        <f>IF(PL[[#This Row],[ESTADO]]="CERRADO","Cerrados IUP",IF(PL[[#This Row],[ESTADO]]="PTE Validar Enel","Pendiente cierre ENEL",IF(ISNUMBER(SEARCH("suministro",PL[[#This Row],[SUPPLIER NOTES]])),"Suministros",IF(PL[[#This Row],[SC]]="SOCIAL","Social",IF(ISNUMBER(SEARCH("monolito",PL[[#This Row],[DESCRIPTION]])),"Monolitos","Varios")))))</f>
        <v>Cerrados IUP</v>
      </c>
      <c r="Q1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 spans="1:17" s="157" customFormat="1" hidden="1" x14ac:dyDescent="0.2">
      <c r="A120" s="151" t="s">
        <v>192</v>
      </c>
      <c r="B120" s="154" t="s">
        <v>8</v>
      </c>
      <c r="C120" s="152">
        <v>5</v>
      </c>
      <c r="D120" s="153" t="s">
        <v>3387</v>
      </c>
      <c r="E120" s="154"/>
      <c r="F120" s="154" t="s">
        <v>193</v>
      </c>
      <c r="G120" s="154" t="s">
        <v>1289</v>
      </c>
      <c r="H120" s="154"/>
      <c r="I120" s="154"/>
      <c r="J120" s="154" t="s">
        <v>74</v>
      </c>
      <c r="K120" s="154" t="s">
        <v>3394</v>
      </c>
      <c r="L120" s="154"/>
      <c r="M120" s="156"/>
      <c r="N120" s="154" t="str">
        <f>IF(ISNUMBER(PL[[#This Row],[CTO]]),"CTO "&amp;PL[[#This Row],[CTO]],"Otros")</f>
        <v>CTO 5</v>
      </c>
      <c r="O120" s="154" t="str">
        <f>IF(PL[[#This Row],[STATUS IUP]]="CERRADO","CERRADO",IF(ISNUMBER(SEARCH("validacion de enel",PL[[#This Row],[SUPPLIER NOTES]])),"PTE Validar Enel","ABIERTO"))</f>
        <v>CERRADO</v>
      </c>
      <c r="P120" s="154" t="str">
        <f>IF(PL[[#This Row],[ESTADO]]="CERRADO","Cerrados IUP",IF(PL[[#This Row],[ESTADO]]="PTE Validar Enel","Pendiente cierre ENEL",IF(ISNUMBER(SEARCH("suministro",PL[[#This Row],[SUPPLIER NOTES]])),"Suministros",IF(PL[[#This Row],[SC]]="SOCIAL","Social",IF(ISNUMBER(SEARCH("monolito",PL[[#This Row],[DESCRIPTION]])),"Monolitos","Varios")))))</f>
        <v>Cerrados IUP</v>
      </c>
      <c r="Q1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 spans="1:17" s="157" customFormat="1" hidden="1" x14ac:dyDescent="0.2">
      <c r="A121" s="151" t="s">
        <v>194</v>
      </c>
      <c r="B121" s="154" t="s">
        <v>8</v>
      </c>
      <c r="C121" s="152">
        <v>5</v>
      </c>
      <c r="D121" s="153" t="s">
        <v>3387</v>
      </c>
      <c r="E121" s="154"/>
      <c r="F121" s="154" t="s">
        <v>195</v>
      </c>
      <c r="G121" s="154" t="s">
        <v>43</v>
      </c>
      <c r="H121" s="154"/>
      <c r="I121" s="154"/>
      <c r="J121" s="154" t="s">
        <v>74</v>
      </c>
      <c r="K121" s="154" t="s">
        <v>3394</v>
      </c>
      <c r="L121" s="154"/>
      <c r="M121" s="156"/>
      <c r="N121" s="154" t="str">
        <f>IF(ISNUMBER(PL[[#This Row],[CTO]]),"CTO "&amp;PL[[#This Row],[CTO]],"Otros")</f>
        <v>CTO 5</v>
      </c>
      <c r="O121" s="154" t="str">
        <f>IF(PL[[#This Row],[STATUS IUP]]="CERRADO","CERRADO",IF(ISNUMBER(SEARCH("validacion de enel",PL[[#This Row],[SUPPLIER NOTES]])),"PTE Validar Enel","ABIERTO"))</f>
        <v>CERRADO</v>
      </c>
      <c r="P121" s="154" t="str">
        <f>IF(PL[[#This Row],[ESTADO]]="CERRADO","Cerrados IUP",IF(PL[[#This Row],[ESTADO]]="PTE Validar Enel","Pendiente cierre ENEL",IF(ISNUMBER(SEARCH("suministro",PL[[#This Row],[SUPPLIER NOTES]])),"Suministros",IF(PL[[#This Row],[SC]]="SOCIAL","Social",IF(ISNUMBER(SEARCH("monolito",PL[[#This Row],[DESCRIPTION]])),"Monolitos","Varios")))))</f>
        <v>Cerrados IUP</v>
      </c>
      <c r="Q1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 spans="1:17" ht="32" x14ac:dyDescent="0.2">
      <c r="A122" s="86" t="s">
        <v>196</v>
      </c>
      <c r="B122" s="115" t="s">
        <v>8</v>
      </c>
      <c r="C122" s="52">
        <v>5</v>
      </c>
      <c r="D122" s="88" t="s">
        <v>3387</v>
      </c>
      <c r="E122" s="87"/>
      <c r="F122" s="115" t="s">
        <v>197</v>
      </c>
      <c r="G122" s="87" t="s">
        <v>43</v>
      </c>
      <c r="H122" s="87" t="s">
        <v>3454</v>
      </c>
      <c r="I122" s="87"/>
      <c r="J122" s="87" t="s">
        <v>11</v>
      </c>
      <c r="K122" s="87" t="s">
        <v>3393</v>
      </c>
      <c r="L122" s="87"/>
      <c r="M122" s="89"/>
      <c r="N122" s="87" t="str">
        <f>IF(ISNUMBER(PL[[#This Row],[CTO]]),"CTO "&amp;PL[[#This Row],[CTO]],"Otros")</f>
        <v>CTO 5</v>
      </c>
      <c r="O122" s="87" t="str">
        <f>IF(PL[[#This Row],[STATUS IUP]]="CERRADO","CERRADO",IF(ISNUMBER(SEARCH("validacion de enel",PL[[#This Row],[SUPPLIER NOTES]])),"PTE Validar Enel","ABIERTO"))</f>
        <v>PTE Validar Enel</v>
      </c>
      <c r="P12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2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 spans="1:17" ht="16" x14ac:dyDescent="0.2">
      <c r="A123" s="86" t="s">
        <v>198</v>
      </c>
      <c r="B123" s="115" t="s">
        <v>8</v>
      </c>
      <c r="C123" s="52">
        <v>5</v>
      </c>
      <c r="D123" s="88" t="s">
        <v>3387</v>
      </c>
      <c r="E123" s="87"/>
      <c r="F123" s="115" t="s">
        <v>199</v>
      </c>
      <c r="G123" s="87" t="s">
        <v>43</v>
      </c>
      <c r="H123" s="87" t="s">
        <v>3454</v>
      </c>
      <c r="I123" s="87"/>
      <c r="J123" s="87" t="s">
        <v>11</v>
      </c>
      <c r="K123" s="87" t="s">
        <v>3393</v>
      </c>
      <c r="L123" s="87"/>
      <c r="M123" s="89"/>
      <c r="N123" s="87" t="str">
        <f>IF(ISNUMBER(PL[[#This Row],[CTO]]),"CTO "&amp;PL[[#This Row],[CTO]],"Otros")</f>
        <v>CTO 5</v>
      </c>
      <c r="O123" s="87" t="str">
        <f>IF(PL[[#This Row],[STATUS IUP]]="CERRADO","CERRADO",IF(ISNUMBER(SEARCH("validacion de enel",PL[[#This Row],[SUPPLIER NOTES]])),"PTE Validar Enel","ABIERTO"))</f>
        <v>PTE Validar Enel</v>
      </c>
      <c r="P12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2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24" spans="1:17" s="157" customFormat="1" hidden="1" x14ac:dyDescent="0.2">
      <c r="A124" s="151" t="s">
        <v>200</v>
      </c>
      <c r="B124" s="154" t="s">
        <v>8</v>
      </c>
      <c r="C124" s="152">
        <v>5</v>
      </c>
      <c r="D124" s="153" t="s">
        <v>3387</v>
      </c>
      <c r="E124" s="154"/>
      <c r="F124" s="154" t="s">
        <v>201</v>
      </c>
      <c r="G124" s="154" t="s">
        <v>128</v>
      </c>
      <c r="H124" s="154"/>
      <c r="I124" s="154"/>
      <c r="J124" s="154" t="s">
        <v>74</v>
      </c>
      <c r="K124" s="154" t="s">
        <v>3394</v>
      </c>
      <c r="L124" s="154"/>
      <c r="M124" s="156"/>
      <c r="N124" s="154" t="str">
        <f>IF(ISNUMBER(PL[[#This Row],[CTO]]),"CTO "&amp;PL[[#This Row],[CTO]],"Otros")</f>
        <v>CTO 5</v>
      </c>
      <c r="O124" s="154" t="str">
        <f>IF(PL[[#This Row],[STATUS IUP]]="CERRADO","CERRADO",IF(ISNUMBER(SEARCH("validacion de enel",PL[[#This Row],[SUPPLIER NOTES]])),"PTE Validar Enel","ABIERTO"))</f>
        <v>CERRADO</v>
      </c>
      <c r="P124" s="154" t="str">
        <f>IF(PL[[#This Row],[ESTADO]]="CERRADO","Cerrados IUP",IF(PL[[#This Row],[ESTADO]]="PTE Validar Enel","Pendiente cierre ENEL",IF(ISNUMBER(SEARCH("suministro",PL[[#This Row],[SUPPLIER NOTES]])),"Suministros",IF(PL[[#This Row],[SC]]="SOCIAL","Social",IF(ISNUMBER(SEARCH("monolito",PL[[#This Row],[DESCRIPTION]])),"Monolitos","Varios")))))</f>
        <v>Cerrados IUP</v>
      </c>
      <c r="Q1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 spans="1:17" s="157" customFormat="1" hidden="1" x14ac:dyDescent="0.2">
      <c r="A125" s="151" t="s">
        <v>202</v>
      </c>
      <c r="B125" s="154" t="s">
        <v>8</v>
      </c>
      <c r="C125" s="152">
        <v>5</v>
      </c>
      <c r="D125" s="153" t="s">
        <v>3387</v>
      </c>
      <c r="E125" s="154"/>
      <c r="F125" s="154" t="s">
        <v>203</v>
      </c>
      <c r="G125" s="154" t="s">
        <v>1289</v>
      </c>
      <c r="H125" s="154"/>
      <c r="I125" s="154"/>
      <c r="J125" s="154" t="s">
        <v>74</v>
      </c>
      <c r="K125" s="154" t="s">
        <v>3394</v>
      </c>
      <c r="L125" s="154"/>
      <c r="M125" s="156"/>
      <c r="N125" s="154" t="str">
        <f>IF(ISNUMBER(PL[[#This Row],[CTO]]),"CTO "&amp;PL[[#This Row],[CTO]],"Otros")</f>
        <v>CTO 5</v>
      </c>
      <c r="O125" s="154" t="str">
        <f>IF(PL[[#This Row],[STATUS IUP]]="CERRADO","CERRADO",IF(ISNUMBER(SEARCH("validacion de enel",PL[[#This Row],[SUPPLIER NOTES]])),"PTE Validar Enel","ABIERTO"))</f>
        <v>CERRADO</v>
      </c>
      <c r="P125" s="154" t="str">
        <f>IF(PL[[#This Row],[ESTADO]]="CERRADO","Cerrados IUP",IF(PL[[#This Row],[ESTADO]]="PTE Validar Enel","Pendiente cierre ENEL",IF(ISNUMBER(SEARCH("suministro",PL[[#This Row],[SUPPLIER NOTES]])),"Suministros",IF(PL[[#This Row],[SC]]="SOCIAL","Social",IF(ISNUMBER(SEARCH("monolito",PL[[#This Row],[DESCRIPTION]])),"Monolitos","Varios")))))</f>
        <v>Cerrados IUP</v>
      </c>
      <c r="Q1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 spans="1:17" s="157" customFormat="1" hidden="1" x14ac:dyDescent="0.2">
      <c r="A126" s="151" t="s">
        <v>204</v>
      </c>
      <c r="B126" s="154" t="s">
        <v>8</v>
      </c>
      <c r="C126" s="152">
        <v>5</v>
      </c>
      <c r="D126" s="153" t="s">
        <v>3387</v>
      </c>
      <c r="E126" s="154"/>
      <c r="F126" s="154" t="s">
        <v>205</v>
      </c>
      <c r="G126" s="154" t="s">
        <v>108</v>
      </c>
      <c r="H126" s="154"/>
      <c r="I126" s="154"/>
      <c r="J126" s="154" t="s">
        <v>74</v>
      </c>
      <c r="K126" s="154" t="s">
        <v>3394</v>
      </c>
      <c r="L126" s="154"/>
      <c r="M126" s="156"/>
      <c r="N126" s="154" t="str">
        <f>IF(ISNUMBER(PL[[#This Row],[CTO]]),"CTO "&amp;PL[[#This Row],[CTO]],"Otros")</f>
        <v>CTO 5</v>
      </c>
      <c r="O126" s="154" t="str">
        <f>IF(PL[[#This Row],[STATUS IUP]]="CERRADO","CERRADO",IF(ISNUMBER(SEARCH("validacion de enel",PL[[#This Row],[SUPPLIER NOTES]])),"PTE Validar Enel","ABIERTO"))</f>
        <v>CERRADO</v>
      </c>
      <c r="P126" s="154" t="str">
        <f>IF(PL[[#This Row],[ESTADO]]="CERRADO","Cerrados IUP",IF(PL[[#This Row],[ESTADO]]="PTE Validar Enel","Pendiente cierre ENEL",IF(ISNUMBER(SEARCH("suministro",PL[[#This Row],[SUPPLIER NOTES]])),"Suministros",IF(PL[[#This Row],[SC]]="SOCIAL","Social",IF(ISNUMBER(SEARCH("monolito",PL[[#This Row],[DESCRIPTION]])),"Monolitos","Varios")))))</f>
        <v>Cerrados IUP</v>
      </c>
      <c r="Q1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 spans="1:17" s="157" customFormat="1" ht="32" hidden="1" x14ac:dyDescent="0.2">
      <c r="A127" s="151" t="s">
        <v>206</v>
      </c>
      <c r="B127" s="152" t="s">
        <v>8</v>
      </c>
      <c r="C127" s="152">
        <v>5</v>
      </c>
      <c r="D127" s="153" t="s">
        <v>3387</v>
      </c>
      <c r="E127" s="154"/>
      <c r="F127" s="152" t="s">
        <v>207</v>
      </c>
      <c r="G127" s="154" t="s">
        <v>1290</v>
      </c>
      <c r="H127" s="154"/>
      <c r="I127" s="154"/>
      <c r="J127" s="154" t="s">
        <v>74</v>
      </c>
      <c r="K127" s="154" t="s">
        <v>3394</v>
      </c>
      <c r="L127" s="155">
        <v>46293</v>
      </c>
      <c r="M127" s="156"/>
      <c r="N127" s="154" t="str">
        <f>IF(ISNUMBER(PL[[#This Row],[CTO]]),"CTO "&amp;PL[[#This Row],[CTO]],"Otros")</f>
        <v>CTO 5</v>
      </c>
      <c r="O127" s="154" t="str">
        <f>IF(PL[[#This Row],[STATUS IUP]]="CERRADO","CERRADO",IF(ISNUMBER(SEARCH("validacion de enel",PL[[#This Row],[SUPPLIER NOTES]])),"PTE Validar Enel","ABIERTO"))</f>
        <v>CERRADO</v>
      </c>
      <c r="P127" s="154" t="str">
        <f>IF(PL[[#This Row],[ESTADO]]="CERRADO","Cerrados IUP",IF(PL[[#This Row],[ESTADO]]="PTE Validar Enel","Pendiente cierre ENEL",IF(ISNUMBER(SEARCH("suministro",PL[[#This Row],[SUPPLIER NOTES]])),"Suministros",IF(PL[[#This Row],[SC]]="SOCIAL","Social",IF(ISNUMBER(SEARCH("monolito",PL[[#This Row],[DESCRIPTION]])),"Monolitos","Varios")))))</f>
        <v>Cerrados IUP</v>
      </c>
      <c r="Q1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 spans="1:17" s="157" customFormat="1" hidden="1" x14ac:dyDescent="0.2">
      <c r="A128" s="151" t="s">
        <v>208</v>
      </c>
      <c r="B128" s="154" t="s">
        <v>8</v>
      </c>
      <c r="C128" s="152">
        <v>5</v>
      </c>
      <c r="D128" s="153" t="s">
        <v>3387</v>
      </c>
      <c r="E128" s="154"/>
      <c r="F128" s="154" t="s">
        <v>209</v>
      </c>
      <c r="G128" s="154" t="s">
        <v>1290</v>
      </c>
      <c r="H128" s="154"/>
      <c r="I128" s="154"/>
      <c r="J128" s="154" t="s">
        <v>74</v>
      </c>
      <c r="K128" s="154" t="s">
        <v>3394</v>
      </c>
      <c r="L128" s="154"/>
      <c r="M128" s="156"/>
      <c r="N128" s="154" t="str">
        <f>IF(ISNUMBER(PL[[#This Row],[CTO]]),"CTO "&amp;PL[[#This Row],[CTO]],"Otros")</f>
        <v>CTO 5</v>
      </c>
      <c r="O128" s="154" t="str">
        <f>IF(PL[[#This Row],[STATUS IUP]]="CERRADO","CERRADO",IF(ISNUMBER(SEARCH("validacion de enel",PL[[#This Row],[SUPPLIER NOTES]])),"PTE Validar Enel","ABIERTO"))</f>
        <v>CERRADO</v>
      </c>
      <c r="P128" s="154" t="str">
        <f>IF(PL[[#This Row],[ESTADO]]="CERRADO","Cerrados IUP",IF(PL[[#This Row],[ESTADO]]="PTE Validar Enel","Pendiente cierre ENEL",IF(ISNUMBER(SEARCH("suministro",PL[[#This Row],[SUPPLIER NOTES]])),"Suministros",IF(PL[[#This Row],[SC]]="SOCIAL","Social",IF(ISNUMBER(SEARCH("monolito",PL[[#This Row],[DESCRIPTION]])),"Monolitos","Varios")))))</f>
        <v>Cerrados IUP</v>
      </c>
      <c r="Q1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 spans="1:17" s="157" customFormat="1" hidden="1" x14ac:dyDescent="0.2">
      <c r="A129" s="151" t="s">
        <v>210</v>
      </c>
      <c r="B129" s="154" t="s">
        <v>8</v>
      </c>
      <c r="C129" s="152">
        <v>5</v>
      </c>
      <c r="D129" s="153" t="s">
        <v>3387</v>
      </c>
      <c r="E129" s="154"/>
      <c r="F129" s="154" t="s">
        <v>211</v>
      </c>
      <c r="G129" s="154" t="s">
        <v>128</v>
      </c>
      <c r="H129" s="154" t="s">
        <v>137</v>
      </c>
      <c r="I129" s="154" t="s">
        <v>137</v>
      </c>
      <c r="J129" s="154" t="s">
        <v>74</v>
      </c>
      <c r="K129" s="154" t="s">
        <v>3394</v>
      </c>
      <c r="L129" s="161">
        <v>46219</v>
      </c>
      <c r="M129" s="160">
        <v>46219</v>
      </c>
      <c r="N129" s="154" t="str">
        <f>IF(ISNUMBER(PL[[#This Row],[CTO]]),"CTO "&amp;PL[[#This Row],[CTO]],"Otros")</f>
        <v>CTO 5</v>
      </c>
      <c r="O129" s="154" t="str">
        <f>IF(PL[[#This Row],[STATUS IUP]]="CERRADO","CERRADO",IF(ISNUMBER(SEARCH("validacion de enel",PL[[#This Row],[SUPPLIER NOTES]])),"PTE Validar Enel","ABIERTO"))</f>
        <v>CERRADO</v>
      </c>
      <c r="P129" s="154" t="str">
        <f>IF(PL[[#This Row],[ESTADO]]="CERRADO","Cerrados IUP",IF(PL[[#This Row],[ESTADO]]="PTE Validar Enel","Pendiente cierre ENEL",IF(ISNUMBER(SEARCH("suministro",PL[[#This Row],[SUPPLIER NOTES]])),"Suministros",IF(PL[[#This Row],[SC]]="SOCIAL","Social",IF(ISNUMBER(SEARCH("monolito",PL[[#This Row],[DESCRIPTION]])),"Monolitos","Varios")))))</f>
        <v>Cerrados IUP</v>
      </c>
      <c r="Q1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 spans="1:17" s="157" customFormat="1" hidden="1" x14ac:dyDescent="0.2">
      <c r="A130" s="151" t="s">
        <v>212</v>
      </c>
      <c r="B130" s="154" t="s">
        <v>8</v>
      </c>
      <c r="C130" s="152">
        <v>5</v>
      </c>
      <c r="D130" s="153" t="s">
        <v>3387</v>
      </c>
      <c r="E130" s="154"/>
      <c r="F130" s="154" t="s">
        <v>213</v>
      </c>
      <c r="G130" s="154" t="s">
        <v>128</v>
      </c>
      <c r="H130" s="154"/>
      <c r="I130" s="154"/>
      <c r="J130" s="154" t="s">
        <v>74</v>
      </c>
      <c r="K130" s="154" t="s">
        <v>3394</v>
      </c>
      <c r="L130" s="154"/>
      <c r="M130" s="156"/>
      <c r="N130" s="154" t="str">
        <f>IF(ISNUMBER(PL[[#This Row],[CTO]]),"CTO "&amp;PL[[#This Row],[CTO]],"Otros")</f>
        <v>CTO 5</v>
      </c>
      <c r="O130" s="154" t="str">
        <f>IF(PL[[#This Row],[STATUS IUP]]="CERRADO","CERRADO",IF(ISNUMBER(SEARCH("validacion de enel",PL[[#This Row],[SUPPLIER NOTES]])),"PTE Validar Enel","ABIERTO"))</f>
        <v>CERRADO</v>
      </c>
      <c r="P130" s="154" t="str">
        <f>IF(PL[[#This Row],[ESTADO]]="CERRADO","Cerrados IUP",IF(PL[[#This Row],[ESTADO]]="PTE Validar Enel","Pendiente cierre ENEL",IF(ISNUMBER(SEARCH("suministro",PL[[#This Row],[SUPPLIER NOTES]])),"Suministros",IF(PL[[#This Row],[SC]]="SOCIAL","Social",IF(ISNUMBER(SEARCH("monolito",PL[[#This Row],[DESCRIPTION]])),"Monolitos","Varios")))))</f>
        <v>Cerrados IUP</v>
      </c>
      <c r="Q1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 spans="1:17" s="157" customFormat="1" hidden="1" x14ac:dyDescent="0.2">
      <c r="A131" s="151" t="s">
        <v>214</v>
      </c>
      <c r="B131" s="154" t="s">
        <v>8</v>
      </c>
      <c r="C131" s="152">
        <v>5</v>
      </c>
      <c r="D131" s="153" t="s">
        <v>3387</v>
      </c>
      <c r="E131" s="154"/>
      <c r="F131" s="154" t="s">
        <v>215</v>
      </c>
      <c r="G131" s="154" t="s">
        <v>216</v>
      </c>
      <c r="H131" s="154"/>
      <c r="I131" s="154"/>
      <c r="J131" s="154" t="s">
        <v>74</v>
      </c>
      <c r="K131" s="154" t="s">
        <v>3394</v>
      </c>
      <c r="L131" s="154"/>
      <c r="M131" s="156"/>
      <c r="N131" s="154" t="str">
        <f>IF(ISNUMBER(PL[[#This Row],[CTO]]),"CTO "&amp;PL[[#This Row],[CTO]],"Otros")</f>
        <v>CTO 5</v>
      </c>
      <c r="O131" s="154" t="str">
        <f>IF(PL[[#This Row],[STATUS IUP]]="CERRADO","CERRADO",IF(ISNUMBER(SEARCH("validacion de enel",PL[[#This Row],[SUPPLIER NOTES]])),"PTE Validar Enel","ABIERTO"))</f>
        <v>CERRADO</v>
      </c>
      <c r="P131" s="154" t="str">
        <f>IF(PL[[#This Row],[ESTADO]]="CERRADO","Cerrados IUP",IF(PL[[#This Row],[ESTADO]]="PTE Validar Enel","Pendiente cierre ENEL",IF(ISNUMBER(SEARCH("suministro",PL[[#This Row],[SUPPLIER NOTES]])),"Suministros",IF(PL[[#This Row],[SC]]="SOCIAL","Social",IF(ISNUMBER(SEARCH("monolito",PL[[#This Row],[DESCRIPTION]])),"Monolitos","Varios")))))</f>
        <v>Cerrados IUP</v>
      </c>
      <c r="Q1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 spans="1:17" s="157" customFormat="1" hidden="1" x14ac:dyDescent="0.2">
      <c r="A132" s="151" t="s">
        <v>217</v>
      </c>
      <c r="B132" s="154" t="s">
        <v>8</v>
      </c>
      <c r="C132" s="152">
        <v>5</v>
      </c>
      <c r="D132" s="153" t="s">
        <v>3387</v>
      </c>
      <c r="E132" s="154"/>
      <c r="F132" s="154" t="s">
        <v>218</v>
      </c>
      <c r="G132" s="154" t="s">
        <v>216</v>
      </c>
      <c r="H132" s="154"/>
      <c r="I132" s="154"/>
      <c r="J132" s="154" t="s">
        <v>74</v>
      </c>
      <c r="K132" s="154" t="s">
        <v>3394</v>
      </c>
      <c r="L132" s="154"/>
      <c r="M132" s="156"/>
      <c r="N132" s="154" t="str">
        <f>IF(ISNUMBER(PL[[#This Row],[CTO]]),"CTO "&amp;PL[[#This Row],[CTO]],"Otros")</f>
        <v>CTO 5</v>
      </c>
      <c r="O132" s="154" t="str">
        <f>IF(PL[[#This Row],[STATUS IUP]]="CERRADO","CERRADO",IF(ISNUMBER(SEARCH("validacion de enel",PL[[#This Row],[SUPPLIER NOTES]])),"PTE Validar Enel","ABIERTO"))</f>
        <v>CERRADO</v>
      </c>
      <c r="P132" s="154" t="str">
        <f>IF(PL[[#This Row],[ESTADO]]="CERRADO","Cerrados IUP",IF(PL[[#This Row],[ESTADO]]="PTE Validar Enel","Pendiente cierre ENEL",IF(ISNUMBER(SEARCH("suministro",PL[[#This Row],[SUPPLIER NOTES]])),"Suministros",IF(PL[[#This Row],[SC]]="SOCIAL","Social",IF(ISNUMBER(SEARCH("monolito",PL[[#This Row],[DESCRIPTION]])),"Monolitos","Varios")))))</f>
        <v>Cerrados IUP</v>
      </c>
      <c r="Q1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 spans="1:17" s="157" customFormat="1" hidden="1" x14ac:dyDescent="0.2">
      <c r="A133" s="151" t="s">
        <v>219</v>
      </c>
      <c r="B133" s="154" t="s">
        <v>8</v>
      </c>
      <c r="C133" s="152">
        <v>5</v>
      </c>
      <c r="D133" s="153" t="s">
        <v>3387</v>
      </c>
      <c r="E133" s="154"/>
      <c r="F133" s="154" t="s">
        <v>220</v>
      </c>
      <c r="G133" s="154" t="s">
        <v>1290</v>
      </c>
      <c r="H133" s="154"/>
      <c r="I133" s="154"/>
      <c r="J133" s="154" t="s">
        <v>74</v>
      </c>
      <c r="K133" s="154" t="s">
        <v>3394</v>
      </c>
      <c r="L133" s="154"/>
      <c r="M133" s="156"/>
      <c r="N133" s="154" t="str">
        <f>IF(ISNUMBER(PL[[#This Row],[CTO]]),"CTO "&amp;PL[[#This Row],[CTO]],"Otros")</f>
        <v>CTO 5</v>
      </c>
      <c r="O133" s="154" t="str">
        <f>IF(PL[[#This Row],[STATUS IUP]]="CERRADO","CERRADO",IF(ISNUMBER(SEARCH("validacion de enel",PL[[#This Row],[SUPPLIER NOTES]])),"PTE Validar Enel","ABIERTO"))</f>
        <v>CERRADO</v>
      </c>
      <c r="P133" s="154" t="str">
        <f>IF(PL[[#This Row],[ESTADO]]="CERRADO","Cerrados IUP",IF(PL[[#This Row],[ESTADO]]="PTE Validar Enel","Pendiente cierre ENEL",IF(ISNUMBER(SEARCH("suministro",PL[[#This Row],[SUPPLIER NOTES]])),"Suministros",IF(PL[[#This Row],[SC]]="SOCIAL","Social",IF(ISNUMBER(SEARCH("monolito",PL[[#This Row],[DESCRIPTION]])),"Monolitos","Varios")))))</f>
        <v>Cerrados IUP</v>
      </c>
      <c r="Q1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4" spans="1:17" hidden="1" x14ac:dyDescent="0.2">
      <c r="A134" s="66" t="s">
        <v>466</v>
      </c>
      <c r="B134" s="67" t="s">
        <v>8</v>
      </c>
      <c r="C134" s="52">
        <v>5</v>
      </c>
      <c r="D134" s="68" t="s">
        <v>3387</v>
      </c>
      <c r="E134" s="67"/>
      <c r="F134" s="67" t="s">
        <v>467</v>
      </c>
      <c r="G134" s="82" t="s">
        <v>1289</v>
      </c>
      <c r="H134" s="90" t="s">
        <v>3463</v>
      </c>
      <c r="I134" s="67"/>
      <c r="J134" s="67" t="s">
        <v>11</v>
      </c>
      <c r="K134" s="67" t="s">
        <v>3393</v>
      </c>
      <c r="L134" s="67"/>
      <c r="M134" s="69"/>
      <c r="N134" s="67" t="str">
        <f>IF(ISNUMBER(PL[[#This Row],[CTO]]),"CTO "&amp;PL[[#This Row],[CTO]],"Otros")</f>
        <v>CTO 5</v>
      </c>
      <c r="O134" s="67" t="str">
        <f>IF(PL[[#This Row],[STATUS IUP]]="CERRADO","CERRADO",IF(ISNUMBER(SEARCH("validacion de enel",PL[[#This Row],[SUPPLIER NOTES]])),"PTE Validar Enel","ABIERTO"))</f>
        <v>ABIERTO</v>
      </c>
      <c r="P134" s="67" t="str">
        <f>IF(PL[[#This Row],[ESTADO]]="CERRADO","Cerrados IUP",IF(PL[[#This Row],[ESTADO]]="PTE Validar Enel","Pendiente cierre ENEL",IF(ISNUMBER(SEARCH("suministro",PL[[#This Row],[SUPPLIER NOTES]])),"Suministros",IF(PL[[#This Row],[SC]]="SOCIAL","Social",IF(ISNUMBER(SEARCH("monolito",PL[[#This Row],[DESCRIPTION]])),"Monolitos","Varios")))))</f>
        <v>Varios</v>
      </c>
      <c r="Q13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5" spans="1:17" hidden="1" x14ac:dyDescent="0.2">
      <c r="A135" s="116" t="s">
        <v>468</v>
      </c>
      <c r="B135" s="117" t="s">
        <v>8</v>
      </c>
      <c r="C135" s="52">
        <v>5</v>
      </c>
      <c r="D135" s="118" t="s">
        <v>3387</v>
      </c>
      <c r="E135" s="117"/>
      <c r="F135" s="117" t="s">
        <v>469</v>
      </c>
      <c r="G135" s="82" t="s">
        <v>128</v>
      </c>
      <c r="H135" s="90"/>
      <c r="I135" s="67"/>
      <c r="J135" s="67" t="s">
        <v>11</v>
      </c>
      <c r="K135" s="67" t="s">
        <v>3393</v>
      </c>
      <c r="L135" s="67"/>
      <c r="M135" s="69"/>
      <c r="N135" s="67" t="str">
        <f>IF(ISNUMBER(PL[[#This Row],[CTO]]),"CTO "&amp;PL[[#This Row],[CTO]],"Otros")</f>
        <v>CTO 5</v>
      </c>
      <c r="O135" s="67" t="str">
        <f>IF(PL[[#This Row],[STATUS IUP]]="CERRADO","CERRADO",IF(ISNUMBER(SEARCH("validacion de enel",PL[[#This Row],[SUPPLIER NOTES]])),"PTE Validar Enel","ABIERTO"))</f>
        <v>ABIERTO</v>
      </c>
      <c r="P135" s="67" t="str">
        <f>IF(PL[[#This Row],[ESTADO]]="CERRADO","Cerrados IUP",IF(PL[[#This Row],[ESTADO]]="PTE Validar Enel","Pendiente cierre ENEL",IF(ISNUMBER(SEARCH("suministro",PL[[#This Row],[SUPPLIER NOTES]])),"Suministros",IF(PL[[#This Row],[SC]]="SOCIAL","Social",IF(ISNUMBER(SEARCH("monolito",PL[[#This Row],[DESCRIPTION]])),"Monolitos","Varios")))))</f>
        <v>Varios</v>
      </c>
      <c r="Q13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6" spans="1:17" hidden="1" x14ac:dyDescent="0.2">
      <c r="A136" s="75" t="s">
        <v>931</v>
      </c>
      <c r="B136" s="74" t="s">
        <v>41</v>
      </c>
      <c r="C136" s="52">
        <v>5</v>
      </c>
      <c r="D136" s="74" t="s">
        <v>3387</v>
      </c>
      <c r="E136" s="76" t="s">
        <v>3392</v>
      </c>
      <c r="F136" s="74" t="s">
        <v>932</v>
      </c>
      <c r="G136" s="74" t="s">
        <v>49</v>
      </c>
      <c r="H136" s="74" t="s">
        <v>3462</v>
      </c>
      <c r="I136" s="74"/>
      <c r="J136" s="74" t="s">
        <v>11</v>
      </c>
      <c r="K136" s="74" t="s">
        <v>3393</v>
      </c>
      <c r="L136" s="74"/>
      <c r="M136" s="77"/>
      <c r="N136" s="74" t="str">
        <f>IF(ISNUMBER(PL[[#This Row],[CTO]]),"CTO "&amp;PL[[#This Row],[CTO]],"Otros")</f>
        <v>CTO 5</v>
      </c>
      <c r="O136" s="74" t="str">
        <f>IF(PL[[#This Row],[STATUS IUP]]="CERRADO","CERRADO",IF(ISNUMBER(SEARCH("validacion de enel",PL[[#This Row],[SUPPLIER NOTES]])),"PTE Validar Enel","ABIERTO"))</f>
        <v>ABIERTO</v>
      </c>
      <c r="P136" s="74" t="str">
        <f>IF(PL[[#This Row],[ESTADO]]="CERRADO","Cerrados IUP",IF(PL[[#This Row],[ESTADO]]="PTE Validar Enel","Pendiente cierre ENEL",IF(ISNUMBER(SEARCH("suministro",PL[[#This Row],[SUPPLIER NOTES]])),"Suministros",IF(PL[[#This Row],[SC]]="SOCIAL","Social",IF(ISNUMBER(SEARCH("monolito",PL[[#This Row],[DESCRIPTION]])),"Monolitos","Varios")))))</f>
        <v>Suministros</v>
      </c>
      <c r="Q13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7" spans="1:17" hidden="1" x14ac:dyDescent="0.2">
      <c r="A137" s="75" t="s">
        <v>933</v>
      </c>
      <c r="B137" s="74" t="s">
        <v>41</v>
      </c>
      <c r="C137" s="52">
        <v>5</v>
      </c>
      <c r="D137" s="74" t="s">
        <v>3387</v>
      </c>
      <c r="E137" s="76" t="s">
        <v>3392</v>
      </c>
      <c r="F137" s="74" t="s">
        <v>934</v>
      </c>
      <c r="G137" s="74" t="s">
        <v>49</v>
      </c>
      <c r="H137" s="74" t="s">
        <v>3462</v>
      </c>
      <c r="I137" s="74"/>
      <c r="J137" s="74" t="s">
        <v>11</v>
      </c>
      <c r="K137" s="74" t="s">
        <v>3393</v>
      </c>
      <c r="L137" s="74"/>
      <c r="M137" s="77"/>
      <c r="N137" s="74" t="str">
        <f>IF(ISNUMBER(PL[[#This Row],[CTO]]),"CTO "&amp;PL[[#This Row],[CTO]],"Otros")</f>
        <v>CTO 5</v>
      </c>
      <c r="O137" s="74" t="str">
        <f>IF(PL[[#This Row],[STATUS IUP]]="CERRADO","CERRADO",IF(ISNUMBER(SEARCH("validacion de enel",PL[[#This Row],[SUPPLIER NOTES]])),"PTE Validar Enel","ABIERTO"))</f>
        <v>ABIERTO</v>
      </c>
      <c r="P137" s="74" t="str">
        <f>IF(PL[[#This Row],[ESTADO]]="CERRADO","Cerrados IUP",IF(PL[[#This Row],[ESTADO]]="PTE Validar Enel","Pendiente cierre ENEL",IF(ISNUMBER(SEARCH("suministro",PL[[#This Row],[SUPPLIER NOTES]])),"Suministros",IF(PL[[#This Row],[SC]]="SOCIAL","Social",IF(ISNUMBER(SEARCH("monolito",PL[[#This Row],[DESCRIPTION]])),"Monolitos","Varios")))))</f>
        <v>Suministros</v>
      </c>
      <c r="Q13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8" spans="1:17" s="157" customFormat="1" hidden="1" x14ac:dyDescent="0.2">
      <c r="A138" s="151" t="s">
        <v>935</v>
      </c>
      <c r="B138" s="154" t="s">
        <v>41</v>
      </c>
      <c r="C138" s="152">
        <v>5</v>
      </c>
      <c r="D138" s="154" t="s">
        <v>3387</v>
      </c>
      <c r="E138" s="153" t="s">
        <v>3392</v>
      </c>
      <c r="F138" s="154" t="s">
        <v>936</v>
      </c>
      <c r="G138" s="154" t="s">
        <v>49</v>
      </c>
      <c r="H138" s="154"/>
      <c r="I138" s="154"/>
      <c r="J138" s="154" t="s">
        <v>74</v>
      </c>
      <c r="K138" s="154" t="s">
        <v>3394</v>
      </c>
      <c r="L138" s="154"/>
      <c r="M138" s="156"/>
      <c r="N138" s="154" t="str">
        <f>IF(ISNUMBER(PL[[#This Row],[CTO]]),"CTO "&amp;PL[[#This Row],[CTO]],"Otros")</f>
        <v>CTO 5</v>
      </c>
      <c r="O138" s="154" t="str">
        <f>IF(PL[[#This Row],[STATUS IUP]]="CERRADO","CERRADO",IF(ISNUMBER(SEARCH("validacion de enel",PL[[#This Row],[SUPPLIER NOTES]])),"PTE Validar Enel","ABIERTO"))</f>
        <v>CERRADO</v>
      </c>
      <c r="P138" s="154" t="str">
        <f>IF(PL[[#This Row],[ESTADO]]="CERRADO","Cerrados IUP",IF(PL[[#This Row],[ESTADO]]="PTE Validar Enel","Pendiente cierre ENEL",IF(ISNUMBER(SEARCH("suministro",PL[[#This Row],[SUPPLIER NOTES]])),"Suministros",IF(PL[[#This Row],[SC]]="SOCIAL","Social",IF(ISNUMBER(SEARCH("monolito",PL[[#This Row],[DESCRIPTION]])),"Monolitos","Varios")))))</f>
        <v>Cerrados IUP</v>
      </c>
      <c r="Q1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9" spans="1:17" s="157" customFormat="1" hidden="1" x14ac:dyDescent="0.2">
      <c r="A139" s="151" t="s">
        <v>1250</v>
      </c>
      <c r="B139" s="154" t="s">
        <v>8</v>
      </c>
      <c r="C139" s="152">
        <v>5</v>
      </c>
      <c r="D139" s="153" t="s">
        <v>3387</v>
      </c>
      <c r="E139" s="154"/>
      <c r="F139" s="154" t="s">
        <v>1251</v>
      </c>
      <c r="G139" s="154" t="s">
        <v>43</v>
      </c>
      <c r="H139" s="154"/>
      <c r="I139" s="154"/>
      <c r="J139" s="154" t="s">
        <v>74</v>
      </c>
      <c r="K139" s="154" t="s">
        <v>3394</v>
      </c>
      <c r="L139" s="154"/>
      <c r="M139" s="156"/>
      <c r="N139" s="154" t="str">
        <f>IF(ISNUMBER(PL[[#This Row],[CTO]]),"CTO "&amp;PL[[#This Row],[CTO]],"Otros")</f>
        <v>CTO 5</v>
      </c>
      <c r="O139" s="154" t="str">
        <f>IF(PL[[#This Row],[STATUS IUP]]="CERRADO","CERRADO",IF(ISNUMBER(SEARCH("validacion de enel",PL[[#This Row],[SUPPLIER NOTES]])),"PTE Validar Enel","ABIERTO"))</f>
        <v>CERRADO</v>
      </c>
      <c r="P139" s="154" t="str">
        <f>IF(PL[[#This Row],[ESTADO]]="CERRADO","Cerrados IUP",IF(PL[[#This Row],[ESTADO]]="PTE Validar Enel","Pendiente cierre ENEL",IF(ISNUMBER(SEARCH("suministro",PL[[#This Row],[SUPPLIER NOTES]])),"Suministros",IF(PL[[#This Row],[SC]]="SOCIAL","Social",IF(ISNUMBER(SEARCH("monolito",PL[[#This Row],[DESCRIPTION]])),"Monolitos","Varios")))))</f>
        <v>Cerrados IUP</v>
      </c>
      <c r="Q1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40" spans="1:17" x14ac:dyDescent="0.2">
      <c r="A140" s="75" t="s">
        <v>1190</v>
      </c>
      <c r="B140" s="74" t="s">
        <v>8</v>
      </c>
      <c r="C140" s="52">
        <v>5</v>
      </c>
      <c r="D140" s="76" t="s">
        <v>3387</v>
      </c>
      <c r="E140" s="74"/>
      <c r="F140" s="74" t="s">
        <v>1191</v>
      </c>
      <c r="G140" s="74" t="s">
        <v>43</v>
      </c>
      <c r="H140" s="74" t="s">
        <v>3460</v>
      </c>
      <c r="I140" s="74"/>
      <c r="J140" s="74" t="s">
        <v>11</v>
      </c>
      <c r="K140" s="74" t="s">
        <v>3393</v>
      </c>
      <c r="L140" s="74"/>
      <c r="M140" s="77"/>
      <c r="N140" s="74" t="str">
        <f>IF(ISNUMBER(PL[[#This Row],[CTO]]),"CTO "&amp;PL[[#This Row],[CTO]],"Otros")</f>
        <v>CTO 5</v>
      </c>
      <c r="O140" s="74" t="str">
        <f>IF(PL[[#This Row],[STATUS IUP]]="CERRADO","CERRADO",IF(ISNUMBER(SEARCH("validacion de enel",PL[[#This Row],[SUPPLIER NOTES]])),"PTE Validar Enel","ABIERTO"))</f>
        <v>ABIERTO</v>
      </c>
      <c r="P140" s="74" t="str">
        <f>IF(PL[[#This Row],[ESTADO]]="CERRADO","Cerrados IUP",IF(PL[[#This Row],[ESTADO]]="PTE Validar Enel","Pendiente cierre ENEL",IF(ISNUMBER(SEARCH("suministro",PL[[#This Row],[SUPPLIER NOTES]])),"Suministros",IF(PL[[#This Row],[SC]]="SOCIAL","Social",IF(ISNUMBER(SEARCH("monolito",PL[[#This Row],[DESCRIPTION]])),"Monolitos","Varios")))))</f>
        <v>Suministros</v>
      </c>
      <c r="Q14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41" spans="1:17" ht="32" x14ac:dyDescent="0.2">
      <c r="A141" s="86" t="s">
        <v>1214</v>
      </c>
      <c r="B141" s="115" t="s">
        <v>8</v>
      </c>
      <c r="C141" s="52">
        <v>5</v>
      </c>
      <c r="D141" s="88" t="s">
        <v>3387</v>
      </c>
      <c r="E141" s="87"/>
      <c r="F141" s="115" t="s">
        <v>1215</v>
      </c>
      <c r="G141" s="87" t="s">
        <v>43</v>
      </c>
      <c r="H141" s="87" t="s">
        <v>3454</v>
      </c>
      <c r="I141" s="87"/>
      <c r="J141" s="87" t="s">
        <v>11</v>
      </c>
      <c r="K141" s="87" t="s">
        <v>3393</v>
      </c>
      <c r="L141" s="87"/>
      <c r="M141" s="89"/>
      <c r="N141" s="87" t="str">
        <f>IF(ISNUMBER(PL[[#This Row],[CTO]]),"CTO "&amp;PL[[#This Row],[CTO]],"Otros")</f>
        <v>CTO 5</v>
      </c>
      <c r="O141" s="87" t="str">
        <f>IF(PL[[#This Row],[STATUS IUP]]="CERRADO","CERRADO",IF(ISNUMBER(SEARCH("validacion de enel",PL[[#This Row],[SUPPLIER NOTES]])),"PTE Validar Enel","ABIERTO"))</f>
        <v>PTE Validar Enel</v>
      </c>
      <c r="P14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4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42" spans="1:17" ht="32" hidden="1" x14ac:dyDescent="0.2">
      <c r="A142" s="86" t="s">
        <v>221</v>
      </c>
      <c r="B142" s="115" t="s">
        <v>8</v>
      </c>
      <c r="C142" s="52">
        <v>5</v>
      </c>
      <c r="D142" s="88" t="s">
        <v>3388</v>
      </c>
      <c r="E142" s="87"/>
      <c r="F142" s="115" t="s">
        <v>222</v>
      </c>
      <c r="G142" s="87" t="s">
        <v>108</v>
      </c>
      <c r="H142" s="87" t="s">
        <v>3454</v>
      </c>
      <c r="I142" s="87"/>
      <c r="J142" s="87" t="s">
        <v>11</v>
      </c>
      <c r="K142" s="87" t="s">
        <v>3393</v>
      </c>
      <c r="L142" s="87"/>
      <c r="M142" s="89"/>
      <c r="N142" s="87" t="str">
        <f>IF(ISNUMBER(PL[[#This Row],[CTO]]),"CTO "&amp;PL[[#This Row],[CTO]],"Otros")</f>
        <v>CTO 5</v>
      </c>
      <c r="O142" s="87" t="str">
        <f>IF(PL[[#This Row],[STATUS IUP]]="CERRADO","CERRADO",IF(ISNUMBER(SEARCH("validacion de enel",PL[[#This Row],[SUPPLIER NOTES]])),"PTE Validar Enel","ABIERTO"))</f>
        <v>PTE Validar Enel</v>
      </c>
      <c r="P14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4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3" spans="1:17" ht="48" hidden="1" x14ac:dyDescent="0.2">
      <c r="A143" s="86" t="s">
        <v>231</v>
      </c>
      <c r="B143" s="115" t="s">
        <v>8</v>
      </c>
      <c r="C143" s="52">
        <v>5</v>
      </c>
      <c r="D143" s="88" t="s">
        <v>3388</v>
      </c>
      <c r="E143" s="87"/>
      <c r="F143" s="115" t="s">
        <v>232</v>
      </c>
      <c r="G143" s="87" t="s">
        <v>108</v>
      </c>
      <c r="H143" s="87" t="s">
        <v>3454</v>
      </c>
      <c r="I143" s="87"/>
      <c r="J143" s="87" t="s">
        <v>11</v>
      </c>
      <c r="K143" s="87" t="s">
        <v>3393</v>
      </c>
      <c r="L143" s="87"/>
      <c r="M143" s="89"/>
      <c r="N143" s="87" t="str">
        <f>IF(ISNUMBER(PL[[#This Row],[CTO]]),"CTO "&amp;PL[[#This Row],[CTO]],"Otros")</f>
        <v>CTO 5</v>
      </c>
      <c r="O143" s="87" t="str">
        <f>IF(PL[[#This Row],[STATUS IUP]]="CERRADO","CERRADO",IF(ISNUMBER(SEARCH("validacion de enel",PL[[#This Row],[SUPPLIER NOTES]])),"PTE Validar Enel","ABIERTO"))</f>
        <v>PTE Validar Enel</v>
      </c>
      <c r="P14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4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4" spans="1:17" s="157" customFormat="1" ht="48" hidden="1" x14ac:dyDescent="0.2">
      <c r="A144" s="151" t="s">
        <v>239</v>
      </c>
      <c r="B144" s="152" t="s">
        <v>8</v>
      </c>
      <c r="C144" s="152">
        <v>5</v>
      </c>
      <c r="D144" s="153" t="s">
        <v>3388</v>
      </c>
      <c r="E144" s="154"/>
      <c r="F144" s="152" t="s">
        <v>240</v>
      </c>
      <c r="G144" s="154" t="s">
        <v>108</v>
      </c>
      <c r="H144" s="154" t="s">
        <v>3454</v>
      </c>
      <c r="I144" s="154"/>
      <c r="J144" s="154" t="s">
        <v>74</v>
      </c>
      <c r="K144" s="154" t="s">
        <v>3394</v>
      </c>
      <c r="L144" s="155">
        <v>46294</v>
      </c>
      <c r="M144" s="156"/>
      <c r="N144" s="154" t="str">
        <f>IF(ISNUMBER(PL[[#This Row],[CTO]]),"CTO "&amp;PL[[#This Row],[CTO]],"Otros")</f>
        <v>CTO 5</v>
      </c>
      <c r="O144" s="154" t="str">
        <f>IF(PL[[#This Row],[STATUS IUP]]="CERRADO","CERRADO",IF(ISNUMBER(SEARCH("validacion de enel",PL[[#This Row],[SUPPLIER NOTES]])),"PTE Validar Enel","ABIERTO"))</f>
        <v>CERRADO</v>
      </c>
      <c r="P144" s="154" t="str">
        <f>IF(PL[[#This Row],[ESTADO]]="CERRADO","Cerrados IUP",IF(PL[[#This Row],[ESTADO]]="PTE Validar Enel","Pendiente cierre ENEL",IF(ISNUMBER(SEARCH("suministro",PL[[#This Row],[SUPPLIER NOTES]])),"Suministros",IF(PL[[#This Row],[SC]]="SOCIAL","Social",IF(ISNUMBER(SEARCH("monolito",PL[[#This Row],[DESCRIPTION]])),"Monolitos","Varios")))))</f>
        <v>Cerrados IUP</v>
      </c>
      <c r="Q1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5" spans="1:17" ht="48" hidden="1" x14ac:dyDescent="0.2">
      <c r="A145" s="86" t="s">
        <v>311</v>
      </c>
      <c r="B145" s="115" t="s">
        <v>8</v>
      </c>
      <c r="C145" s="52">
        <v>5</v>
      </c>
      <c r="D145" s="88" t="s">
        <v>3388</v>
      </c>
      <c r="E145" s="87"/>
      <c r="F145" s="115" t="s">
        <v>312</v>
      </c>
      <c r="G145" s="82" t="s">
        <v>1290</v>
      </c>
      <c r="H145" s="87" t="s">
        <v>3454</v>
      </c>
      <c r="I145" s="87"/>
      <c r="J145" s="87" t="s">
        <v>11</v>
      </c>
      <c r="K145" s="87" t="s">
        <v>3393</v>
      </c>
      <c r="L145" s="87"/>
      <c r="M145" s="89"/>
      <c r="N145" s="87" t="str">
        <f>IF(ISNUMBER(PL[[#This Row],[CTO]]),"CTO "&amp;PL[[#This Row],[CTO]],"Otros")</f>
        <v>CTO 5</v>
      </c>
      <c r="O145" s="87" t="str">
        <f>IF(PL[[#This Row],[STATUS IUP]]="CERRADO","CERRADO",IF(ISNUMBER(SEARCH("validacion de enel",PL[[#This Row],[SUPPLIER NOTES]])),"PTE Validar Enel","ABIERTO"))</f>
        <v>PTE Validar Enel</v>
      </c>
      <c r="P14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4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6" spans="1:17" ht="32" hidden="1" x14ac:dyDescent="0.2">
      <c r="A146" s="86" t="s">
        <v>345</v>
      </c>
      <c r="B146" s="115" t="s">
        <v>8</v>
      </c>
      <c r="C146" s="52">
        <v>5</v>
      </c>
      <c r="D146" s="88" t="s">
        <v>3388</v>
      </c>
      <c r="E146" s="87"/>
      <c r="F146" s="115" t="s">
        <v>346</v>
      </c>
      <c r="G146" s="82" t="s">
        <v>1290</v>
      </c>
      <c r="H146" s="87" t="s">
        <v>3454</v>
      </c>
      <c r="I146" s="87"/>
      <c r="J146" s="87" t="s">
        <v>11</v>
      </c>
      <c r="K146" s="87" t="s">
        <v>3393</v>
      </c>
      <c r="L146" s="87"/>
      <c r="M146" s="89"/>
      <c r="N146" s="87" t="str">
        <f>IF(ISNUMBER(PL[[#This Row],[CTO]]),"CTO "&amp;PL[[#This Row],[CTO]],"Otros")</f>
        <v>CTO 5</v>
      </c>
      <c r="O146" s="87" t="str">
        <f>IF(PL[[#This Row],[STATUS IUP]]="CERRADO","CERRADO",IF(ISNUMBER(SEARCH("validacion de enel",PL[[#This Row],[SUPPLIER NOTES]])),"PTE Validar Enel","ABIERTO"))</f>
        <v>PTE Validar Enel</v>
      </c>
      <c r="P14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4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7" spans="1:17" s="157" customFormat="1" hidden="1" x14ac:dyDescent="0.2">
      <c r="A147" s="151" t="s">
        <v>223</v>
      </c>
      <c r="B147" s="154" t="s">
        <v>8</v>
      </c>
      <c r="C147" s="152">
        <v>5</v>
      </c>
      <c r="D147" s="153" t="s">
        <v>3388</v>
      </c>
      <c r="E147" s="154"/>
      <c r="F147" s="154" t="s">
        <v>224</v>
      </c>
      <c r="G147" s="154" t="s">
        <v>1290</v>
      </c>
      <c r="H147" s="154"/>
      <c r="I147" s="154"/>
      <c r="J147" s="154" t="s">
        <v>74</v>
      </c>
      <c r="K147" s="154" t="s">
        <v>3394</v>
      </c>
      <c r="L147" s="154"/>
      <c r="M147" s="156"/>
      <c r="N147" s="154" t="str">
        <f>IF(ISNUMBER(PL[[#This Row],[CTO]]),"CTO "&amp;PL[[#This Row],[CTO]],"Otros")</f>
        <v>CTO 5</v>
      </c>
      <c r="O147" s="154" t="str">
        <f>IF(PL[[#This Row],[STATUS IUP]]="CERRADO","CERRADO",IF(ISNUMBER(SEARCH("validacion de enel",PL[[#This Row],[SUPPLIER NOTES]])),"PTE Validar Enel","ABIERTO"))</f>
        <v>CERRADO</v>
      </c>
      <c r="P147" s="154" t="str">
        <f>IF(PL[[#This Row],[ESTADO]]="CERRADO","Cerrados IUP",IF(PL[[#This Row],[ESTADO]]="PTE Validar Enel","Pendiente cierre ENEL",IF(ISNUMBER(SEARCH("suministro",PL[[#This Row],[SUPPLIER NOTES]])),"Suministros",IF(PL[[#This Row],[SC]]="SOCIAL","Social",IF(ISNUMBER(SEARCH("monolito",PL[[#This Row],[DESCRIPTION]])),"Monolitos","Varios")))))</f>
        <v>Cerrados IUP</v>
      </c>
      <c r="Q1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8" spans="1:17" s="157" customFormat="1" hidden="1" x14ac:dyDescent="0.2">
      <c r="A148" s="151" t="s">
        <v>225</v>
      </c>
      <c r="B148" s="154" t="s">
        <v>8</v>
      </c>
      <c r="C148" s="152">
        <v>5</v>
      </c>
      <c r="D148" s="153" t="s">
        <v>3388</v>
      </c>
      <c r="E148" s="154"/>
      <c r="F148" s="154" t="s">
        <v>226</v>
      </c>
      <c r="G148" s="154" t="s">
        <v>1290</v>
      </c>
      <c r="H148" s="154"/>
      <c r="I148" s="154"/>
      <c r="J148" s="154" t="s">
        <v>74</v>
      </c>
      <c r="K148" s="154" t="s">
        <v>3394</v>
      </c>
      <c r="L148" s="154"/>
      <c r="M148" s="156"/>
      <c r="N148" s="154" t="str">
        <f>IF(ISNUMBER(PL[[#This Row],[CTO]]),"CTO "&amp;PL[[#This Row],[CTO]],"Otros")</f>
        <v>CTO 5</v>
      </c>
      <c r="O148" s="154" t="str">
        <f>IF(PL[[#This Row],[STATUS IUP]]="CERRADO","CERRADO",IF(ISNUMBER(SEARCH("validacion de enel",PL[[#This Row],[SUPPLIER NOTES]])),"PTE Validar Enel","ABIERTO"))</f>
        <v>CERRADO</v>
      </c>
      <c r="P148" s="154" t="str">
        <f>IF(PL[[#This Row],[ESTADO]]="CERRADO","Cerrados IUP",IF(PL[[#This Row],[ESTADO]]="PTE Validar Enel","Pendiente cierre ENEL",IF(ISNUMBER(SEARCH("suministro",PL[[#This Row],[SUPPLIER NOTES]])),"Suministros",IF(PL[[#This Row],[SC]]="SOCIAL","Social",IF(ISNUMBER(SEARCH("monolito",PL[[#This Row],[DESCRIPTION]])),"Monolitos","Varios")))))</f>
        <v>Cerrados IUP</v>
      </c>
      <c r="Q1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49" spans="1:17" s="157" customFormat="1" hidden="1" x14ac:dyDescent="0.2">
      <c r="A149" s="151" t="s">
        <v>227</v>
      </c>
      <c r="B149" s="154" t="s">
        <v>8</v>
      </c>
      <c r="C149" s="152">
        <v>5</v>
      </c>
      <c r="D149" s="153" t="s">
        <v>3388</v>
      </c>
      <c r="E149" s="154"/>
      <c r="F149" s="154" t="s">
        <v>228</v>
      </c>
      <c r="G149" s="154" t="s">
        <v>1290</v>
      </c>
      <c r="H149" s="154"/>
      <c r="I149" s="154"/>
      <c r="J149" s="154" t="s">
        <v>74</v>
      </c>
      <c r="K149" s="154" t="s">
        <v>3394</v>
      </c>
      <c r="L149" s="154"/>
      <c r="M149" s="156"/>
      <c r="N149" s="154" t="str">
        <f>IF(ISNUMBER(PL[[#This Row],[CTO]]),"CTO "&amp;PL[[#This Row],[CTO]],"Otros")</f>
        <v>CTO 5</v>
      </c>
      <c r="O149" s="154" t="str">
        <f>IF(PL[[#This Row],[STATUS IUP]]="CERRADO","CERRADO",IF(ISNUMBER(SEARCH("validacion de enel",PL[[#This Row],[SUPPLIER NOTES]])),"PTE Validar Enel","ABIERTO"))</f>
        <v>CERRADO</v>
      </c>
      <c r="P149" s="154" t="str">
        <f>IF(PL[[#This Row],[ESTADO]]="CERRADO","Cerrados IUP",IF(PL[[#This Row],[ESTADO]]="PTE Validar Enel","Pendiente cierre ENEL",IF(ISNUMBER(SEARCH("suministro",PL[[#This Row],[SUPPLIER NOTES]])),"Suministros",IF(PL[[#This Row],[SC]]="SOCIAL","Social",IF(ISNUMBER(SEARCH("monolito",PL[[#This Row],[DESCRIPTION]])),"Monolitos","Varios")))))</f>
        <v>Cerrados IUP</v>
      </c>
      <c r="Q1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0" spans="1:17" s="157" customFormat="1" hidden="1" x14ac:dyDescent="0.2">
      <c r="A150" s="151" t="s">
        <v>229</v>
      </c>
      <c r="B150" s="154" t="s">
        <v>8</v>
      </c>
      <c r="C150" s="152">
        <v>5</v>
      </c>
      <c r="D150" s="153" t="s">
        <v>3388</v>
      </c>
      <c r="E150" s="154"/>
      <c r="F150" s="154" t="s">
        <v>230</v>
      </c>
      <c r="G150" s="154" t="s">
        <v>108</v>
      </c>
      <c r="H150" s="154"/>
      <c r="I150" s="154"/>
      <c r="J150" s="154" t="s">
        <v>74</v>
      </c>
      <c r="K150" s="154" t="s">
        <v>3394</v>
      </c>
      <c r="L150" s="154"/>
      <c r="M150" s="156"/>
      <c r="N150" s="154" t="str">
        <f>IF(ISNUMBER(PL[[#This Row],[CTO]]),"CTO "&amp;PL[[#This Row],[CTO]],"Otros")</f>
        <v>CTO 5</v>
      </c>
      <c r="O150" s="154" t="str">
        <f>IF(PL[[#This Row],[STATUS IUP]]="CERRADO","CERRADO",IF(ISNUMBER(SEARCH("validacion de enel",PL[[#This Row],[SUPPLIER NOTES]])),"PTE Validar Enel","ABIERTO"))</f>
        <v>CERRADO</v>
      </c>
      <c r="P150" s="154" t="str">
        <f>IF(PL[[#This Row],[ESTADO]]="CERRADO","Cerrados IUP",IF(PL[[#This Row],[ESTADO]]="PTE Validar Enel","Pendiente cierre ENEL",IF(ISNUMBER(SEARCH("suministro",PL[[#This Row],[SUPPLIER NOTES]])),"Suministros",IF(PL[[#This Row],[SC]]="SOCIAL","Social",IF(ISNUMBER(SEARCH("monolito",PL[[#This Row],[DESCRIPTION]])),"Monolitos","Varios")))))</f>
        <v>Cerrados IUP</v>
      </c>
      <c r="Q1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1" spans="1:17" s="157" customFormat="1" hidden="1" x14ac:dyDescent="0.2">
      <c r="A151" s="151" t="s">
        <v>233</v>
      </c>
      <c r="B151" s="154" t="s">
        <v>8</v>
      </c>
      <c r="C151" s="152">
        <v>5</v>
      </c>
      <c r="D151" s="153" t="s">
        <v>3388</v>
      </c>
      <c r="E151" s="154"/>
      <c r="F151" s="154" t="s">
        <v>234</v>
      </c>
      <c r="G151" s="154" t="s">
        <v>1290</v>
      </c>
      <c r="H151" s="154"/>
      <c r="I151" s="154"/>
      <c r="J151" s="154" t="s">
        <v>74</v>
      </c>
      <c r="K151" s="154" t="s">
        <v>3394</v>
      </c>
      <c r="L151" s="154"/>
      <c r="M151" s="156"/>
      <c r="N151" s="154" t="str">
        <f>IF(ISNUMBER(PL[[#This Row],[CTO]]),"CTO "&amp;PL[[#This Row],[CTO]],"Otros")</f>
        <v>CTO 5</v>
      </c>
      <c r="O151" s="154" t="str">
        <f>IF(PL[[#This Row],[STATUS IUP]]="CERRADO","CERRADO",IF(ISNUMBER(SEARCH("validacion de enel",PL[[#This Row],[SUPPLIER NOTES]])),"PTE Validar Enel","ABIERTO"))</f>
        <v>CERRADO</v>
      </c>
      <c r="P151" s="154" t="str">
        <f>IF(PL[[#This Row],[ESTADO]]="CERRADO","Cerrados IUP",IF(PL[[#This Row],[ESTADO]]="PTE Validar Enel","Pendiente cierre ENEL",IF(ISNUMBER(SEARCH("suministro",PL[[#This Row],[SUPPLIER NOTES]])),"Suministros",IF(PL[[#This Row],[SC]]="SOCIAL","Social",IF(ISNUMBER(SEARCH("monolito",PL[[#This Row],[DESCRIPTION]])),"Monolitos","Varios")))))</f>
        <v>Cerrados IUP</v>
      </c>
      <c r="Q1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2" spans="1:17" s="157" customFormat="1" hidden="1" x14ac:dyDescent="0.2">
      <c r="A152" s="151" t="s">
        <v>235</v>
      </c>
      <c r="B152" s="154" t="s">
        <v>8</v>
      </c>
      <c r="C152" s="152">
        <v>5</v>
      </c>
      <c r="D152" s="153" t="s">
        <v>3388</v>
      </c>
      <c r="E152" s="154"/>
      <c r="F152" s="154" t="s">
        <v>236</v>
      </c>
      <c r="G152" s="154" t="s">
        <v>1290</v>
      </c>
      <c r="H152" s="154"/>
      <c r="I152" s="154"/>
      <c r="J152" s="154" t="s">
        <v>74</v>
      </c>
      <c r="K152" s="154" t="s">
        <v>3394</v>
      </c>
      <c r="L152" s="154"/>
      <c r="M152" s="156"/>
      <c r="N152" s="154" t="str">
        <f>IF(ISNUMBER(PL[[#This Row],[CTO]]),"CTO "&amp;PL[[#This Row],[CTO]],"Otros")</f>
        <v>CTO 5</v>
      </c>
      <c r="O152" s="154" t="str">
        <f>IF(PL[[#This Row],[STATUS IUP]]="CERRADO","CERRADO",IF(ISNUMBER(SEARCH("validacion de enel",PL[[#This Row],[SUPPLIER NOTES]])),"PTE Validar Enel","ABIERTO"))</f>
        <v>CERRADO</v>
      </c>
      <c r="P152" s="154" t="str">
        <f>IF(PL[[#This Row],[ESTADO]]="CERRADO","Cerrados IUP",IF(PL[[#This Row],[ESTADO]]="PTE Validar Enel","Pendiente cierre ENEL",IF(ISNUMBER(SEARCH("suministro",PL[[#This Row],[SUPPLIER NOTES]])),"Suministros",IF(PL[[#This Row],[SC]]="SOCIAL","Social",IF(ISNUMBER(SEARCH("monolito",PL[[#This Row],[DESCRIPTION]])),"Monolitos","Varios")))))</f>
        <v>Cerrados IUP</v>
      </c>
      <c r="Q1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3" spans="1:17" s="157" customFormat="1" hidden="1" x14ac:dyDescent="0.2">
      <c r="A153" s="151" t="s">
        <v>237</v>
      </c>
      <c r="B153" s="154" t="s">
        <v>8</v>
      </c>
      <c r="C153" s="152">
        <v>5</v>
      </c>
      <c r="D153" s="153" t="s">
        <v>3388</v>
      </c>
      <c r="E153" s="154"/>
      <c r="F153" s="154" t="s">
        <v>238</v>
      </c>
      <c r="G153" s="154" t="s">
        <v>1290</v>
      </c>
      <c r="H153" s="154"/>
      <c r="I153" s="154"/>
      <c r="J153" s="154" t="s">
        <v>74</v>
      </c>
      <c r="K153" s="154" t="s">
        <v>3394</v>
      </c>
      <c r="L153" s="154"/>
      <c r="M153" s="156"/>
      <c r="N153" s="154" t="str">
        <f>IF(ISNUMBER(PL[[#This Row],[CTO]]),"CTO "&amp;PL[[#This Row],[CTO]],"Otros")</f>
        <v>CTO 5</v>
      </c>
      <c r="O153" s="154" t="str">
        <f>IF(PL[[#This Row],[STATUS IUP]]="CERRADO","CERRADO",IF(ISNUMBER(SEARCH("validacion de enel",PL[[#This Row],[SUPPLIER NOTES]])),"PTE Validar Enel","ABIERTO"))</f>
        <v>CERRADO</v>
      </c>
      <c r="P153" s="154" t="str">
        <f>IF(PL[[#This Row],[ESTADO]]="CERRADO","Cerrados IUP",IF(PL[[#This Row],[ESTADO]]="PTE Validar Enel","Pendiente cierre ENEL",IF(ISNUMBER(SEARCH("suministro",PL[[#This Row],[SUPPLIER NOTES]])),"Suministros",IF(PL[[#This Row],[SC]]="SOCIAL","Social",IF(ISNUMBER(SEARCH("monolito",PL[[#This Row],[DESCRIPTION]])),"Monolitos","Varios")))))</f>
        <v>Cerrados IUP</v>
      </c>
      <c r="Q1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4" spans="1:17" s="157" customFormat="1" hidden="1" x14ac:dyDescent="0.2">
      <c r="A154" s="151" t="s">
        <v>241</v>
      </c>
      <c r="B154" s="154" t="s">
        <v>8</v>
      </c>
      <c r="C154" s="152">
        <v>5</v>
      </c>
      <c r="D154" s="153" t="s">
        <v>3388</v>
      </c>
      <c r="E154" s="154"/>
      <c r="F154" s="154" t="s">
        <v>242</v>
      </c>
      <c r="G154" s="154" t="s">
        <v>1289</v>
      </c>
      <c r="H154" s="154"/>
      <c r="I154" s="154"/>
      <c r="J154" s="154" t="s">
        <v>74</v>
      </c>
      <c r="K154" s="154" t="s">
        <v>3394</v>
      </c>
      <c r="L154" s="154"/>
      <c r="M154" s="156"/>
      <c r="N154" s="154" t="str">
        <f>IF(ISNUMBER(PL[[#This Row],[CTO]]),"CTO "&amp;PL[[#This Row],[CTO]],"Otros")</f>
        <v>CTO 5</v>
      </c>
      <c r="O154" s="154" t="str">
        <f>IF(PL[[#This Row],[STATUS IUP]]="CERRADO","CERRADO",IF(ISNUMBER(SEARCH("validacion de enel",PL[[#This Row],[SUPPLIER NOTES]])),"PTE Validar Enel","ABIERTO"))</f>
        <v>CERRADO</v>
      </c>
      <c r="P154" s="154" t="str">
        <f>IF(PL[[#This Row],[ESTADO]]="CERRADO","Cerrados IUP",IF(PL[[#This Row],[ESTADO]]="PTE Validar Enel","Pendiente cierre ENEL",IF(ISNUMBER(SEARCH("suministro",PL[[#This Row],[SUPPLIER NOTES]])),"Suministros",IF(PL[[#This Row],[SC]]="SOCIAL","Social",IF(ISNUMBER(SEARCH("monolito",PL[[#This Row],[DESCRIPTION]])),"Monolitos","Varios")))))</f>
        <v>Cerrados IUP</v>
      </c>
      <c r="Q1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5" spans="1:17" s="157" customFormat="1" hidden="1" x14ac:dyDescent="0.2">
      <c r="A155" s="151" t="s">
        <v>243</v>
      </c>
      <c r="B155" s="154" t="s">
        <v>8</v>
      </c>
      <c r="C155" s="152">
        <v>5</v>
      </c>
      <c r="D155" s="153" t="s">
        <v>3388</v>
      </c>
      <c r="E155" s="154"/>
      <c r="F155" s="154" t="s">
        <v>244</v>
      </c>
      <c r="G155" s="154" t="s">
        <v>108</v>
      </c>
      <c r="H155" s="154"/>
      <c r="I155" s="154"/>
      <c r="J155" s="154" t="s">
        <v>74</v>
      </c>
      <c r="K155" s="154" t="s">
        <v>3394</v>
      </c>
      <c r="L155" s="154"/>
      <c r="M155" s="156"/>
      <c r="N155" s="154" t="str">
        <f>IF(ISNUMBER(PL[[#This Row],[CTO]]),"CTO "&amp;PL[[#This Row],[CTO]],"Otros")</f>
        <v>CTO 5</v>
      </c>
      <c r="O155" s="154" t="str">
        <f>IF(PL[[#This Row],[STATUS IUP]]="CERRADO","CERRADO",IF(ISNUMBER(SEARCH("validacion de enel",PL[[#This Row],[SUPPLIER NOTES]])),"PTE Validar Enel","ABIERTO"))</f>
        <v>CERRADO</v>
      </c>
      <c r="P155" s="154" t="str">
        <f>IF(PL[[#This Row],[ESTADO]]="CERRADO","Cerrados IUP",IF(PL[[#This Row],[ESTADO]]="PTE Validar Enel","Pendiente cierre ENEL",IF(ISNUMBER(SEARCH("suministro",PL[[#This Row],[SUPPLIER NOTES]])),"Suministros",IF(PL[[#This Row],[SC]]="SOCIAL","Social",IF(ISNUMBER(SEARCH("monolito",PL[[#This Row],[DESCRIPTION]])),"Monolitos","Varios")))))</f>
        <v>Cerrados IUP</v>
      </c>
      <c r="Q1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6" spans="1:17" s="157" customFormat="1" hidden="1" x14ac:dyDescent="0.2">
      <c r="A156" s="151" t="s">
        <v>247</v>
      </c>
      <c r="B156" s="154" t="s">
        <v>8</v>
      </c>
      <c r="C156" s="152">
        <v>5</v>
      </c>
      <c r="D156" s="153" t="s">
        <v>3388</v>
      </c>
      <c r="E156" s="154"/>
      <c r="F156" s="154" t="s">
        <v>248</v>
      </c>
      <c r="G156" s="154" t="s">
        <v>1289</v>
      </c>
      <c r="H156" s="154"/>
      <c r="I156" s="154"/>
      <c r="J156" s="154" t="s">
        <v>74</v>
      </c>
      <c r="K156" s="154" t="s">
        <v>3394</v>
      </c>
      <c r="L156" s="154"/>
      <c r="M156" s="156"/>
      <c r="N156" s="154" t="str">
        <f>IF(ISNUMBER(PL[[#This Row],[CTO]]),"CTO "&amp;PL[[#This Row],[CTO]],"Otros")</f>
        <v>CTO 5</v>
      </c>
      <c r="O156" s="154" t="str">
        <f>IF(PL[[#This Row],[STATUS IUP]]="CERRADO","CERRADO",IF(ISNUMBER(SEARCH("validacion de enel",PL[[#This Row],[SUPPLIER NOTES]])),"PTE Validar Enel","ABIERTO"))</f>
        <v>CERRADO</v>
      </c>
      <c r="P156" s="154" t="str">
        <f>IF(PL[[#This Row],[ESTADO]]="CERRADO","Cerrados IUP",IF(PL[[#This Row],[ESTADO]]="PTE Validar Enel","Pendiente cierre ENEL",IF(ISNUMBER(SEARCH("suministro",PL[[#This Row],[SUPPLIER NOTES]])),"Suministros",IF(PL[[#This Row],[SC]]="SOCIAL","Social",IF(ISNUMBER(SEARCH("monolito",PL[[#This Row],[DESCRIPTION]])),"Monolitos","Varios")))))</f>
        <v>Cerrados IUP</v>
      </c>
      <c r="Q1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7" spans="1:17" s="157" customFormat="1" hidden="1" x14ac:dyDescent="0.2">
      <c r="A157" s="151" t="s">
        <v>249</v>
      </c>
      <c r="B157" s="154" t="s">
        <v>8</v>
      </c>
      <c r="C157" s="152">
        <v>5</v>
      </c>
      <c r="D157" s="153" t="s">
        <v>3388</v>
      </c>
      <c r="E157" s="154"/>
      <c r="F157" s="154" t="s">
        <v>250</v>
      </c>
      <c r="G157" s="154" t="s">
        <v>108</v>
      </c>
      <c r="H157" s="154"/>
      <c r="I157" s="154"/>
      <c r="J157" s="154" t="s">
        <v>74</v>
      </c>
      <c r="K157" s="154" t="s">
        <v>3394</v>
      </c>
      <c r="L157" s="154"/>
      <c r="M157" s="156"/>
      <c r="N157" s="154" t="str">
        <f>IF(ISNUMBER(PL[[#This Row],[CTO]]),"CTO "&amp;PL[[#This Row],[CTO]],"Otros")</f>
        <v>CTO 5</v>
      </c>
      <c r="O157" s="154" t="str">
        <f>IF(PL[[#This Row],[STATUS IUP]]="CERRADO","CERRADO",IF(ISNUMBER(SEARCH("validacion de enel",PL[[#This Row],[SUPPLIER NOTES]])),"PTE Validar Enel","ABIERTO"))</f>
        <v>CERRADO</v>
      </c>
      <c r="P157" s="154" t="str">
        <f>IF(PL[[#This Row],[ESTADO]]="CERRADO","Cerrados IUP",IF(PL[[#This Row],[ESTADO]]="PTE Validar Enel","Pendiente cierre ENEL",IF(ISNUMBER(SEARCH("suministro",PL[[#This Row],[SUPPLIER NOTES]])),"Suministros",IF(PL[[#This Row],[SC]]="SOCIAL","Social",IF(ISNUMBER(SEARCH("monolito",PL[[#This Row],[DESCRIPTION]])),"Monolitos","Varios")))))</f>
        <v>Cerrados IUP</v>
      </c>
      <c r="Q1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8" spans="1:17" s="157" customFormat="1" hidden="1" x14ac:dyDescent="0.2">
      <c r="A158" s="151" t="s">
        <v>251</v>
      </c>
      <c r="B158" s="154" t="s">
        <v>8</v>
      </c>
      <c r="C158" s="152">
        <v>5</v>
      </c>
      <c r="D158" s="153" t="s">
        <v>3388</v>
      </c>
      <c r="E158" s="154"/>
      <c r="F158" s="154" t="s">
        <v>252</v>
      </c>
      <c r="G158" s="154" t="s">
        <v>1289</v>
      </c>
      <c r="H158" s="154"/>
      <c r="I158" s="154"/>
      <c r="J158" s="154" t="s">
        <v>74</v>
      </c>
      <c r="K158" s="154" t="s">
        <v>3394</v>
      </c>
      <c r="L158" s="154"/>
      <c r="M158" s="156"/>
      <c r="N158" s="154" t="str">
        <f>IF(ISNUMBER(PL[[#This Row],[CTO]]),"CTO "&amp;PL[[#This Row],[CTO]],"Otros")</f>
        <v>CTO 5</v>
      </c>
      <c r="O158" s="154" t="str">
        <f>IF(PL[[#This Row],[STATUS IUP]]="CERRADO","CERRADO",IF(ISNUMBER(SEARCH("validacion de enel",PL[[#This Row],[SUPPLIER NOTES]])),"PTE Validar Enel","ABIERTO"))</f>
        <v>CERRADO</v>
      </c>
      <c r="P158" s="154" t="str">
        <f>IF(PL[[#This Row],[ESTADO]]="CERRADO","Cerrados IUP",IF(PL[[#This Row],[ESTADO]]="PTE Validar Enel","Pendiente cierre ENEL",IF(ISNUMBER(SEARCH("suministro",PL[[#This Row],[SUPPLIER NOTES]])),"Suministros",IF(PL[[#This Row],[SC]]="SOCIAL","Social",IF(ISNUMBER(SEARCH("monolito",PL[[#This Row],[DESCRIPTION]])),"Monolitos","Varios")))))</f>
        <v>Cerrados IUP</v>
      </c>
      <c r="Q1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59" spans="1:17" s="157" customFormat="1" hidden="1" x14ac:dyDescent="0.2">
      <c r="A159" s="151" t="s">
        <v>253</v>
      </c>
      <c r="B159" s="154" t="s">
        <v>8</v>
      </c>
      <c r="C159" s="152">
        <v>5</v>
      </c>
      <c r="D159" s="153" t="s">
        <v>3388</v>
      </c>
      <c r="E159" s="154"/>
      <c r="F159" s="154" t="s">
        <v>254</v>
      </c>
      <c r="G159" s="154" t="s">
        <v>43</v>
      </c>
      <c r="H159" s="154"/>
      <c r="I159" s="154"/>
      <c r="J159" s="154" t="s">
        <v>74</v>
      </c>
      <c r="K159" s="154" t="s">
        <v>3394</v>
      </c>
      <c r="L159" s="154"/>
      <c r="M159" s="156"/>
      <c r="N159" s="154" t="str">
        <f>IF(ISNUMBER(PL[[#This Row],[CTO]]),"CTO "&amp;PL[[#This Row],[CTO]],"Otros")</f>
        <v>CTO 5</v>
      </c>
      <c r="O159" s="154" t="str">
        <f>IF(PL[[#This Row],[STATUS IUP]]="CERRADO","CERRADO",IF(ISNUMBER(SEARCH("validacion de enel",PL[[#This Row],[SUPPLIER NOTES]])),"PTE Validar Enel","ABIERTO"))</f>
        <v>CERRADO</v>
      </c>
      <c r="P159" s="154" t="str">
        <f>IF(PL[[#This Row],[ESTADO]]="CERRADO","Cerrados IUP",IF(PL[[#This Row],[ESTADO]]="PTE Validar Enel","Pendiente cierre ENEL",IF(ISNUMBER(SEARCH("suministro",PL[[#This Row],[SUPPLIER NOTES]])),"Suministros",IF(PL[[#This Row],[SC]]="SOCIAL","Social",IF(ISNUMBER(SEARCH("monolito",PL[[#This Row],[DESCRIPTION]])),"Monolitos","Varios")))))</f>
        <v>Cerrados IUP</v>
      </c>
      <c r="Q1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60" spans="1:17" s="157" customFormat="1" hidden="1" x14ac:dyDescent="0.2">
      <c r="A160" s="151" t="s">
        <v>255</v>
      </c>
      <c r="B160" s="154" t="s">
        <v>8</v>
      </c>
      <c r="C160" s="152">
        <v>5</v>
      </c>
      <c r="D160" s="153" t="s">
        <v>3388</v>
      </c>
      <c r="E160" s="154"/>
      <c r="F160" s="154" t="s">
        <v>256</v>
      </c>
      <c r="G160" s="154" t="s">
        <v>1290</v>
      </c>
      <c r="H160" s="154"/>
      <c r="I160" s="154"/>
      <c r="J160" s="154" t="s">
        <v>74</v>
      </c>
      <c r="K160" s="154" t="s">
        <v>3394</v>
      </c>
      <c r="L160" s="154"/>
      <c r="M160" s="156"/>
      <c r="N160" s="154" t="str">
        <f>IF(ISNUMBER(PL[[#This Row],[CTO]]),"CTO "&amp;PL[[#This Row],[CTO]],"Otros")</f>
        <v>CTO 5</v>
      </c>
      <c r="O160" s="154" t="str">
        <f>IF(PL[[#This Row],[STATUS IUP]]="CERRADO","CERRADO",IF(ISNUMBER(SEARCH("validacion de enel",PL[[#This Row],[SUPPLIER NOTES]])),"PTE Validar Enel","ABIERTO"))</f>
        <v>CERRADO</v>
      </c>
      <c r="P160" s="154" t="str">
        <f>IF(PL[[#This Row],[ESTADO]]="CERRADO","Cerrados IUP",IF(PL[[#This Row],[ESTADO]]="PTE Validar Enel","Pendiente cierre ENEL",IF(ISNUMBER(SEARCH("suministro",PL[[#This Row],[SUPPLIER NOTES]])),"Suministros",IF(PL[[#This Row],[SC]]="SOCIAL","Social",IF(ISNUMBER(SEARCH("monolito",PL[[#This Row],[DESCRIPTION]])),"Monolitos","Varios")))))</f>
        <v>Cerrados IUP</v>
      </c>
      <c r="Q1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1" spans="1:17" s="157" customFormat="1" hidden="1" x14ac:dyDescent="0.2">
      <c r="A161" s="151" t="s">
        <v>257</v>
      </c>
      <c r="B161" s="154" t="s">
        <v>8</v>
      </c>
      <c r="C161" s="152">
        <v>5</v>
      </c>
      <c r="D161" s="153" t="s">
        <v>3388</v>
      </c>
      <c r="E161" s="154"/>
      <c r="F161" s="154" t="s">
        <v>258</v>
      </c>
      <c r="G161" s="154" t="s">
        <v>108</v>
      </c>
      <c r="H161" s="154"/>
      <c r="I161" s="154"/>
      <c r="J161" s="154" t="s">
        <v>74</v>
      </c>
      <c r="K161" s="154" t="s">
        <v>3394</v>
      </c>
      <c r="L161" s="154"/>
      <c r="M161" s="156"/>
      <c r="N161" s="154" t="str">
        <f>IF(ISNUMBER(PL[[#This Row],[CTO]]),"CTO "&amp;PL[[#This Row],[CTO]],"Otros")</f>
        <v>CTO 5</v>
      </c>
      <c r="O161" s="154" t="str">
        <f>IF(PL[[#This Row],[STATUS IUP]]="CERRADO","CERRADO",IF(ISNUMBER(SEARCH("validacion de enel",PL[[#This Row],[SUPPLIER NOTES]])),"PTE Validar Enel","ABIERTO"))</f>
        <v>CERRADO</v>
      </c>
      <c r="P161" s="154" t="str">
        <f>IF(PL[[#This Row],[ESTADO]]="CERRADO","Cerrados IUP",IF(PL[[#This Row],[ESTADO]]="PTE Validar Enel","Pendiente cierre ENEL",IF(ISNUMBER(SEARCH("suministro",PL[[#This Row],[SUPPLIER NOTES]])),"Suministros",IF(PL[[#This Row],[SC]]="SOCIAL","Social",IF(ISNUMBER(SEARCH("monolito",PL[[#This Row],[DESCRIPTION]])),"Monolitos","Varios")))))</f>
        <v>Cerrados IUP</v>
      </c>
      <c r="Q1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2" spans="1:17" s="157" customFormat="1" hidden="1" x14ac:dyDescent="0.2">
      <c r="A162" s="151" t="s">
        <v>259</v>
      </c>
      <c r="B162" s="154" t="s">
        <v>8</v>
      </c>
      <c r="C162" s="152">
        <v>5</v>
      </c>
      <c r="D162" s="153" t="s">
        <v>3388</v>
      </c>
      <c r="E162" s="154"/>
      <c r="F162" s="154" t="s">
        <v>260</v>
      </c>
      <c r="G162" s="154" t="s">
        <v>1290</v>
      </c>
      <c r="H162" s="154"/>
      <c r="I162" s="154"/>
      <c r="J162" s="154" t="s">
        <v>74</v>
      </c>
      <c r="K162" s="154" t="s">
        <v>3394</v>
      </c>
      <c r="L162" s="154"/>
      <c r="M162" s="156"/>
      <c r="N162" s="154" t="str">
        <f>IF(ISNUMBER(PL[[#This Row],[CTO]]),"CTO "&amp;PL[[#This Row],[CTO]],"Otros")</f>
        <v>CTO 5</v>
      </c>
      <c r="O162" s="154" t="str">
        <f>IF(PL[[#This Row],[STATUS IUP]]="CERRADO","CERRADO",IF(ISNUMBER(SEARCH("validacion de enel",PL[[#This Row],[SUPPLIER NOTES]])),"PTE Validar Enel","ABIERTO"))</f>
        <v>CERRADO</v>
      </c>
      <c r="P162" s="154" t="str">
        <f>IF(PL[[#This Row],[ESTADO]]="CERRADO","Cerrados IUP",IF(PL[[#This Row],[ESTADO]]="PTE Validar Enel","Pendiente cierre ENEL",IF(ISNUMBER(SEARCH("suministro",PL[[#This Row],[SUPPLIER NOTES]])),"Suministros",IF(PL[[#This Row],[SC]]="SOCIAL","Social",IF(ISNUMBER(SEARCH("monolito",PL[[#This Row],[DESCRIPTION]])),"Monolitos","Varios")))))</f>
        <v>Cerrados IUP</v>
      </c>
      <c r="Q1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3" spans="1:17" s="157" customFormat="1" hidden="1" x14ac:dyDescent="0.2">
      <c r="A163" s="151" t="s">
        <v>261</v>
      </c>
      <c r="B163" s="154" t="s">
        <v>8</v>
      </c>
      <c r="C163" s="152">
        <v>5</v>
      </c>
      <c r="D163" s="153" t="s">
        <v>3388</v>
      </c>
      <c r="E163" s="154"/>
      <c r="F163" s="154" t="s">
        <v>262</v>
      </c>
      <c r="G163" s="154" t="s">
        <v>1290</v>
      </c>
      <c r="H163" s="154" t="s">
        <v>163</v>
      </c>
      <c r="I163" s="154" t="s">
        <v>163</v>
      </c>
      <c r="J163" s="154" t="s">
        <v>74</v>
      </c>
      <c r="K163" s="154" t="s">
        <v>3394</v>
      </c>
      <c r="L163" s="161">
        <v>46231</v>
      </c>
      <c r="M163" s="160">
        <v>46231</v>
      </c>
      <c r="N163" s="154" t="str">
        <f>IF(ISNUMBER(PL[[#This Row],[CTO]]),"CTO "&amp;PL[[#This Row],[CTO]],"Otros")</f>
        <v>CTO 5</v>
      </c>
      <c r="O163" s="154" t="str">
        <f>IF(PL[[#This Row],[STATUS IUP]]="CERRADO","CERRADO",IF(ISNUMBER(SEARCH("validacion de enel",PL[[#This Row],[SUPPLIER NOTES]])),"PTE Validar Enel","ABIERTO"))</f>
        <v>CERRADO</v>
      </c>
      <c r="P163" s="154" t="str">
        <f>IF(PL[[#This Row],[ESTADO]]="CERRADO","Cerrados IUP",IF(PL[[#This Row],[ESTADO]]="PTE Validar Enel","Pendiente cierre ENEL",IF(ISNUMBER(SEARCH("suministro",PL[[#This Row],[SUPPLIER NOTES]])),"Suministros",IF(PL[[#This Row],[SC]]="SOCIAL","Social",IF(ISNUMBER(SEARCH("monolito",PL[[#This Row],[DESCRIPTION]])),"Monolitos","Varios")))))</f>
        <v>Cerrados IUP</v>
      </c>
      <c r="Q1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4" spans="1:17" s="157" customFormat="1" hidden="1" x14ac:dyDescent="0.2">
      <c r="A164" s="151" t="s">
        <v>264</v>
      </c>
      <c r="B164" s="154" t="s">
        <v>8</v>
      </c>
      <c r="C164" s="152">
        <v>5</v>
      </c>
      <c r="D164" s="153" t="s">
        <v>3388</v>
      </c>
      <c r="E164" s="154"/>
      <c r="F164" s="154" t="s">
        <v>265</v>
      </c>
      <c r="G164" s="154" t="s">
        <v>1290</v>
      </c>
      <c r="H164" s="154"/>
      <c r="I164" s="154"/>
      <c r="J164" s="154" t="s">
        <v>74</v>
      </c>
      <c r="K164" s="154" t="s">
        <v>3394</v>
      </c>
      <c r="L164" s="154"/>
      <c r="M164" s="156"/>
      <c r="N164" s="154" t="str">
        <f>IF(ISNUMBER(PL[[#This Row],[CTO]]),"CTO "&amp;PL[[#This Row],[CTO]],"Otros")</f>
        <v>CTO 5</v>
      </c>
      <c r="O164" s="154" t="str">
        <f>IF(PL[[#This Row],[STATUS IUP]]="CERRADO","CERRADO",IF(ISNUMBER(SEARCH("validacion de enel",PL[[#This Row],[SUPPLIER NOTES]])),"PTE Validar Enel","ABIERTO"))</f>
        <v>CERRADO</v>
      </c>
      <c r="P164" s="154" t="str">
        <f>IF(PL[[#This Row],[ESTADO]]="CERRADO","Cerrados IUP",IF(PL[[#This Row],[ESTADO]]="PTE Validar Enel","Pendiente cierre ENEL",IF(ISNUMBER(SEARCH("suministro",PL[[#This Row],[SUPPLIER NOTES]])),"Suministros",IF(PL[[#This Row],[SC]]="SOCIAL","Social",IF(ISNUMBER(SEARCH("monolito",PL[[#This Row],[DESCRIPTION]])),"Monolitos","Varios")))))</f>
        <v>Cerrados IUP</v>
      </c>
      <c r="Q1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5" spans="1:17" s="157" customFormat="1" hidden="1" x14ac:dyDescent="0.2">
      <c r="A165" s="151" t="s">
        <v>266</v>
      </c>
      <c r="B165" s="154" t="s">
        <v>8</v>
      </c>
      <c r="C165" s="152">
        <v>5</v>
      </c>
      <c r="D165" s="153" t="s">
        <v>3388</v>
      </c>
      <c r="E165" s="154"/>
      <c r="F165" s="154" t="s">
        <v>267</v>
      </c>
      <c r="G165" s="154" t="s">
        <v>108</v>
      </c>
      <c r="H165" s="154"/>
      <c r="I165" s="154"/>
      <c r="J165" s="154" t="s">
        <v>74</v>
      </c>
      <c r="K165" s="154" t="s">
        <v>3394</v>
      </c>
      <c r="L165" s="154"/>
      <c r="M165" s="156"/>
      <c r="N165" s="154" t="str">
        <f>IF(ISNUMBER(PL[[#This Row],[CTO]]),"CTO "&amp;PL[[#This Row],[CTO]],"Otros")</f>
        <v>CTO 5</v>
      </c>
      <c r="O165" s="154" t="str">
        <f>IF(PL[[#This Row],[STATUS IUP]]="CERRADO","CERRADO",IF(ISNUMBER(SEARCH("validacion de enel",PL[[#This Row],[SUPPLIER NOTES]])),"PTE Validar Enel","ABIERTO"))</f>
        <v>CERRADO</v>
      </c>
      <c r="P165" s="154" t="str">
        <f>IF(PL[[#This Row],[ESTADO]]="CERRADO","Cerrados IUP",IF(PL[[#This Row],[ESTADO]]="PTE Validar Enel","Pendiente cierre ENEL",IF(ISNUMBER(SEARCH("suministro",PL[[#This Row],[SUPPLIER NOTES]])),"Suministros",IF(PL[[#This Row],[SC]]="SOCIAL","Social",IF(ISNUMBER(SEARCH("monolito",PL[[#This Row],[DESCRIPTION]])),"Monolitos","Varios")))))</f>
        <v>Cerrados IUP</v>
      </c>
      <c r="Q1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6" spans="1:17" s="157" customFormat="1" hidden="1" x14ac:dyDescent="0.2">
      <c r="A166" s="151" t="s">
        <v>268</v>
      </c>
      <c r="B166" s="154" t="s">
        <v>8</v>
      </c>
      <c r="C166" s="152">
        <v>5</v>
      </c>
      <c r="D166" s="153" t="s">
        <v>3388</v>
      </c>
      <c r="E166" s="154"/>
      <c r="F166" s="154" t="s">
        <v>269</v>
      </c>
      <c r="G166" s="154" t="s">
        <v>1290</v>
      </c>
      <c r="H166" s="154"/>
      <c r="I166" s="154"/>
      <c r="J166" s="154" t="s">
        <v>74</v>
      </c>
      <c r="K166" s="154" t="s">
        <v>3394</v>
      </c>
      <c r="L166" s="154"/>
      <c r="M166" s="156"/>
      <c r="N166" s="154" t="str">
        <f>IF(ISNUMBER(PL[[#This Row],[CTO]]),"CTO "&amp;PL[[#This Row],[CTO]],"Otros")</f>
        <v>CTO 5</v>
      </c>
      <c r="O166" s="154" t="str">
        <f>IF(PL[[#This Row],[STATUS IUP]]="CERRADO","CERRADO",IF(ISNUMBER(SEARCH("validacion de enel",PL[[#This Row],[SUPPLIER NOTES]])),"PTE Validar Enel","ABIERTO"))</f>
        <v>CERRADO</v>
      </c>
      <c r="P166" s="154" t="str">
        <f>IF(PL[[#This Row],[ESTADO]]="CERRADO","Cerrados IUP",IF(PL[[#This Row],[ESTADO]]="PTE Validar Enel","Pendiente cierre ENEL",IF(ISNUMBER(SEARCH("suministro",PL[[#This Row],[SUPPLIER NOTES]])),"Suministros",IF(PL[[#This Row],[SC]]="SOCIAL","Social",IF(ISNUMBER(SEARCH("monolito",PL[[#This Row],[DESCRIPTION]])),"Monolitos","Varios")))))</f>
        <v>Cerrados IUP</v>
      </c>
      <c r="Q1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7" spans="1:17" s="157" customFormat="1" hidden="1" x14ac:dyDescent="0.2">
      <c r="A167" s="151" t="s">
        <v>270</v>
      </c>
      <c r="B167" s="154" t="s">
        <v>8</v>
      </c>
      <c r="C167" s="152">
        <v>5</v>
      </c>
      <c r="D167" s="153" t="s">
        <v>3388</v>
      </c>
      <c r="E167" s="154"/>
      <c r="F167" s="154" t="s">
        <v>271</v>
      </c>
      <c r="G167" s="154" t="s">
        <v>108</v>
      </c>
      <c r="H167" s="154"/>
      <c r="I167" s="154"/>
      <c r="J167" s="154" t="s">
        <v>74</v>
      </c>
      <c r="K167" s="154" t="s">
        <v>3394</v>
      </c>
      <c r="L167" s="154"/>
      <c r="M167" s="156"/>
      <c r="N167" s="154" t="str">
        <f>IF(ISNUMBER(PL[[#This Row],[CTO]]),"CTO "&amp;PL[[#This Row],[CTO]],"Otros")</f>
        <v>CTO 5</v>
      </c>
      <c r="O167" s="154" t="str">
        <f>IF(PL[[#This Row],[STATUS IUP]]="CERRADO","CERRADO",IF(ISNUMBER(SEARCH("validacion de enel",PL[[#This Row],[SUPPLIER NOTES]])),"PTE Validar Enel","ABIERTO"))</f>
        <v>CERRADO</v>
      </c>
      <c r="P167" s="154" t="str">
        <f>IF(PL[[#This Row],[ESTADO]]="CERRADO","Cerrados IUP",IF(PL[[#This Row],[ESTADO]]="PTE Validar Enel","Pendiente cierre ENEL",IF(ISNUMBER(SEARCH("suministro",PL[[#This Row],[SUPPLIER NOTES]])),"Suministros",IF(PL[[#This Row],[SC]]="SOCIAL","Social",IF(ISNUMBER(SEARCH("monolito",PL[[#This Row],[DESCRIPTION]])),"Monolitos","Varios")))))</f>
        <v>Cerrados IUP</v>
      </c>
      <c r="Q1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8" spans="1:17" s="157" customFormat="1" hidden="1" x14ac:dyDescent="0.2">
      <c r="A168" s="151" t="s">
        <v>272</v>
      </c>
      <c r="B168" s="154" t="s">
        <v>8</v>
      </c>
      <c r="C168" s="152">
        <v>5</v>
      </c>
      <c r="D168" s="153" t="s">
        <v>3388</v>
      </c>
      <c r="E168" s="154"/>
      <c r="F168" s="154" t="s">
        <v>273</v>
      </c>
      <c r="G168" s="154" t="s">
        <v>1290</v>
      </c>
      <c r="H168" s="154"/>
      <c r="I168" s="154"/>
      <c r="J168" s="154" t="s">
        <v>74</v>
      </c>
      <c r="K168" s="154" t="s">
        <v>3394</v>
      </c>
      <c r="L168" s="154"/>
      <c r="M168" s="156"/>
      <c r="N168" s="154" t="str">
        <f>IF(ISNUMBER(PL[[#This Row],[CTO]]),"CTO "&amp;PL[[#This Row],[CTO]],"Otros")</f>
        <v>CTO 5</v>
      </c>
      <c r="O168" s="154" t="str">
        <f>IF(PL[[#This Row],[STATUS IUP]]="CERRADO","CERRADO",IF(ISNUMBER(SEARCH("validacion de enel",PL[[#This Row],[SUPPLIER NOTES]])),"PTE Validar Enel","ABIERTO"))</f>
        <v>CERRADO</v>
      </c>
      <c r="P168" s="154" t="str">
        <f>IF(PL[[#This Row],[ESTADO]]="CERRADO","Cerrados IUP",IF(PL[[#This Row],[ESTADO]]="PTE Validar Enel","Pendiente cierre ENEL",IF(ISNUMBER(SEARCH("suministro",PL[[#This Row],[SUPPLIER NOTES]])),"Suministros",IF(PL[[#This Row],[SC]]="SOCIAL","Social",IF(ISNUMBER(SEARCH("monolito",PL[[#This Row],[DESCRIPTION]])),"Monolitos","Varios")))))</f>
        <v>Cerrados IUP</v>
      </c>
      <c r="Q1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69" spans="1:17" s="157" customFormat="1" hidden="1" x14ac:dyDescent="0.2">
      <c r="A169" s="151" t="s">
        <v>274</v>
      </c>
      <c r="B169" s="154" t="s">
        <v>8</v>
      </c>
      <c r="C169" s="152">
        <v>5</v>
      </c>
      <c r="D169" s="153" t="s">
        <v>3388</v>
      </c>
      <c r="E169" s="154"/>
      <c r="F169" s="154" t="s">
        <v>275</v>
      </c>
      <c r="G169" s="154" t="s">
        <v>1290</v>
      </c>
      <c r="H169" s="154"/>
      <c r="I169" s="154"/>
      <c r="J169" s="154" t="s">
        <v>74</v>
      </c>
      <c r="K169" s="154" t="s">
        <v>3394</v>
      </c>
      <c r="L169" s="154"/>
      <c r="M169" s="156"/>
      <c r="N169" s="154" t="str">
        <f>IF(ISNUMBER(PL[[#This Row],[CTO]]),"CTO "&amp;PL[[#This Row],[CTO]],"Otros")</f>
        <v>CTO 5</v>
      </c>
      <c r="O169" s="154" t="str">
        <f>IF(PL[[#This Row],[STATUS IUP]]="CERRADO","CERRADO",IF(ISNUMBER(SEARCH("validacion de enel",PL[[#This Row],[SUPPLIER NOTES]])),"PTE Validar Enel","ABIERTO"))</f>
        <v>CERRADO</v>
      </c>
      <c r="P169" s="154" t="str">
        <f>IF(PL[[#This Row],[ESTADO]]="CERRADO","Cerrados IUP",IF(PL[[#This Row],[ESTADO]]="PTE Validar Enel","Pendiente cierre ENEL",IF(ISNUMBER(SEARCH("suministro",PL[[#This Row],[SUPPLIER NOTES]])),"Suministros",IF(PL[[#This Row],[SC]]="SOCIAL","Social",IF(ISNUMBER(SEARCH("monolito",PL[[#This Row],[DESCRIPTION]])),"Monolitos","Varios")))))</f>
        <v>Cerrados IUP</v>
      </c>
      <c r="Q1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0" spans="1:17" s="157" customFormat="1" hidden="1" x14ac:dyDescent="0.2">
      <c r="A170" s="151" t="s">
        <v>276</v>
      </c>
      <c r="B170" s="154" t="s">
        <v>8</v>
      </c>
      <c r="C170" s="152">
        <v>5</v>
      </c>
      <c r="D170" s="153" t="s">
        <v>3388</v>
      </c>
      <c r="E170" s="154"/>
      <c r="F170" s="154" t="s">
        <v>277</v>
      </c>
      <c r="G170" s="154" t="s">
        <v>1290</v>
      </c>
      <c r="H170" s="154"/>
      <c r="I170" s="154"/>
      <c r="J170" s="154" t="s">
        <v>74</v>
      </c>
      <c r="K170" s="154" t="s">
        <v>3394</v>
      </c>
      <c r="L170" s="154"/>
      <c r="M170" s="156"/>
      <c r="N170" s="154" t="str">
        <f>IF(ISNUMBER(PL[[#This Row],[CTO]]),"CTO "&amp;PL[[#This Row],[CTO]],"Otros")</f>
        <v>CTO 5</v>
      </c>
      <c r="O170" s="154" t="str">
        <f>IF(PL[[#This Row],[STATUS IUP]]="CERRADO","CERRADO",IF(ISNUMBER(SEARCH("validacion de enel",PL[[#This Row],[SUPPLIER NOTES]])),"PTE Validar Enel","ABIERTO"))</f>
        <v>CERRADO</v>
      </c>
      <c r="P170" s="154" t="str">
        <f>IF(PL[[#This Row],[ESTADO]]="CERRADO","Cerrados IUP",IF(PL[[#This Row],[ESTADO]]="PTE Validar Enel","Pendiente cierre ENEL",IF(ISNUMBER(SEARCH("suministro",PL[[#This Row],[SUPPLIER NOTES]])),"Suministros",IF(PL[[#This Row],[SC]]="SOCIAL","Social",IF(ISNUMBER(SEARCH("monolito",PL[[#This Row],[DESCRIPTION]])),"Monolitos","Varios")))))</f>
        <v>Cerrados IUP</v>
      </c>
      <c r="Q1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1" spans="1:17" s="157" customFormat="1" hidden="1" x14ac:dyDescent="0.2">
      <c r="A171" s="151" t="s">
        <v>278</v>
      </c>
      <c r="B171" s="154" t="s">
        <v>8</v>
      </c>
      <c r="C171" s="152">
        <v>5</v>
      </c>
      <c r="D171" s="153" t="s">
        <v>3388</v>
      </c>
      <c r="E171" s="154"/>
      <c r="F171" s="154" t="s">
        <v>279</v>
      </c>
      <c r="G171" s="154" t="s">
        <v>1290</v>
      </c>
      <c r="H171" s="154"/>
      <c r="I171" s="154"/>
      <c r="J171" s="154" t="s">
        <v>74</v>
      </c>
      <c r="K171" s="154" t="s">
        <v>3394</v>
      </c>
      <c r="L171" s="154"/>
      <c r="M171" s="156"/>
      <c r="N171" s="154" t="str">
        <f>IF(ISNUMBER(PL[[#This Row],[CTO]]),"CTO "&amp;PL[[#This Row],[CTO]],"Otros")</f>
        <v>CTO 5</v>
      </c>
      <c r="O171" s="154" t="str">
        <f>IF(PL[[#This Row],[STATUS IUP]]="CERRADO","CERRADO",IF(ISNUMBER(SEARCH("validacion de enel",PL[[#This Row],[SUPPLIER NOTES]])),"PTE Validar Enel","ABIERTO"))</f>
        <v>CERRADO</v>
      </c>
      <c r="P171" s="154" t="str">
        <f>IF(PL[[#This Row],[ESTADO]]="CERRADO","Cerrados IUP",IF(PL[[#This Row],[ESTADO]]="PTE Validar Enel","Pendiente cierre ENEL",IF(ISNUMBER(SEARCH("suministro",PL[[#This Row],[SUPPLIER NOTES]])),"Suministros",IF(PL[[#This Row],[SC]]="SOCIAL","Social",IF(ISNUMBER(SEARCH("monolito",PL[[#This Row],[DESCRIPTION]])),"Monolitos","Varios")))))</f>
        <v>Cerrados IUP</v>
      </c>
      <c r="Q1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2" spans="1:17" s="157" customFormat="1" hidden="1" x14ac:dyDescent="0.2">
      <c r="A172" s="151" t="s">
        <v>280</v>
      </c>
      <c r="B172" s="154" t="s">
        <v>8</v>
      </c>
      <c r="C172" s="152">
        <v>5</v>
      </c>
      <c r="D172" s="153" t="s">
        <v>3388</v>
      </c>
      <c r="E172" s="154"/>
      <c r="F172" s="154" t="s">
        <v>281</v>
      </c>
      <c r="G172" s="154" t="s">
        <v>1290</v>
      </c>
      <c r="H172" s="154"/>
      <c r="I172" s="154"/>
      <c r="J172" s="154" t="s">
        <v>74</v>
      </c>
      <c r="K172" s="154" t="s">
        <v>3394</v>
      </c>
      <c r="L172" s="154"/>
      <c r="M172" s="156"/>
      <c r="N172" s="154" t="str">
        <f>IF(ISNUMBER(PL[[#This Row],[CTO]]),"CTO "&amp;PL[[#This Row],[CTO]],"Otros")</f>
        <v>CTO 5</v>
      </c>
      <c r="O172" s="154" t="str">
        <f>IF(PL[[#This Row],[STATUS IUP]]="CERRADO","CERRADO",IF(ISNUMBER(SEARCH("validacion de enel",PL[[#This Row],[SUPPLIER NOTES]])),"PTE Validar Enel","ABIERTO"))</f>
        <v>CERRADO</v>
      </c>
      <c r="P172" s="154" t="str">
        <f>IF(PL[[#This Row],[ESTADO]]="CERRADO","Cerrados IUP",IF(PL[[#This Row],[ESTADO]]="PTE Validar Enel","Pendiente cierre ENEL",IF(ISNUMBER(SEARCH("suministro",PL[[#This Row],[SUPPLIER NOTES]])),"Suministros",IF(PL[[#This Row],[SC]]="SOCIAL","Social",IF(ISNUMBER(SEARCH("monolito",PL[[#This Row],[DESCRIPTION]])),"Monolitos","Varios")))))</f>
        <v>Cerrados IUP</v>
      </c>
      <c r="Q1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3" spans="1:17" s="157" customFormat="1" hidden="1" x14ac:dyDescent="0.2">
      <c r="A173" s="151" t="s">
        <v>282</v>
      </c>
      <c r="B173" s="154" t="s">
        <v>8</v>
      </c>
      <c r="C173" s="152">
        <v>5</v>
      </c>
      <c r="D173" s="153" t="s">
        <v>3388</v>
      </c>
      <c r="E173" s="154"/>
      <c r="F173" s="154" t="s">
        <v>283</v>
      </c>
      <c r="G173" s="154" t="s">
        <v>1290</v>
      </c>
      <c r="H173" s="154"/>
      <c r="I173" s="154"/>
      <c r="J173" s="154" t="s">
        <v>74</v>
      </c>
      <c r="K173" s="154" t="s">
        <v>3394</v>
      </c>
      <c r="L173" s="154"/>
      <c r="M173" s="156"/>
      <c r="N173" s="154" t="str">
        <f>IF(ISNUMBER(PL[[#This Row],[CTO]]),"CTO "&amp;PL[[#This Row],[CTO]],"Otros")</f>
        <v>CTO 5</v>
      </c>
      <c r="O173" s="154" t="str">
        <f>IF(PL[[#This Row],[STATUS IUP]]="CERRADO","CERRADO",IF(ISNUMBER(SEARCH("validacion de enel",PL[[#This Row],[SUPPLIER NOTES]])),"PTE Validar Enel","ABIERTO"))</f>
        <v>CERRADO</v>
      </c>
      <c r="P173" s="154" t="str">
        <f>IF(PL[[#This Row],[ESTADO]]="CERRADO","Cerrados IUP",IF(PL[[#This Row],[ESTADO]]="PTE Validar Enel","Pendiente cierre ENEL",IF(ISNUMBER(SEARCH("suministro",PL[[#This Row],[SUPPLIER NOTES]])),"Suministros",IF(PL[[#This Row],[SC]]="SOCIAL","Social",IF(ISNUMBER(SEARCH("monolito",PL[[#This Row],[DESCRIPTION]])),"Monolitos","Varios")))))</f>
        <v>Cerrados IUP</v>
      </c>
      <c r="Q1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4" spans="1:17" s="157" customFormat="1" hidden="1" x14ac:dyDescent="0.2">
      <c r="A174" s="151" t="s">
        <v>284</v>
      </c>
      <c r="B174" s="154" t="s">
        <v>8</v>
      </c>
      <c r="C174" s="152">
        <v>5</v>
      </c>
      <c r="D174" s="153" t="s">
        <v>3388</v>
      </c>
      <c r="E174" s="154"/>
      <c r="F174" s="154" t="s">
        <v>285</v>
      </c>
      <c r="G174" s="154" t="s">
        <v>216</v>
      </c>
      <c r="H174" s="154"/>
      <c r="I174" s="154"/>
      <c r="J174" s="154" t="s">
        <v>74</v>
      </c>
      <c r="K174" s="154" t="s">
        <v>3394</v>
      </c>
      <c r="L174" s="154"/>
      <c r="M174" s="156"/>
      <c r="N174" s="154" t="str">
        <f>IF(ISNUMBER(PL[[#This Row],[CTO]]),"CTO "&amp;PL[[#This Row],[CTO]],"Otros")</f>
        <v>CTO 5</v>
      </c>
      <c r="O174" s="154" t="str">
        <f>IF(PL[[#This Row],[STATUS IUP]]="CERRADO","CERRADO",IF(ISNUMBER(SEARCH("validacion de enel",PL[[#This Row],[SUPPLIER NOTES]])),"PTE Validar Enel","ABIERTO"))</f>
        <v>CERRADO</v>
      </c>
      <c r="P174" s="154" t="str">
        <f>IF(PL[[#This Row],[ESTADO]]="CERRADO","Cerrados IUP",IF(PL[[#This Row],[ESTADO]]="PTE Validar Enel","Pendiente cierre ENEL",IF(ISNUMBER(SEARCH("suministro",PL[[#This Row],[SUPPLIER NOTES]])),"Suministros",IF(PL[[#This Row],[SC]]="SOCIAL","Social",IF(ISNUMBER(SEARCH("monolito",PL[[#This Row],[DESCRIPTION]])),"Monolitos","Varios")))))</f>
        <v>Cerrados IUP</v>
      </c>
      <c r="Q1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5" spans="1:17" s="157" customFormat="1" hidden="1" x14ac:dyDescent="0.2">
      <c r="A175" s="151" t="s">
        <v>286</v>
      </c>
      <c r="B175" s="154" t="s">
        <v>8</v>
      </c>
      <c r="C175" s="152">
        <v>5</v>
      </c>
      <c r="D175" s="153" t="s">
        <v>3388</v>
      </c>
      <c r="E175" s="154"/>
      <c r="F175" s="154" t="s">
        <v>287</v>
      </c>
      <c r="G175" s="154" t="s">
        <v>216</v>
      </c>
      <c r="H175" s="154"/>
      <c r="I175" s="154"/>
      <c r="J175" s="154" t="s">
        <v>74</v>
      </c>
      <c r="K175" s="154" t="s">
        <v>3394</v>
      </c>
      <c r="L175" s="154"/>
      <c r="M175" s="156"/>
      <c r="N175" s="154" t="str">
        <f>IF(ISNUMBER(PL[[#This Row],[CTO]]),"CTO "&amp;PL[[#This Row],[CTO]],"Otros")</f>
        <v>CTO 5</v>
      </c>
      <c r="O175" s="154" t="str">
        <f>IF(PL[[#This Row],[STATUS IUP]]="CERRADO","CERRADO",IF(ISNUMBER(SEARCH("validacion de enel",PL[[#This Row],[SUPPLIER NOTES]])),"PTE Validar Enel","ABIERTO"))</f>
        <v>CERRADO</v>
      </c>
      <c r="P175" s="154" t="str">
        <f>IF(PL[[#This Row],[ESTADO]]="CERRADO","Cerrados IUP",IF(PL[[#This Row],[ESTADO]]="PTE Validar Enel","Pendiente cierre ENEL",IF(ISNUMBER(SEARCH("suministro",PL[[#This Row],[SUPPLIER NOTES]])),"Suministros",IF(PL[[#This Row],[SC]]="SOCIAL","Social",IF(ISNUMBER(SEARCH("monolito",PL[[#This Row],[DESCRIPTION]])),"Monolitos","Varios")))))</f>
        <v>Cerrados IUP</v>
      </c>
      <c r="Q1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6" spans="1:17" s="157" customFormat="1" hidden="1" x14ac:dyDescent="0.2">
      <c r="A176" s="151" t="s">
        <v>288</v>
      </c>
      <c r="B176" s="154" t="s">
        <v>8</v>
      </c>
      <c r="C176" s="152">
        <v>5</v>
      </c>
      <c r="D176" s="153" t="s">
        <v>3388</v>
      </c>
      <c r="E176" s="154"/>
      <c r="F176" s="154" t="s">
        <v>289</v>
      </c>
      <c r="G176" s="154" t="s">
        <v>1290</v>
      </c>
      <c r="H176" s="154"/>
      <c r="I176" s="154"/>
      <c r="J176" s="154" t="s">
        <v>74</v>
      </c>
      <c r="K176" s="154" t="s">
        <v>3394</v>
      </c>
      <c r="L176" s="154"/>
      <c r="M176" s="156"/>
      <c r="N176" s="154" t="str">
        <f>IF(ISNUMBER(PL[[#This Row],[CTO]]),"CTO "&amp;PL[[#This Row],[CTO]],"Otros")</f>
        <v>CTO 5</v>
      </c>
      <c r="O176" s="154" t="str">
        <f>IF(PL[[#This Row],[STATUS IUP]]="CERRADO","CERRADO",IF(ISNUMBER(SEARCH("validacion de enel",PL[[#This Row],[SUPPLIER NOTES]])),"PTE Validar Enel","ABIERTO"))</f>
        <v>CERRADO</v>
      </c>
      <c r="P176" s="154" t="str">
        <f>IF(PL[[#This Row],[ESTADO]]="CERRADO","Cerrados IUP",IF(PL[[#This Row],[ESTADO]]="PTE Validar Enel","Pendiente cierre ENEL",IF(ISNUMBER(SEARCH("suministro",PL[[#This Row],[SUPPLIER NOTES]])),"Suministros",IF(PL[[#This Row],[SC]]="SOCIAL","Social",IF(ISNUMBER(SEARCH("monolito",PL[[#This Row],[DESCRIPTION]])),"Monolitos","Varios")))))</f>
        <v>Cerrados IUP</v>
      </c>
      <c r="Q1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7" spans="1:17" s="157" customFormat="1" hidden="1" x14ac:dyDescent="0.2">
      <c r="A177" s="151" t="s">
        <v>295</v>
      </c>
      <c r="B177" s="154" t="s">
        <v>8</v>
      </c>
      <c r="C177" s="152">
        <v>5</v>
      </c>
      <c r="D177" s="153" t="s">
        <v>3388</v>
      </c>
      <c r="E177" s="154"/>
      <c r="F177" s="154" t="s">
        <v>296</v>
      </c>
      <c r="G177" s="154" t="s">
        <v>1290</v>
      </c>
      <c r="H177" s="154"/>
      <c r="I177" s="154"/>
      <c r="J177" s="154" t="s">
        <v>74</v>
      </c>
      <c r="K177" s="154" t="s">
        <v>3394</v>
      </c>
      <c r="L177" s="154"/>
      <c r="M177" s="156"/>
      <c r="N177" s="154" t="str">
        <f>IF(ISNUMBER(PL[[#This Row],[CTO]]),"CTO "&amp;PL[[#This Row],[CTO]],"Otros")</f>
        <v>CTO 5</v>
      </c>
      <c r="O177" s="154" t="str">
        <f>IF(PL[[#This Row],[STATUS IUP]]="CERRADO","CERRADO",IF(ISNUMBER(SEARCH("validacion de enel",PL[[#This Row],[SUPPLIER NOTES]])),"PTE Validar Enel","ABIERTO"))</f>
        <v>CERRADO</v>
      </c>
      <c r="P177" s="154" t="str">
        <f>IF(PL[[#This Row],[ESTADO]]="CERRADO","Cerrados IUP",IF(PL[[#This Row],[ESTADO]]="PTE Validar Enel","Pendiente cierre ENEL",IF(ISNUMBER(SEARCH("suministro",PL[[#This Row],[SUPPLIER NOTES]])),"Suministros",IF(PL[[#This Row],[SC]]="SOCIAL","Social",IF(ISNUMBER(SEARCH("monolito",PL[[#This Row],[DESCRIPTION]])),"Monolitos","Varios")))))</f>
        <v>Cerrados IUP</v>
      </c>
      <c r="Q1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8" spans="1:17" s="157" customFormat="1" hidden="1" x14ac:dyDescent="0.2">
      <c r="A178" s="151" t="s">
        <v>297</v>
      </c>
      <c r="B178" s="154" t="s">
        <v>8</v>
      </c>
      <c r="C178" s="152">
        <v>5</v>
      </c>
      <c r="D178" s="153" t="s">
        <v>3388</v>
      </c>
      <c r="E178" s="154"/>
      <c r="F178" s="154" t="s">
        <v>298</v>
      </c>
      <c r="G178" s="154" t="s">
        <v>1290</v>
      </c>
      <c r="H178" s="154"/>
      <c r="I178" s="154"/>
      <c r="J178" s="154" t="s">
        <v>74</v>
      </c>
      <c r="K178" s="154" t="s">
        <v>3394</v>
      </c>
      <c r="L178" s="154"/>
      <c r="M178" s="156"/>
      <c r="N178" s="154" t="str">
        <f>IF(ISNUMBER(PL[[#This Row],[CTO]]),"CTO "&amp;PL[[#This Row],[CTO]],"Otros")</f>
        <v>CTO 5</v>
      </c>
      <c r="O178" s="154" t="str">
        <f>IF(PL[[#This Row],[STATUS IUP]]="CERRADO","CERRADO",IF(ISNUMBER(SEARCH("validacion de enel",PL[[#This Row],[SUPPLIER NOTES]])),"PTE Validar Enel","ABIERTO"))</f>
        <v>CERRADO</v>
      </c>
      <c r="P178" s="154" t="str">
        <f>IF(PL[[#This Row],[ESTADO]]="CERRADO","Cerrados IUP",IF(PL[[#This Row],[ESTADO]]="PTE Validar Enel","Pendiente cierre ENEL",IF(ISNUMBER(SEARCH("suministro",PL[[#This Row],[SUPPLIER NOTES]])),"Suministros",IF(PL[[#This Row],[SC]]="SOCIAL","Social",IF(ISNUMBER(SEARCH("monolito",PL[[#This Row],[DESCRIPTION]])),"Monolitos","Varios")))))</f>
        <v>Cerrados IUP</v>
      </c>
      <c r="Q1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79" spans="1:17" s="157" customFormat="1" hidden="1" x14ac:dyDescent="0.2">
      <c r="A179" s="151" t="s">
        <v>299</v>
      </c>
      <c r="B179" s="154" t="s">
        <v>8</v>
      </c>
      <c r="C179" s="152">
        <v>5</v>
      </c>
      <c r="D179" s="153" t="s">
        <v>3388</v>
      </c>
      <c r="E179" s="154"/>
      <c r="F179" s="154" t="s">
        <v>300</v>
      </c>
      <c r="G179" s="154" t="s">
        <v>1290</v>
      </c>
      <c r="H179" s="154"/>
      <c r="I179" s="154"/>
      <c r="J179" s="154" t="s">
        <v>74</v>
      </c>
      <c r="K179" s="154" t="s">
        <v>3394</v>
      </c>
      <c r="L179" s="154"/>
      <c r="M179" s="156"/>
      <c r="N179" s="154" t="str">
        <f>IF(ISNUMBER(PL[[#This Row],[CTO]]),"CTO "&amp;PL[[#This Row],[CTO]],"Otros")</f>
        <v>CTO 5</v>
      </c>
      <c r="O179" s="154" t="str">
        <f>IF(PL[[#This Row],[STATUS IUP]]="CERRADO","CERRADO",IF(ISNUMBER(SEARCH("validacion de enel",PL[[#This Row],[SUPPLIER NOTES]])),"PTE Validar Enel","ABIERTO"))</f>
        <v>CERRADO</v>
      </c>
      <c r="P179" s="154" t="str">
        <f>IF(PL[[#This Row],[ESTADO]]="CERRADO","Cerrados IUP",IF(PL[[#This Row],[ESTADO]]="PTE Validar Enel","Pendiente cierre ENEL",IF(ISNUMBER(SEARCH("suministro",PL[[#This Row],[SUPPLIER NOTES]])),"Suministros",IF(PL[[#This Row],[SC]]="SOCIAL","Social",IF(ISNUMBER(SEARCH("monolito",PL[[#This Row],[DESCRIPTION]])),"Monolitos","Varios")))))</f>
        <v>Cerrados IUP</v>
      </c>
      <c r="Q1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0" spans="1:17" s="157" customFormat="1" hidden="1" x14ac:dyDescent="0.2">
      <c r="A180" s="151" t="s">
        <v>301</v>
      </c>
      <c r="B180" s="154" t="s">
        <v>8</v>
      </c>
      <c r="C180" s="152">
        <v>5</v>
      </c>
      <c r="D180" s="153" t="s">
        <v>3388</v>
      </c>
      <c r="E180" s="154"/>
      <c r="F180" s="154" t="s">
        <v>302</v>
      </c>
      <c r="G180" s="154" t="s">
        <v>1290</v>
      </c>
      <c r="H180" s="154"/>
      <c r="I180" s="154"/>
      <c r="J180" s="154" t="s">
        <v>74</v>
      </c>
      <c r="K180" s="154" t="s">
        <v>3394</v>
      </c>
      <c r="L180" s="154"/>
      <c r="M180" s="156"/>
      <c r="N180" s="154" t="str">
        <f>IF(ISNUMBER(PL[[#This Row],[CTO]]),"CTO "&amp;PL[[#This Row],[CTO]],"Otros")</f>
        <v>CTO 5</v>
      </c>
      <c r="O180" s="154" t="str">
        <f>IF(PL[[#This Row],[STATUS IUP]]="CERRADO","CERRADO",IF(ISNUMBER(SEARCH("validacion de enel",PL[[#This Row],[SUPPLIER NOTES]])),"PTE Validar Enel","ABIERTO"))</f>
        <v>CERRADO</v>
      </c>
      <c r="P180" s="154" t="str">
        <f>IF(PL[[#This Row],[ESTADO]]="CERRADO","Cerrados IUP",IF(PL[[#This Row],[ESTADO]]="PTE Validar Enel","Pendiente cierre ENEL",IF(ISNUMBER(SEARCH("suministro",PL[[#This Row],[SUPPLIER NOTES]])),"Suministros",IF(PL[[#This Row],[SC]]="SOCIAL","Social",IF(ISNUMBER(SEARCH("monolito",PL[[#This Row],[DESCRIPTION]])),"Monolitos","Varios")))))</f>
        <v>Cerrados IUP</v>
      </c>
      <c r="Q1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1" spans="1:17" s="157" customFormat="1" hidden="1" x14ac:dyDescent="0.2">
      <c r="A181" s="151" t="s">
        <v>303</v>
      </c>
      <c r="B181" s="154" t="s">
        <v>8</v>
      </c>
      <c r="C181" s="152">
        <v>5</v>
      </c>
      <c r="D181" s="153" t="s">
        <v>3388</v>
      </c>
      <c r="E181" s="154"/>
      <c r="F181" s="154" t="s">
        <v>304</v>
      </c>
      <c r="G181" s="154" t="s">
        <v>1290</v>
      </c>
      <c r="H181" s="154"/>
      <c r="I181" s="154"/>
      <c r="J181" s="154" t="s">
        <v>74</v>
      </c>
      <c r="K181" s="154" t="s">
        <v>3394</v>
      </c>
      <c r="L181" s="154"/>
      <c r="M181" s="156"/>
      <c r="N181" s="154" t="str">
        <f>IF(ISNUMBER(PL[[#This Row],[CTO]]),"CTO "&amp;PL[[#This Row],[CTO]],"Otros")</f>
        <v>CTO 5</v>
      </c>
      <c r="O181" s="154" t="str">
        <f>IF(PL[[#This Row],[STATUS IUP]]="CERRADO","CERRADO",IF(ISNUMBER(SEARCH("validacion de enel",PL[[#This Row],[SUPPLIER NOTES]])),"PTE Validar Enel","ABIERTO"))</f>
        <v>CERRADO</v>
      </c>
      <c r="P181" s="154" t="str">
        <f>IF(PL[[#This Row],[ESTADO]]="CERRADO","Cerrados IUP",IF(PL[[#This Row],[ESTADO]]="PTE Validar Enel","Pendiente cierre ENEL",IF(ISNUMBER(SEARCH("suministro",PL[[#This Row],[SUPPLIER NOTES]])),"Suministros",IF(PL[[#This Row],[SC]]="SOCIAL","Social",IF(ISNUMBER(SEARCH("monolito",PL[[#This Row],[DESCRIPTION]])),"Monolitos","Varios")))))</f>
        <v>Cerrados IUP</v>
      </c>
      <c r="Q1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2" spans="1:17" s="157" customFormat="1" hidden="1" x14ac:dyDescent="0.2">
      <c r="A182" s="151" t="s">
        <v>305</v>
      </c>
      <c r="B182" s="154" t="s">
        <v>8</v>
      </c>
      <c r="C182" s="152">
        <v>5</v>
      </c>
      <c r="D182" s="153" t="s">
        <v>3388</v>
      </c>
      <c r="E182" s="154"/>
      <c r="F182" s="154" t="s">
        <v>306</v>
      </c>
      <c r="G182" s="154" t="s">
        <v>1290</v>
      </c>
      <c r="H182" s="154"/>
      <c r="I182" s="154"/>
      <c r="J182" s="154" t="s">
        <v>74</v>
      </c>
      <c r="K182" s="154" t="s">
        <v>3394</v>
      </c>
      <c r="L182" s="154"/>
      <c r="M182" s="156"/>
      <c r="N182" s="154" t="str">
        <f>IF(ISNUMBER(PL[[#This Row],[CTO]]),"CTO "&amp;PL[[#This Row],[CTO]],"Otros")</f>
        <v>CTO 5</v>
      </c>
      <c r="O182" s="154" t="str">
        <f>IF(PL[[#This Row],[STATUS IUP]]="CERRADO","CERRADO",IF(ISNUMBER(SEARCH("validacion de enel",PL[[#This Row],[SUPPLIER NOTES]])),"PTE Validar Enel","ABIERTO"))</f>
        <v>CERRADO</v>
      </c>
      <c r="P182" s="154" t="str">
        <f>IF(PL[[#This Row],[ESTADO]]="CERRADO","Cerrados IUP",IF(PL[[#This Row],[ESTADO]]="PTE Validar Enel","Pendiente cierre ENEL",IF(ISNUMBER(SEARCH("suministro",PL[[#This Row],[SUPPLIER NOTES]])),"Suministros",IF(PL[[#This Row],[SC]]="SOCIAL","Social",IF(ISNUMBER(SEARCH("monolito",PL[[#This Row],[DESCRIPTION]])),"Monolitos","Varios")))))</f>
        <v>Cerrados IUP</v>
      </c>
      <c r="Q1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3" spans="1:17" s="157" customFormat="1" hidden="1" x14ac:dyDescent="0.2">
      <c r="A183" s="151" t="s">
        <v>307</v>
      </c>
      <c r="B183" s="154" t="s">
        <v>8</v>
      </c>
      <c r="C183" s="152">
        <v>5</v>
      </c>
      <c r="D183" s="153" t="s">
        <v>3388</v>
      </c>
      <c r="E183" s="154"/>
      <c r="F183" s="154" t="s">
        <v>308</v>
      </c>
      <c r="G183" s="154" t="s">
        <v>1290</v>
      </c>
      <c r="H183" s="154"/>
      <c r="I183" s="154"/>
      <c r="J183" s="154" t="s">
        <v>74</v>
      </c>
      <c r="K183" s="154" t="s">
        <v>3394</v>
      </c>
      <c r="L183" s="154"/>
      <c r="M183" s="156"/>
      <c r="N183" s="154" t="str">
        <f>IF(ISNUMBER(PL[[#This Row],[CTO]]),"CTO "&amp;PL[[#This Row],[CTO]],"Otros")</f>
        <v>CTO 5</v>
      </c>
      <c r="O183" s="154" t="str">
        <f>IF(PL[[#This Row],[STATUS IUP]]="CERRADO","CERRADO",IF(ISNUMBER(SEARCH("validacion de enel",PL[[#This Row],[SUPPLIER NOTES]])),"PTE Validar Enel","ABIERTO"))</f>
        <v>CERRADO</v>
      </c>
      <c r="P183" s="154" t="str">
        <f>IF(PL[[#This Row],[ESTADO]]="CERRADO","Cerrados IUP",IF(PL[[#This Row],[ESTADO]]="PTE Validar Enel","Pendiente cierre ENEL",IF(ISNUMBER(SEARCH("suministro",PL[[#This Row],[SUPPLIER NOTES]])),"Suministros",IF(PL[[#This Row],[SC]]="SOCIAL","Social",IF(ISNUMBER(SEARCH("monolito",PL[[#This Row],[DESCRIPTION]])),"Monolitos","Varios")))))</f>
        <v>Cerrados IUP</v>
      </c>
      <c r="Q1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4" spans="1:17" s="157" customFormat="1" hidden="1" x14ac:dyDescent="0.2">
      <c r="A184" s="151" t="s">
        <v>309</v>
      </c>
      <c r="B184" s="154" t="s">
        <v>8</v>
      </c>
      <c r="C184" s="152">
        <v>5</v>
      </c>
      <c r="D184" s="153" t="s">
        <v>3388</v>
      </c>
      <c r="E184" s="154"/>
      <c r="F184" s="154" t="s">
        <v>310</v>
      </c>
      <c r="G184" s="154" t="s">
        <v>1289</v>
      </c>
      <c r="H184" s="154"/>
      <c r="I184" s="154"/>
      <c r="J184" s="154" t="s">
        <v>74</v>
      </c>
      <c r="K184" s="154" t="s">
        <v>3394</v>
      </c>
      <c r="L184" s="154"/>
      <c r="M184" s="156"/>
      <c r="N184" s="154" t="str">
        <f>IF(ISNUMBER(PL[[#This Row],[CTO]]),"CTO "&amp;PL[[#This Row],[CTO]],"Otros")</f>
        <v>CTO 5</v>
      </c>
      <c r="O184" s="154" t="str">
        <f>IF(PL[[#This Row],[STATUS IUP]]="CERRADO","CERRADO",IF(ISNUMBER(SEARCH("validacion de enel",PL[[#This Row],[SUPPLIER NOTES]])),"PTE Validar Enel","ABIERTO"))</f>
        <v>CERRADO</v>
      </c>
      <c r="P184" s="154" t="str">
        <f>IF(PL[[#This Row],[ESTADO]]="CERRADO","Cerrados IUP",IF(PL[[#This Row],[ESTADO]]="PTE Validar Enel","Pendiente cierre ENEL",IF(ISNUMBER(SEARCH("suministro",PL[[#This Row],[SUPPLIER NOTES]])),"Suministros",IF(PL[[#This Row],[SC]]="SOCIAL","Social",IF(ISNUMBER(SEARCH("monolito",PL[[#This Row],[DESCRIPTION]])),"Monolitos","Varios")))))</f>
        <v>Cerrados IUP</v>
      </c>
      <c r="Q1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5" spans="1:17" s="157" customFormat="1" hidden="1" x14ac:dyDescent="0.2">
      <c r="A185" s="151" t="s">
        <v>313</v>
      </c>
      <c r="B185" s="154" t="s">
        <v>8</v>
      </c>
      <c r="C185" s="152">
        <v>5</v>
      </c>
      <c r="D185" s="153" t="s">
        <v>3388</v>
      </c>
      <c r="E185" s="154"/>
      <c r="F185" s="154" t="s">
        <v>314</v>
      </c>
      <c r="G185" s="154" t="s">
        <v>1290</v>
      </c>
      <c r="H185" s="154"/>
      <c r="I185" s="154"/>
      <c r="J185" s="154" t="s">
        <v>74</v>
      </c>
      <c r="K185" s="154" t="s">
        <v>3394</v>
      </c>
      <c r="L185" s="154"/>
      <c r="M185" s="156"/>
      <c r="N185" s="154" t="str">
        <f>IF(ISNUMBER(PL[[#This Row],[CTO]]),"CTO "&amp;PL[[#This Row],[CTO]],"Otros")</f>
        <v>CTO 5</v>
      </c>
      <c r="O185" s="154" t="str">
        <f>IF(PL[[#This Row],[STATUS IUP]]="CERRADO","CERRADO",IF(ISNUMBER(SEARCH("validacion de enel",PL[[#This Row],[SUPPLIER NOTES]])),"PTE Validar Enel","ABIERTO"))</f>
        <v>CERRADO</v>
      </c>
      <c r="P185" s="154" t="str">
        <f>IF(PL[[#This Row],[ESTADO]]="CERRADO","Cerrados IUP",IF(PL[[#This Row],[ESTADO]]="PTE Validar Enel","Pendiente cierre ENEL",IF(ISNUMBER(SEARCH("suministro",PL[[#This Row],[SUPPLIER NOTES]])),"Suministros",IF(PL[[#This Row],[SC]]="SOCIAL","Social",IF(ISNUMBER(SEARCH("monolito",PL[[#This Row],[DESCRIPTION]])),"Monolitos","Varios")))))</f>
        <v>Cerrados IUP</v>
      </c>
      <c r="Q1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6" spans="1:17" s="157" customFormat="1" hidden="1" x14ac:dyDescent="0.2">
      <c r="A186" s="151" t="s">
        <v>315</v>
      </c>
      <c r="B186" s="154" t="s">
        <v>8</v>
      </c>
      <c r="C186" s="152">
        <v>5</v>
      </c>
      <c r="D186" s="153" t="s">
        <v>3388</v>
      </c>
      <c r="E186" s="154"/>
      <c r="F186" s="154" t="s">
        <v>316</v>
      </c>
      <c r="G186" s="154" t="s">
        <v>1290</v>
      </c>
      <c r="H186" s="154"/>
      <c r="I186" s="154"/>
      <c r="J186" s="154" t="s">
        <v>74</v>
      </c>
      <c r="K186" s="154" t="s">
        <v>3394</v>
      </c>
      <c r="L186" s="154"/>
      <c r="M186" s="156"/>
      <c r="N186" s="154" t="str">
        <f>IF(ISNUMBER(PL[[#This Row],[CTO]]),"CTO "&amp;PL[[#This Row],[CTO]],"Otros")</f>
        <v>CTO 5</v>
      </c>
      <c r="O186" s="154" t="str">
        <f>IF(PL[[#This Row],[STATUS IUP]]="CERRADO","CERRADO",IF(ISNUMBER(SEARCH("validacion de enel",PL[[#This Row],[SUPPLIER NOTES]])),"PTE Validar Enel","ABIERTO"))</f>
        <v>CERRADO</v>
      </c>
      <c r="P186" s="154" t="str">
        <f>IF(PL[[#This Row],[ESTADO]]="CERRADO","Cerrados IUP",IF(PL[[#This Row],[ESTADO]]="PTE Validar Enel","Pendiente cierre ENEL",IF(ISNUMBER(SEARCH("suministro",PL[[#This Row],[SUPPLIER NOTES]])),"Suministros",IF(PL[[#This Row],[SC]]="SOCIAL","Social",IF(ISNUMBER(SEARCH("monolito",PL[[#This Row],[DESCRIPTION]])),"Monolitos","Varios")))))</f>
        <v>Cerrados IUP</v>
      </c>
      <c r="Q1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7" spans="1:17" s="157" customFormat="1" hidden="1" x14ac:dyDescent="0.2">
      <c r="A187" s="151" t="s">
        <v>317</v>
      </c>
      <c r="B187" s="154" t="s">
        <v>8</v>
      </c>
      <c r="C187" s="152">
        <v>5</v>
      </c>
      <c r="D187" s="153" t="s">
        <v>3388</v>
      </c>
      <c r="E187" s="154"/>
      <c r="F187" s="154" t="s">
        <v>318</v>
      </c>
      <c r="G187" s="154" t="s">
        <v>1290</v>
      </c>
      <c r="H187" s="154"/>
      <c r="I187" s="154"/>
      <c r="J187" s="154" t="s">
        <v>74</v>
      </c>
      <c r="K187" s="154" t="s">
        <v>3394</v>
      </c>
      <c r="L187" s="154"/>
      <c r="M187" s="156"/>
      <c r="N187" s="154" t="str">
        <f>IF(ISNUMBER(PL[[#This Row],[CTO]]),"CTO "&amp;PL[[#This Row],[CTO]],"Otros")</f>
        <v>CTO 5</v>
      </c>
      <c r="O187" s="154" t="str">
        <f>IF(PL[[#This Row],[STATUS IUP]]="CERRADO","CERRADO",IF(ISNUMBER(SEARCH("validacion de enel",PL[[#This Row],[SUPPLIER NOTES]])),"PTE Validar Enel","ABIERTO"))</f>
        <v>CERRADO</v>
      </c>
      <c r="P187" s="154" t="str">
        <f>IF(PL[[#This Row],[ESTADO]]="CERRADO","Cerrados IUP",IF(PL[[#This Row],[ESTADO]]="PTE Validar Enel","Pendiente cierre ENEL",IF(ISNUMBER(SEARCH("suministro",PL[[#This Row],[SUPPLIER NOTES]])),"Suministros",IF(PL[[#This Row],[SC]]="SOCIAL","Social",IF(ISNUMBER(SEARCH("monolito",PL[[#This Row],[DESCRIPTION]])),"Monolitos","Varios")))))</f>
        <v>Cerrados IUP</v>
      </c>
      <c r="Q1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8" spans="1:17" s="157" customFormat="1" hidden="1" x14ac:dyDescent="0.2">
      <c r="A188" s="151" t="s">
        <v>319</v>
      </c>
      <c r="B188" s="154" t="s">
        <v>8</v>
      </c>
      <c r="C188" s="152">
        <v>5</v>
      </c>
      <c r="D188" s="153" t="s">
        <v>3388</v>
      </c>
      <c r="E188" s="154"/>
      <c r="F188" s="154" t="s">
        <v>320</v>
      </c>
      <c r="G188" s="154" t="s">
        <v>128</v>
      </c>
      <c r="H188" s="154"/>
      <c r="I188" s="154"/>
      <c r="J188" s="154" t="s">
        <v>74</v>
      </c>
      <c r="K188" s="154" t="s">
        <v>3394</v>
      </c>
      <c r="L188" s="154"/>
      <c r="M188" s="156"/>
      <c r="N188" s="154" t="str">
        <f>IF(ISNUMBER(PL[[#This Row],[CTO]]),"CTO "&amp;PL[[#This Row],[CTO]],"Otros")</f>
        <v>CTO 5</v>
      </c>
      <c r="O188" s="154" t="str">
        <f>IF(PL[[#This Row],[STATUS IUP]]="CERRADO","CERRADO",IF(ISNUMBER(SEARCH("validacion de enel",PL[[#This Row],[SUPPLIER NOTES]])),"PTE Validar Enel","ABIERTO"))</f>
        <v>CERRADO</v>
      </c>
      <c r="P188" s="154" t="str">
        <f>IF(PL[[#This Row],[ESTADO]]="CERRADO","Cerrados IUP",IF(PL[[#This Row],[ESTADO]]="PTE Validar Enel","Pendiente cierre ENEL",IF(ISNUMBER(SEARCH("suministro",PL[[#This Row],[SUPPLIER NOTES]])),"Suministros",IF(PL[[#This Row],[SC]]="SOCIAL","Social",IF(ISNUMBER(SEARCH("monolito",PL[[#This Row],[DESCRIPTION]])),"Monolitos","Varios")))))</f>
        <v>Cerrados IUP</v>
      </c>
      <c r="Q1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89" spans="1:17" s="157" customFormat="1" hidden="1" x14ac:dyDescent="0.2">
      <c r="A189" s="151" t="s">
        <v>321</v>
      </c>
      <c r="B189" s="154" t="s">
        <v>8</v>
      </c>
      <c r="C189" s="152">
        <v>5</v>
      </c>
      <c r="D189" s="153" t="s">
        <v>3388</v>
      </c>
      <c r="E189" s="154"/>
      <c r="F189" s="154" t="s">
        <v>322</v>
      </c>
      <c r="G189" s="154" t="s">
        <v>128</v>
      </c>
      <c r="H189" s="154"/>
      <c r="I189" s="154"/>
      <c r="J189" s="154" t="s">
        <v>74</v>
      </c>
      <c r="K189" s="154" t="s">
        <v>3394</v>
      </c>
      <c r="L189" s="154"/>
      <c r="M189" s="156"/>
      <c r="N189" s="154" t="str">
        <f>IF(ISNUMBER(PL[[#This Row],[CTO]]),"CTO "&amp;PL[[#This Row],[CTO]],"Otros")</f>
        <v>CTO 5</v>
      </c>
      <c r="O189" s="154" t="str">
        <f>IF(PL[[#This Row],[STATUS IUP]]="CERRADO","CERRADO",IF(ISNUMBER(SEARCH("validacion de enel",PL[[#This Row],[SUPPLIER NOTES]])),"PTE Validar Enel","ABIERTO"))</f>
        <v>CERRADO</v>
      </c>
      <c r="P189" s="154" t="str">
        <f>IF(PL[[#This Row],[ESTADO]]="CERRADO","Cerrados IUP",IF(PL[[#This Row],[ESTADO]]="PTE Validar Enel","Pendiente cierre ENEL",IF(ISNUMBER(SEARCH("suministro",PL[[#This Row],[SUPPLIER NOTES]])),"Suministros",IF(PL[[#This Row],[SC]]="SOCIAL","Social",IF(ISNUMBER(SEARCH("monolito",PL[[#This Row],[DESCRIPTION]])),"Monolitos","Varios")))))</f>
        <v>Cerrados IUP</v>
      </c>
      <c r="Q1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0" spans="1:17" s="157" customFormat="1" hidden="1" x14ac:dyDescent="0.2">
      <c r="A190" s="151" t="s">
        <v>323</v>
      </c>
      <c r="B190" s="154" t="s">
        <v>8</v>
      </c>
      <c r="C190" s="152">
        <v>5</v>
      </c>
      <c r="D190" s="153" t="s">
        <v>3388</v>
      </c>
      <c r="E190" s="154"/>
      <c r="F190" s="154" t="s">
        <v>324</v>
      </c>
      <c r="G190" s="154" t="s">
        <v>128</v>
      </c>
      <c r="H190" s="154"/>
      <c r="I190" s="154"/>
      <c r="J190" s="154" t="s">
        <v>74</v>
      </c>
      <c r="K190" s="154" t="s">
        <v>3394</v>
      </c>
      <c r="L190" s="154"/>
      <c r="M190" s="156"/>
      <c r="N190" s="154" t="str">
        <f>IF(ISNUMBER(PL[[#This Row],[CTO]]),"CTO "&amp;PL[[#This Row],[CTO]],"Otros")</f>
        <v>CTO 5</v>
      </c>
      <c r="O190" s="154" t="str">
        <f>IF(PL[[#This Row],[STATUS IUP]]="CERRADO","CERRADO",IF(ISNUMBER(SEARCH("validacion de enel",PL[[#This Row],[SUPPLIER NOTES]])),"PTE Validar Enel","ABIERTO"))</f>
        <v>CERRADO</v>
      </c>
      <c r="P190" s="154" t="str">
        <f>IF(PL[[#This Row],[ESTADO]]="CERRADO","Cerrados IUP",IF(PL[[#This Row],[ESTADO]]="PTE Validar Enel","Pendiente cierre ENEL",IF(ISNUMBER(SEARCH("suministro",PL[[#This Row],[SUPPLIER NOTES]])),"Suministros",IF(PL[[#This Row],[SC]]="SOCIAL","Social",IF(ISNUMBER(SEARCH("monolito",PL[[#This Row],[DESCRIPTION]])),"Monolitos","Varios")))))</f>
        <v>Cerrados IUP</v>
      </c>
      <c r="Q1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1" spans="1:17" s="157" customFormat="1" hidden="1" x14ac:dyDescent="0.2">
      <c r="A191" s="151" t="s">
        <v>329</v>
      </c>
      <c r="B191" s="154" t="s">
        <v>8</v>
      </c>
      <c r="C191" s="152">
        <v>5</v>
      </c>
      <c r="D191" s="153" t="s">
        <v>3388</v>
      </c>
      <c r="E191" s="154"/>
      <c r="F191" s="154" t="s">
        <v>330</v>
      </c>
      <c r="G191" s="154" t="s">
        <v>128</v>
      </c>
      <c r="H191" s="154"/>
      <c r="I191" s="154"/>
      <c r="J191" s="154" t="s">
        <v>74</v>
      </c>
      <c r="K191" s="154" t="s">
        <v>3394</v>
      </c>
      <c r="L191" s="154"/>
      <c r="M191" s="156"/>
      <c r="N191" s="154" t="str">
        <f>IF(ISNUMBER(PL[[#This Row],[CTO]]),"CTO "&amp;PL[[#This Row],[CTO]],"Otros")</f>
        <v>CTO 5</v>
      </c>
      <c r="O191" s="154" t="str">
        <f>IF(PL[[#This Row],[STATUS IUP]]="CERRADO","CERRADO",IF(ISNUMBER(SEARCH("validacion de enel",PL[[#This Row],[SUPPLIER NOTES]])),"PTE Validar Enel","ABIERTO"))</f>
        <v>CERRADO</v>
      </c>
      <c r="P191" s="154" t="str">
        <f>IF(PL[[#This Row],[ESTADO]]="CERRADO","Cerrados IUP",IF(PL[[#This Row],[ESTADO]]="PTE Validar Enel","Pendiente cierre ENEL",IF(ISNUMBER(SEARCH("suministro",PL[[#This Row],[SUPPLIER NOTES]])),"Suministros",IF(PL[[#This Row],[SC]]="SOCIAL","Social",IF(ISNUMBER(SEARCH("monolito",PL[[#This Row],[DESCRIPTION]])),"Monolitos","Varios")))))</f>
        <v>Cerrados IUP</v>
      </c>
      <c r="Q1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2" spans="1:17" s="157" customFormat="1" hidden="1" x14ac:dyDescent="0.2">
      <c r="A192" s="151" t="s">
        <v>331</v>
      </c>
      <c r="B192" s="154" t="s">
        <v>8</v>
      </c>
      <c r="C192" s="152">
        <v>5</v>
      </c>
      <c r="D192" s="153" t="s">
        <v>3388</v>
      </c>
      <c r="E192" s="154"/>
      <c r="F192" s="154" t="s">
        <v>332</v>
      </c>
      <c r="G192" s="154" t="s">
        <v>43</v>
      </c>
      <c r="H192" s="154"/>
      <c r="I192" s="154"/>
      <c r="J192" s="154" t="s">
        <v>74</v>
      </c>
      <c r="K192" s="154" t="s">
        <v>3394</v>
      </c>
      <c r="L192" s="154"/>
      <c r="M192" s="156"/>
      <c r="N192" s="154" t="str">
        <f>IF(ISNUMBER(PL[[#This Row],[CTO]]),"CTO "&amp;PL[[#This Row],[CTO]],"Otros")</f>
        <v>CTO 5</v>
      </c>
      <c r="O192" s="154" t="str">
        <f>IF(PL[[#This Row],[STATUS IUP]]="CERRADO","CERRADO",IF(ISNUMBER(SEARCH("validacion de enel",PL[[#This Row],[SUPPLIER NOTES]])),"PTE Validar Enel","ABIERTO"))</f>
        <v>CERRADO</v>
      </c>
      <c r="P192" s="154" t="str">
        <f>IF(PL[[#This Row],[ESTADO]]="CERRADO","Cerrados IUP",IF(PL[[#This Row],[ESTADO]]="PTE Validar Enel","Pendiente cierre ENEL",IF(ISNUMBER(SEARCH("suministro",PL[[#This Row],[SUPPLIER NOTES]])),"Suministros",IF(PL[[#This Row],[SC]]="SOCIAL","Social",IF(ISNUMBER(SEARCH("monolito",PL[[#This Row],[DESCRIPTION]])),"Monolitos","Varios")))))</f>
        <v>Cerrados IUP</v>
      </c>
      <c r="Q1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93" spans="1:17" s="157" customFormat="1" hidden="1" x14ac:dyDescent="0.2">
      <c r="A193" s="151" t="s">
        <v>333</v>
      </c>
      <c r="B193" s="154" t="s">
        <v>8</v>
      </c>
      <c r="C193" s="152">
        <v>5</v>
      </c>
      <c r="D193" s="153" t="s">
        <v>3388</v>
      </c>
      <c r="E193" s="154"/>
      <c r="F193" s="154" t="s">
        <v>334</v>
      </c>
      <c r="G193" s="154" t="s">
        <v>43</v>
      </c>
      <c r="H193" s="154"/>
      <c r="I193" s="154"/>
      <c r="J193" s="154" t="s">
        <v>74</v>
      </c>
      <c r="K193" s="154" t="s">
        <v>3394</v>
      </c>
      <c r="L193" s="154"/>
      <c r="M193" s="156"/>
      <c r="N193" s="154" t="str">
        <f>IF(ISNUMBER(PL[[#This Row],[CTO]]),"CTO "&amp;PL[[#This Row],[CTO]],"Otros")</f>
        <v>CTO 5</v>
      </c>
      <c r="O193" s="154" t="str">
        <f>IF(PL[[#This Row],[STATUS IUP]]="CERRADO","CERRADO",IF(ISNUMBER(SEARCH("validacion de enel",PL[[#This Row],[SUPPLIER NOTES]])),"PTE Validar Enel","ABIERTO"))</f>
        <v>CERRADO</v>
      </c>
      <c r="P193" s="154" t="str">
        <f>IF(PL[[#This Row],[ESTADO]]="CERRADO","Cerrados IUP",IF(PL[[#This Row],[ESTADO]]="PTE Validar Enel","Pendiente cierre ENEL",IF(ISNUMBER(SEARCH("suministro",PL[[#This Row],[SUPPLIER NOTES]])),"Suministros",IF(PL[[#This Row],[SC]]="SOCIAL","Social",IF(ISNUMBER(SEARCH("monolito",PL[[#This Row],[DESCRIPTION]])),"Monolitos","Varios")))))</f>
        <v>Cerrados IUP</v>
      </c>
      <c r="Q1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94" spans="1:17" s="157" customFormat="1" hidden="1" x14ac:dyDescent="0.2">
      <c r="A194" s="151" t="s">
        <v>335</v>
      </c>
      <c r="B194" s="154" t="s">
        <v>8</v>
      </c>
      <c r="C194" s="152">
        <v>5</v>
      </c>
      <c r="D194" s="153" t="s">
        <v>3388</v>
      </c>
      <c r="E194" s="154"/>
      <c r="F194" s="154" t="s">
        <v>336</v>
      </c>
      <c r="G194" s="154" t="s">
        <v>43</v>
      </c>
      <c r="H194" s="154"/>
      <c r="I194" s="154"/>
      <c r="J194" s="154" t="s">
        <v>74</v>
      </c>
      <c r="K194" s="154" t="s">
        <v>3394</v>
      </c>
      <c r="L194" s="154"/>
      <c r="M194" s="156"/>
      <c r="N194" s="154" t="str">
        <f>IF(ISNUMBER(PL[[#This Row],[CTO]]),"CTO "&amp;PL[[#This Row],[CTO]],"Otros")</f>
        <v>CTO 5</v>
      </c>
      <c r="O194" s="154" t="str">
        <f>IF(PL[[#This Row],[STATUS IUP]]="CERRADO","CERRADO",IF(ISNUMBER(SEARCH("validacion de enel",PL[[#This Row],[SUPPLIER NOTES]])),"PTE Validar Enel","ABIERTO"))</f>
        <v>CERRADO</v>
      </c>
      <c r="P194" s="154" t="str">
        <f>IF(PL[[#This Row],[ESTADO]]="CERRADO","Cerrados IUP",IF(PL[[#This Row],[ESTADO]]="PTE Validar Enel","Pendiente cierre ENEL",IF(ISNUMBER(SEARCH("suministro",PL[[#This Row],[SUPPLIER NOTES]])),"Suministros",IF(PL[[#This Row],[SC]]="SOCIAL","Social",IF(ISNUMBER(SEARCH("monolito",PL[[#This Row],[DESCRIPTION]])),"Monolitos","Varios")))))</f>
        <v>Cerrados IUP</v>
      </c>
      <c r="Q1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5" spans="1:17" s="157" customFormat="1" hidden="1" x14ac:dyDescent="0.2">
      <c r="A195" s="151" t="s">
        <v>337</v>
      </c>
      <c r="B195" s="154" t="s">
        <v>8</v>
      </c>
      <c r="C195" s="152">
        <v>5</v>
      </c>
      <c r="D195" s="153" t="s">
        <v>3388</v>
      </c>
      <c r="E195" s="154"/>
      <c r="F195" s="154" t="s">
        <v>338</v>
      </c>
      <c r="G195" s="154" t="s">
        <v>43</v>
      </c>
      <c r="H195" s="154" t="s">
        <v>340</v>
      </c>
      <c r="I195" s="154" t="s">
        <v>340</v>
      </c>
      <c r="J195" s="154" t="s">
        <v>74</v>
      </c>
      <c r="K195" s="154" t="s">
        <v>3394</v>
      </c>
      <c r="L195" s="161">
        <v>46218</v>
      </c>
      <c r="M195" s="160">
        <v>46218</v>
      </c>
      <c r="N195" s="154" t="str">
        <f>IF(ISNUMBER(PL[[#This Row],[CTO]]),"CTO "&amp;PL[[#This Row],[CTO]],"Otros")</f>
        <v>CTO 5</v>
      </c>
      <c r="O195" s="154" t="str">
        <f>IF(PL[[#This Row],[STATUS IUP]]="CERRADO","CERRADO",IF(ISNUMBER(SEARCH("validacion de enel",PL[[#This Row],[SUPPLIER NOTES]])),"PTE Validar Enel","ABIERTO"))</f>
        <v>CERRADO</v>
      </c>
      <c r="P195" s="154" t="str">
        <f>IF(PL[[#This Row],[ESTADO]]="CERRADO","Cerrados IUP",IF(PL[[#This Row],[ESTADO]]="PTE Validar Enel","Pendiente cierre ENEL",IF(ISNUMBER(SEARCH("suministro",PL[[#This Row],[SUPPLIER NOTES]])),"Suministros",IF(PL[[#This Row],[SC]]="SOCIAL","Social",IF(ISNUMBER(SEARCH("monolito",PL[[#This Row],[DESCRIPTION]])),"Monolitos","Varios")))))</f>
        <v>Cerrados IUP</v>
      </c>
      <c r="Q1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6" spans="1:17" s="157" customFormat="1" hidden="1" x14ac:dyDescent="0.2">
      <c r="A196" s="151" t="s">
        <v>341</v>
      </c>
      <c r="B196" s="154" t="s">
        <v>8</v>
      </c>
      <c r="C196" s="152">
        <v>5</v>
      </c>
      <c r="D196" s="153" t="s">
        <v>3388</v>
      </c>
      <c r="E196" s="154"/>
      <c r="F196" s="154" t="s">
        <v>342</v>
      </c>
      <c r="G196" s="154" t="s">
        <v>43</v>
      </c>
      <c r="H196" s="154" t="s">
        <v>163</v>
      </c>
      <c r="I196" s="154" t="s">
        <v>163</v>
      </c>
      <c r="J196" s="154" t="s">
        <v>74</v>
      </c>
      <c r="K196" s="154" t="s">
        <v>3394</v>
      </c>
      <c r="L196" s="161">
        <v>46231</v>
      </c>
      <c r="M196" s="160">
        <v>46231</v>
      </c>
      <c r="N196" s="154" t="str">
        <f>IF(ISNUMBER(PL[[#This Row],[CTO]]),"CTO "&amp;PL[[#This Row],[CTO]],"Otros")</f>
        <v>CTO 5</v>
      </c>
      <c r="O196" s="154" t="str">
        <f>IF(PL[[#This Row],[STATUS IUP]]="CERRADO","CERRADO",IF(ISNUMBER(SEARCH("validacion de enel",PL[[#This Row],[SUPPLIER NOTES]])),"PTE Validar Enel","ABIERTO"))</f>
        <v>CERRADO</v>
      </c>
      <c r="P196" s="154" t="str">
        <f>IF(PL[[#This Row],[ESTADO]]="CERRADO","Cerrados IUP",IF(PL[[#This Row],[ESTADO]]="PTE Validar Enel","Pendiente cierre ENEL",IF(ISNUMBER(SEARCH("suministro",PL[[#This Row],[SUPPLIER NOTES]])),"Suministros",IF(PL[[#This Row],[SC]]="SOCIAL","Social",IF(ISNUMBER(SEARCH("monolito",PL[[#This Row],[DESCRIPTION]])),"Monolitos","Varios")))))</f>
        <v>Cerrados IUP</v>
      </c>
      <c r="Q1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7" spans="1:17" s="157" customFormat="1" hidden="1" x14ac:dyDescent="0.2">
      <c r="A197" s="151" t="s">
        <v>343</v>
      </c>
      <c r="B197" s="154" t="s">
        <v>8</v>
      </c>
      <c r="C197" s="152">
        <v>5</v>
      </c>
      <c r="D197" s="153" t="s">
        <v>3388</v>
      </c>
      <c r="E197" s="154"/>
      <c r="F197" s="154" t="s">
        <v>344</v>
      </c>
      <c r="G197" s="154" t="s">
        <v>216</v>
      </c>
      <c r="H197" s="154"/>
      <c r="I197" s="154"/>
      <c r="J197" s="154" t="s">
        <v>74</v>
      </c>
      <c r="K197" s="154" t="s">
        <v>3394</v>
      </c>
      <c r="L197" s="154"/>
      <c r="M197" s="156"/>
      <c r="N197" s="154" t="str">
        <f>IF(ISNUMBER(PL[[#This Row],[CTO]]),"CTO "&amp;PL[[#This Row],[CTO]],"Otros")</f>
        <v>CTO 5</v>
      </c>
      <c r="O197" s="154" t="str">
        <f>IF(PL[[#This Row],[STATUS IUP]]="CERRADO","CERRADO",IF(ISNUMBER(SEARCH("validacion de enel",PL[[#This Row],[SUPPLIER NOTES]])),"PTE Validar Enel","ABIERTO"))</f>
        <v>CERRADO</v>
      </c>
      <c r="P197" s="154" t="str">
        <f>IF(PL[[#This Row],[ESTADO]]="CERRADO","Cerrados IUP",IF(PL[[#This Row],[ESTADO]]="PTE Validar Enel","Pendiente cierre ENEL",IF(ISNUMBER(SEARCH("suministro",PL[[#This Row],[SUPPLIER NOTES]])),"Suministros",IF(PL[[#This Row],[SC]]="SOCIAL","Social",IF(ISNUMBER(SEARCH("monolito",PL[[#This Row],[DESCRIPTION]])),"Monolitos","Varios")))))</f>
        <v>Cerrados IUP</v>
      </c>
      <c r="Q1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8" spans="1:17" hidden="1" x14ac:dyDescent="0.2">
      <c r="A198" s="75" t="s">
        <v>347</v>
      </c>
      <c r="B198" s="74" t="s">
        <v>8</v>
      </c>
      <c r="C198" s="52">
        <v>5</v>
      </c>
      <c r="D198" s="76" t="s">
        <v>3388</v>
      </c>
      <c r="E198" s="74"/>
      <c r="F198" s="74" t="s">
        <v>348</v>
      </c>
      <c r="G198" s="74" t="s">
        <v>49</v>
      </c>
      <c r="H198" s="74" t="s">
        <v>3460</v>
      </c>
      <c r="I198" s="74"/>
      <c r="J198" s="74" t="s">
        <v>11</v>
      </c>
      <c r="K198" s="74" t="s">
        <v>3393</v>
      </c>
      <c r="L198" s="74"/>
      <c r="M198" s="77"/>
      <c r="N198" s="74" t="str">
        <f>IF(ISNUMBER(PL[[#This Row],[CTO]]),"CTO "&amp;PL[[#This Row],[CTO]],"Otros")</f>
        <v>CTO 5</v>
      </c>
      <c r="O198" s="74" t="str">
        <f>IF(PL[[#This Row],[STATUS IUP]]="CERRADO","CERRADO",IF(ISNUMBER(SEARCH("validacion de enel",PL[[#This Row],[SUPPLIER NOTES]])),"PTE Validar Enel","ABIERTO"))</f>
        <v>ABIERTO</v>
      </c>
      <c r="P198" s="74" t="str">
        <f>IF(PL[[#This Row],[ESTADO]]="CERRADO","Cerrados IUP",IF(PL[[#This Row],[ESTADO]]="PTE Validar Enel","Pendiente cierre ENEL",IF(ISNUMBER(SEARCH("suministro",PL[[#This Row],[SUPPLIER NOTES]])),"Suministros",IF(PL[[#This Row],[SC]]="SOCIAL","Social",IF(ISNUMBER(SEARCH("monolito",PL[[#This Row],[DESCRIPTION]])),"Monolitos","Varios")))))</f>
        <v>Suministros</v>
      </c>
      <c r="Q19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99" spans="1:17" hidden="1" x14ac:dyDescent="0.2">
      <c r="A199" s="75" t="s">
        <v>349</v>
      </c>
      <c r="B199" s="74" t="s">
        <v>8</v>
      </c>
      <c r="C199" s="52">
        <v>5</v>
      </c>
      <c r="D199" s="76" t="s">
        <v>3388</v>
      </c>
      <c r="E199" s="74"/>
      <c r="F199" s="74" t="s">
        <v>350</v>
      </c>
      <c r="G199" s="74" t="s">
        <v>49</v>
      </c>
      <c r="H199" s="74" t="s">
        <v>3460</v>
      </c>
      <c r="I199" s="74"/>
      <c r="J199" s="74" t="s">
        <v>11</v>
      </c>
      <c r="K199" s="74" t="s">
        <v>3393</v>
      </c>
      <c r="L199" s="74"/>
      <c r="M199" s="77"/>
      <c r="N199" s="74" t="str">
        <f>IF(ISNUMBER(PL[[#This Row],[CTO]]),"CTO "&amp;PL[[#This Row],[CTO]],"Otros")</f>
        <v>CTO 5</v>
      </c>
      <c r="O199" s="74" t="str">
        <f>IF(PL[[#This Row],[STATUS IUP]]="CERRADO","CERRADO",IF(ISNUMBER(SEARCH("validacion de enel",PL[[#This Row],[SUPPLIER NOTES]])),"PTE Validar Enel","ABIERTO"))</f>
        <v>ABIERTO</v>
      </c>
      <c r="P199" s="74" t="str">
        <f>IF(PL[[#This Row],[ESTADO]]="CERRADO","Cerrados IUP",IF(PL[[#This Row],[ESTADO]]="PTE Validar Enel","Pendiente cierre ENEL",IF(ISNUMBER(SEARCH("suministro",PL[[#This Row],[SUPPLIER NOTES]])),"Suministros",IF(PL[[#This Row],[SC]]="SOCIAL","Social",IF(ISNUMBER(SEARCH("monolito",PL[[#This Row],[DESCRIPTION]])),"Monolitos","Varios")))))</f>
        <v>Suministros</v>
      </c>
      <c r="Q19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00" spans="1:17" hidden="1" x14ac:dyDescent="0.2">
      <c r="A200" s="66" t="s">
        <v>245</v>
      </c>
      <c r="B200" s="67" t="s">
        <v>8</v>
      </c>
      <c r="C200" s="52">
        <v>5</v>
      </c>
      <c r="D200" s="68" t="s">
        <v>3388</v>
      </c>
      <c r="E200" s="67"/>
      <c r="F200" s="67" t="s">
        <v>246</v>
      </c>
      <c r="G200" s="82" t="s">
        <v>1289</v>
      </c>
      <c r="H200" s="90" t="s">
        <v>3463</v>
      </c>
      <c r="I200" s="67"/>
      <c r="J200" s="67" t="s">
        <v>11</v>
      </c>
      <c r="K200" s="67" t="s">
        <v>3393</v>
      </c>
      <c r="L200" s="67"/>
      <c r="M200" s="69"/>
      <c r="N200" s="67" t="str">
        <f>IF(ISNUMBER(PL[[#This Row],[CTO]]),"CTO "&amp;PL[[#This Row],[CTO]],"Otros")</f>
        <v>CTO 5</v>
      </c>
      <c r="O200" s="67" t="str">
        <f>IF(PL[[#This Row],[STATUS IUP]]="CERRADO","CERRADO",IF(ISNUMBER(SEARCH("validacion de enel",PL[[#This Row],[SUPPLIER NOTES]])),"PTE Validar Enel","ABIERTO"))</f>
        <v>ABIERTO</v>
      </c>
      <c r="P200" s="67" t="str">
        <f>IF(PL[[#This Row],[ESTADO]]="CERRADO","Cerrados IUP",IF(PL[[#This Row],[ESTADO]]="PTE Validar Enel","Pendiente cierre ENEL",IF(ISNUMBER(SEARCH("suministro",PL[[#This Row],[SUPPLIER NOTES]])),"Suministros",IF(PL[[#This Row],[SC]]="SOCIAL","Social",IF(ISNUMBER(SEARCH("monolito",PL[[#This Row],[DESCRIPTION]])),"Monolitos","Varios")))))</f>
        <v>Varios</v>
      </c>
      <c r="Q20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01" spans="1:17" hidden="1" x14ac:dyDescent="0.2">
      <c r="A201" s="116" t="s">
        <v>325</v>
      </c>
      <c r="B201" s="117" t="s">
        <v>8</v>
      </c>
      <c r="C201" s="52">
        <v>5</v>
      </c>
      <c r="D201" s="118" t="s">
        <v>3388</v>
      </c>
      <c r="E201" s="117"/>
      <c r="F201" s="117" t="s">
        <v>326</v>
      </c>
      <c r="G201" s="82" t="s">
        <v>128</v>
      </c>
      <c r="H201" s="90"/>
      <c r="I201" s="67"/>
      <c r="J201" s="67" t="s">
        <v>11</v>
      </c>
      <c r="K201" s="67" t="s">
        <v>3393</v>
      </c>
      <c r="L201" s="67"/>
      <c r="M201" s="69"/>
      <c r="N201" s="67" t="str">
        <f>IF(ISNUMBER(PL[[#This Row],[CTO]]),"CTO "&amp;PL[[#This Row],[CTO]],"Otros")</f>
        <v>CTO 5</v>
      </c>
      <c r="O201" s="67" t="str">
        <f>IF(PL[[#This Row],[STATUS IUP]]="CERRADO","CERRADO",IF(ISNUMBER(SEARCH("validacion de enel",PL[[#This Row],[SUPPLIER NOTES]])),"PTE Validar Enel","ABIERTO"))</f>
        <v>ABIERTO</v>
      </c>
      <c r="P201" s="67" t="str">
        <f>IF(PL[[#This Row],[ESTADO]]="CERRADO","Cerrados IUP",IF(PL[[#This Row],[ESTADO]]="PTE Validar Enel","Pendiente cierre ENEL",IF(ISNUMBER(SEARCH("suministro",PL[[#This Row],[SUPPLIER NOTES]])),"Suministros",IF(PL[[#This Row],[SC]]="SOCIAL","Social",IF(ISNUMBER(SEARCH("monolito",PL[[#This Row],[DESCRIPTION]])),"Monolitos","Varios")))))</f>
        <v>Varios</v>
      </c>
      <c r="Q20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02" spans="1:17" hidden="1" x14ac:dyDescent="0.2">
      <c r="A202" s="116" t="s">
        <v>327</v>
      </c>
      <c r="B202" s="117" t="s">
        <v>8</v>
      </c>
      <c r="C202" s="52">
        <v>5</v>
      </c>
      <c r="D202" s="118" t="s">
        <v>3388</v>
      </c>
      <c r="E202" s="117"/>
      <c r="F202" s="117" t="s">
        <v>328</v>
      </c>
      <c r="G202" s="82" t="s">
        <v>128</v>
      </c>
      <c r="H202" s="90"/>
      <c r="I202" s="67"/>
      <c r="J202" s="67" t="s">
        <v>11</v>
      </c>
      <c r="K202" s="67" t="s">
        <v>3393</v>
      </c>
      <c r="L202" s="67"/>
      <c r="M202" s="69"/>
      <c r="N202" s="67" t="str">
        <f>IF(ISNUMBER(PL[[#This Row],[CTO]]),"CTO "&amp;PL[[#This Row],[CTO]],"Otros")</f>
        <v>CTO 5</v>
      </c>
      <c r="O202" s="67" t="str">
        <f>IF(PL[[#This Row],[STATUS IUP]]="CERRADO","CERRADO",IF(ISNUMBER(SEARCH("validacion de enel",PL[[#This Row],[SUPPLIER NOTES]])),"PTE Validar Enel","ABIERTO"))</f>
        <v>ABIERTO</v>
      </c>
      <c r="P202" s="67" t="str">
        <f>IF(PL[[#This Row],[ESTADO]]="CERRADO","Cerrados IUP",IF(PL[[#This Row],[ESTADO]]="PTE Validar Enel","Pendiente cierre ENEL",IF(ISNUMBER(SEARCH("suministro",PL[[#This Row],[SUPPLIER NOTES]])),"Suministros",IF(PL[[#This Row],[SC]]="SOCIAL","Social",IF(ISNUMBER(SEARCH("monolito",PL[[#This Row],[DESCRIPTION]])),"Monolitos","Varios")))))</f>
        <v>Varios</v>
      </c>
      <c r="Q20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03" spans="1:17" s="157" customFormat="1" hidden="1" x14ac:dyDescent="0.2">
      <c r="A203" s="151" t="s">
        <v>937</v>
      </c>
      <c r="B203" s="154" t="s">
        <v>41</v>
      </c>
      <c r="C203" s="152">
        <v>5</v>
      </c>
      <c r="D203" s="154" t="s">
        <v>3388</v>
      </c>
      <c r="E203" s="153" t="s">
        <v>3392</v>
      </c>
      <c r="F203" s="154" t="s">
        <v>938</v>
      </c>
      <c r="G203" s="154" t="s">
        <v>49</v>
      </c>
      <c r="H203" s="154"/>
      <c r="I203" s="154"/>
      <c r="J203" s="154" t="s">
        <v>74</v>
      </c>
      <c r="K203" s="154" t="s">
        <v>3394</v>
      </c>
      <c r="L203" s="154"/>
      <c r="M203" s="156"/>
      <c r="N203" s="154" t="str">
        <f>IF(ISNUMBER(PL[[#This Row],[CTO]]),"CTO "&amp;PL[[#This Row],[CTO]],"Otros")</f>
        <v>CTO 5</v>
      </c>
      <c r="O203" s="154" t="str">
        <f>IF(PL[[#This Row],[STATUS IUP]]="CERRADO","CERRADO",IF(ISNUMBER(SEARCH("validacion de enel",PL[[#This Row],[SUPPLIER NOTES]])),"PTE Validar Enel","ABIERTO"))</f>
        <v>CERRADO</v>
      </c>
      <c r="P203" s="154" t="str">
        <f>IF(PL[[#This Row],[ESTADO]]="CERRADO","Cerrados IUP",IF(PL[[#This Row],[ESTADO]]="PTE Validar Enel","Pendiente cierre ENEL",IF(ISNUMBER(SEARCH("suministro",PL[[#This Row],[SUPPLIER NOTES]])),"Suministros",IF(PL[[#This Row],[SC]]="SOCIAL","Social",IF(ISNUMBER(SEARCH("monolito",PL[[#This Row],[DESCRIPTION]])),"Monolitos","Varios")))))</f>
        <v>Cerrados IUP</v>
      </c>
      <c r="Q2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4" spans="1:17" s="157" customFormat="1" hidden="1" x14ac:dyDescent="0.2">
      <c r="A204" s="151" t="s">
        <v>939</v>
      </c>
      <c r="B204" s="154" t="s">
        <v>41</v>
      </c>
      <c r="C204" s="152">
        <v>5</v>
      </c>
      <c r="D204" s="154" t="s">
        <v>3388</v>
      </c>
      <c r="E204" s="153" t="s">
        <v>3392</v>
      </c>
      <c r="F204" s="154" t="s">
        <v>940</v>
      </c>
      <c r="G204" s="154" t="s">
        <v>49</v>
      </c>
      <c r="H204" s="154"/>
      <c r="I204" s="154"/>
      <c r="J204" s="154" t="s">
        <v>74</v>
      </c>
      <c r="K204" s="154" t="s">
        <v>3394</v>
      </c>
      <c r="L204" s="154"/>
      <c r="M204" s="156"/>
      <c r="N204" s="154" t="str">
        <f>IF(ISNUMBER(PL[[#This Row],[CTO]]),"CTO "&amp;PL[[#This Row],[CTO]],"Otros")</f>
        <v>CTO 5</v>
      </c>
      <c r="O204" s="154" t="str">
        <f>IF(PL[[#This Row],[STATUS IUP]]="CERRADO","CERRADO",IF(ISNUMBER(SEARCH("validacion de enel",PL[[#This Row],[SUPPLIER NOTES]])),"PTE Validar Enel","ABIERTO"))</f>
        <v>CERRADO</v>
      </c>
      <c r="P204" s="154" t="str">
        <f>IF(PL[[#This Row],[ESTADO]]="CERRADO","Cerrados IUP",IF(PL[[#This Row],[ESTADO]]="PTE Validar Enel","Pendiente cierre ENEL",IF(ISNUMBER(SEARCH("suministro",PL[[#This Row],[SUPPLIER NOTES]])),"Suministros",IF(PL[[#This Row],[SC]]="SOCIAL","Social",IF(ISNUMBER(SEARCH("monolito",PL[[#This Row],[DESCRIPTION]])),"Monolitos","Varios")))))</f>
        <v>Cerrados IUP</v>
      </c>
      <c r="Q2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5" spans="1:17" s="157" customFormat="1" hidden="1" x14ac:dyDescent="0.2">
      <c r="A205" s="151" t="s">
        <v>941</v>
      </c>
      <c r="B205" s="154" t="s">
        <v>41</v>
      </c>
      <c r="C205" s="152">
        <v>5</v>
      </c>
      <c r="D205" s="154" t="s">
        <v>3388</v>
      </c>
      <c r="E205" s="153" t="s">
        <v>3392</v>
      </c>
      <c r="F205" s="154" t="s">
        <v>942</v>
      </c>
      <c r="G205" s="154" t="s">
        <v>49</v>
      </c>
      <c r="H205" s="154"/>
      <c r="I205" s="154"/>
      <c r="J205" s="154" t="s">
        <v>74</v>
      </c>
      <c r="K205" s="154" t="s">
        <v>3394</v>
      </c>
      <c r="L205" s="154"/>
      <c r="M205" s="156"/>
      <c r="N205" s="154" t="str">
        <f>IF(ISNUMBER(PL[[#This Row],[CTO]]),"CTO "&amp;PL[[#This Row],[CTO]],"Otros")</f>
        <v>CTO 5</v>
      </c>
      <c r="O205" s="154" t="str">
        <f>IF(PL[[#This Row],[STATUS IUP]]="CERRADO","CERRADO",IF(ISNUMBER(SEARCH("validacion de enel",PL[[#This Row],[SUPPLIER NOTES]])),"PTE Validar Enel","ABIERTO"))</f>
        <v>CERRADO</v>
      </c>
      <c r="P205" s="154" t="str">
        <f>IF(PL[[#This Row],[ESTADO]]="CERRADO","Cerrados IUP",IF(PL[[#This Row],[ESTADO]]="PTE Validar Enel","Pendiente cierre ENEL",IF(ISNUMBER(SEARCH("suministro",PL[[#This Row],[SUPPLIER NOTES]])),"Suministros",IF(PL[[#This Row],[SC]]="SOCIAL","Social",IF(ISNUMBER(SEARCH("monolito",PL[[#This Row],[DESCRIPTION]])),"Monolitos","Varios")))))</f>
        <v>Cerrados IUP</v>
      </c>
      <c r="Q2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6" spans="1:17" s="157" customFormat="1" hidden="1" x14ac:dyDescent="0.2">
      <c r="A206" s="151" t="s">
        <v>943</v>
      </c>
      <c r="B206" s="154" t="s">
        <v>41</v>
      </c>
      <c r="C206" s="152">
        <v>5</v>
      </c>
      <c r="D206" s="154" t="s">
        <v>3388</v>
      </c>
      <c r="E206" s="153" t="s">
        <v>3392</v>
      </c>
      <c r="F206" s="154" t="s">
        <v>944</v>
      </c>
      <c r="G206" s="154" t="s">
        <v>49</v>
      </c>
      <c r="H206" s="154"/>
      <c r="I206" s="154"/>
      <c r="J206" s="154" t="s">
        <v>74</v>
      </c>
      <c r="K206" s="154" t="s">
        <v>3394</v>
      </c>
      <c r="L206" s="154"/>
      <c r="M206" s="156"/>
      <c r="N206" s="154" t="str">
        <f>IF(ISNUMBER(PL[[#This Row],[CTO]]),"CTO "&amp;PL[[#This Row],[CTO]],"Otros")</f>
        <v>CTO 5</v>
      </c>
      <c r="O206" s="154" t="str">
        <f>IF(PL[[#This Row],[STATUS IUP]]="CERRADO","CERRADO",IF(ISNUMBER(SEARCH("validacion de enel",PL[[#This Row],[SUPPLIER NOTES]])),"PTE Validar Enel","ABIERTO"))</f>
        <v>CERRADO</v>
      </c>
      <c r="P206" s="154" t="str">
        <f>IF(PL[[#This Row],[ESTADO]]="CERRADO","Cerrados IUP",IF(PL[[#This Row],[ESTADO]]="PTE Validar Enel","Pendiente cierre ENEL",IF(ISNUMBER(SEARCH("suministro",PL[[#This Row],[SUPPLIER NOTES]])),"Suministros",IF(PL[[#This Row],[SC]]="SOCIAL","Social",IF(ISNUMBER(SEARCH("monolito",PL[[#This Row],[DESCRIPTION]])),"Monolitos","Varios")))))</f>
        <v>Cerrados IUP</v>
      </c>
      <c r="Q2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7" spans="1:17" s="157" customFormat="1" hidden="1" x14ac:dyDescent="0.2">
      <c r="A207" s="151" t="s">
        <v>945</v>
      </c>
      <c r="B207" s="154" t="s">
        <v>41</v>
      </c>
      <c r="C207" s="152">
        <v>5</v>
      </c>
      <c r="D207" s="154" t="s">
        <v>3388</v>
      </c>
      <c r="E207" s="153" t="s">
        <v>3392</v>
      </c>
      <c r="F207" s="154" t="s">
        <v>946</v>
      </c>
      <c r="G207" s="154" t="s">
        <v>49</v>
      </c>
      <c r="H207" s="154"/>
      <c r="I207" s="154"/>
      <c r="J207" s="154" t="s">
        <v>74</v>
      </c>
      <c r="K207" s="154" t="s">
        <v>3394</v>
      </c>
      <c r="L207" s="154"/>
      <c r="M207" s="156"/>
      <c r="N207" s="154" t="str">
        <f>IF(ISNUMBER(PL[[#This Row],[CTO]]),"CTO "&amp;PL[[#This Row],[CTO]],"Otros")</f>
        <v>CTO 5</v>
      </c>
      <c r="O207" s="154" t="str">
        <f>IF(PL[[#This Row],[STATUS IUP]]="CERRADO","CERRADO",IF(ISNUMBER(SEARCH("validacion de enel",PL[[#This Row],[SUPPLIER NOTES]])),"PTE Validar Enel","ABIERTO"))</f>
        <v>CERRADO</v>
      </c>
      <c r="P207" s="154" t="str">
        <f>IF(PL[[#This Row],[ESTADO]]="CERRADO","Cerrados IUP",IF(PL[[#This Row],[ESTADO]]="PTE Validar Enel","Pendiente cierre ENEL",IF(ISNUMBER(SEARCH("suministro",PL[[#This Row],[SUPPLIER NOTES]])),"Suministros",IF(PL[[#This Row],[SC]]="SOCIAL","Social",IF(ISNUMBER(SEARCH("monolito",PL[[#This Row],[DESCRIPTION]])),"Monolitos","Varios")))))</f>
        <v>Cerrados IUP</v>
      </c>
      <c r="Q2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8" spans="1:17" hidden="1" x14ac:dyDescent="0.2">
      <c r="A208" s="75" t="s">
        <v>947</v>
      </c>
      <c r="B208" s="74" t="s">
        <v>41</v>
      </c>
      <c r="C208" s="52">
        <v>5</v>
      </c>
      <c r="D208" s="74" t="s">
        <v>3388</v>
      </c>
      <c r="E208" s="76" t="s">
        <v>3392</v>
      </c>
      <c r="F208" s="74" t="s">
        <v>948</v>
      </c>
      <c r="G208" s="74" t="s">
        <v>49</v>
      </c>
      <c r="H208" s="74" t="s">
        <v>3462</v>
      </c>
      <c r="I208" s="74"/>
      <c r="J208" s="74" t="s">
        <v>11</v>
      </c>
      <c r="K208" s="74" t="s">
        <v>3393</v>
      </c>
      <c r="L208" s="74"/>
      <c r="M208" s="77"/>
      <c r="N208" s="74" t="str">
        <f>IF(ISNUMBER(PL[[#This Row],[CTO]]),"CTO "&amp;PL[[#This Row],[CTO]],"Otros")</f>
        <v>CTO 5</v>
      </c>
      <c r="O208" s="74" t="str">
        <f>IF(PL[[#This Row],[STATUS IUP]]="CERRADO","CERRADO",IF(ISNUMBER(SEARCH("validacion de enel",PL[[#This Row],[SUPPLIER NOTES]])),"PTE Validar Enel","ABIERTO"))</f>
        <v>ABIERTO</v>
      </c>
      <c r="P208" s="74" t="str">
        <f>IF(PL[[#This Row],[ESTADO]]="CERRADO","Cerrados IUP",IF(PL[[#This Row],[ESTADO]]="PTE Validar Enel","Pendiente cierre ENEL",IF(ISNUMBER(SEARCH("suministro",PL[[#This Row],[SUPPLIER NOTES]])),"Suministros",IF(PL[[#This Row],[SC]]="SOCIAL","Social",IF(ISNUMBER(SEARCH("monolito",PL[[#This Row],[DESCRIPTION]])),"Monolitos","Varios")))))</f>
        <v>Suministros</v>
      </c>
      <c r="Q20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09" spans="1:17" s="157" customFormat="1" hidden="1" x14ac:dyDescent="0.2">
      <c r="A209" s="151" t="s">
        <v>949</v>
      </c>
      <c r="B209" s="154" t="s">
        <v>41</v>
      </c>
      <c r="C209" s="152">
        <v>5</v>
      </c>
      <c r="D209" s="154" t="s">
        <v>3388</v>
      </c>
      <c r="E209" s="153" t="s">
        <v>3392</v>
      </c>
      <c r="F209" s="154" t="s">
        <v>950</v>
      </c>
      <c r="G209" s="154" t="s">
        <v>49</v>
      </c>
      <c r="H209" s="154"/>
      <c r="I209" s="154"/>
      <c r="J209" s="154" t="s">
        <v>74</v>
      </c>
      <c r="K209" s="154" t="s">
        <v>3394</v>
      </c>
      <c r="L209" s="154"/>
      <c r="M209" s="156"/>
      <c r="N209" s="154" t="str">
        <f>IF(ISNUMBER(PL[[#This Row],[CTO]]),"CTO "&amp;PL[[#This Row],[CTO]],"Otros")</f>
        <v>CTO 5</v>
      </c>
      <c r="O209" s="154" t="str">
        <f>IF(PL[[#This Row],[STATUS IUP]]="CERRADO","CERRADO",IF(ISNUMBER(SEARCH("validacion de enel",PL[[#This Row],[SUPPLIER NOTES]])),"PTE Validar Enel","ABIERTO"))</f>
        <v>CERRADO</v>
      </c>
      <c r="P209" s="154" t="str">
        <f>IF(PL[[#This Row],[ESTADO]]="CERRADO","Cerrados IUP",IF(PL[[#This Row],[ESTADO]]="PTE Validar Enel","Pendiente cierre ENEL",IF(ISNUMBER(SEARCH("suministro",PL[[#This Row],[SUPPLIER NOTES]])),"Suministros",IF(PL[[#This Row],[SC]]="SOCIAL","Social",IF(ISNUMBER(SEARCH("monolito",PL[[#This Row],[DESCRIPTION]])),"Monolitos","Varios")))))</f>
        <v>Cerrados IUP</v>
      </c>
      <c r="Q2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10" spans="1:17" x14ac:dyDescent="0.2">
      <c r="A210" s="75" t="s">
        <v>1192</v>
      </c>
      <c r="B210" s="74" t="s">
        <v>8</v>
      </c>
      <c r="C210" s="52">
        <v>5</v>
      </c>
      <c r="D210" s="76" t="s">
        <v>3388</v>
      </c>
      <c r="E210" s="74"/>
      <c r="F210" s="74" t="s">
        <v>1193</v>
      </c>
      <c r="G210" s="74" t="s">
        <v>43</v>
      </c>
      <c r="H210" s="74" t="s">
        <v>3460</v>
      </c>
      <c r="I210" s="74"/>
      <c r="J210" s="74" t="s">
        <v>11</v>
      </c>
      <c r="K210" s="74" t="s">
        <v>3393</v>
      </c>
      <c r="L210" s="74"/>
      <c r="M210" s="77"/>
      <c r="N210" s="74" t="str">
        <f>IF(ISNUMBER(PL[[#This Row],[CTO]]),"CTO "&amp;PL[[#This Row],[CTO]],"Otros")</f>
        <v>CTO 5</v>
      </c>
      <c r="O210" s="74" t="str">
        <f>IF(PL[[#This Row],[STATUS IUP]]="CERRADO","CERRADO",IF(ISNUMBER(SEARCH("validacion de enel",PL[[#This Row],[SUPPLIER NOTES]])),"PTE Validar Enel","ABIERTO"))</f>
        <v>ABIERTO</v>
      </c>
      <c r="P210" s="74" t="str">
        <f>IF(PL[[#This Row],[ESTADO]]="CERRADO","Cerrados IUP",IF(PL[[#This Row],[ESTADO]]="PTE Validar Enel","Pendiente cierre ENEL",IF(ISNUMBER(SEARCH("suministro",PL[[#This Row],[SUPPLIER NOTES]])),"Suministros",IF(PL[[#This Row],[SC]]="SOCIAL","Social",IF(ISNUMBER(SEARCH("monolito",PL[[#This Row],[DESCRIPTION]])),"Monolitos","Varios")))))</f>
        <v>Suministros</v>
      </c>
      <c r="Q21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211" spans="1:17" ht="32" hidden="1" x14ac:dyDescent="0.2">
      <c r="A211" s="86" t="s">
        <v>357</v>
      </c>
      <c r="B211" s="115" t="s">
        <v>8</v>
      </c>
      <c r="C211" s="52">
        <v>5</v>
      </c>
      <c r="D211" s="88" t="s">
        <v>3389</v>
      </c>
      <c r="E211" s="87"/>
      <c r="F211" s="115" t="s">
        <v>358</v>
      </c>
      <c r="G211" s="82" t="s">
        <v>1289</v>
      </c>
      <c r="H211" s="87" t="s">
        <v>3454</v>
      </c>
      <c r="I211" s="87"/>
      <c r="J211" s="87" t="s">
        <v>11</v>
      </c>
      <c r="K211" s="87" t="s">
        <v>3393</v>
      </c>
      <c r="L211" s="87"/>
      <c r="M211" s="89"/>
      <c r="N211" s="87" t="str">
        <f>IF(ISNUMBER(PL[[#This Row],[CTO]]),"CTO "&amp;PL[[#This Row],[CTO]],"Otros")</f>
        <v>CTO 5</v>
      </c>
      <c r="O211" s="87" t="str">
        <f>IF(PL[[#This Row],[STATUS IUP]]="CERRADO","CERRADO",IF(ISNUMBER(SEARCH("validacion de enel",PL[[#This Row],[SUPPLIER NOTES]])),"PTE Validar Enel","ABIERTO"))</f>
        <v>PTE Validar Enel</v>
      </c>
      <c r="P21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21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2" spans="1:17" ht="32" hidden="1" x14ac:dyDescent="0.2">
      <c r="A212" s="86" t="s">
        <v>363</v>
      </c>
      <c r="B212" s="115" t="s">
        <v>8</v>
      </c>
      <c r="C212" s="52">
        <v>5</v>
      </c>
      <c r="D212" s="88" t="s">
        <v>3389</v>
      </c>
      <c r="E212" s="87"/>
      <c r="F212" s="115" t="s">
        <v>364</v>
      </c>
      <c r="G212" s="87" t="s">
        <v>108</v>
      </c>
      <c r="H212" s="87" t="s">
        <v>3454</v>
      </c>
      <c r="I212" s="87"/>
      <c r="J212" s="87" t="s">
        <v>11</v>
      </c>
      <c r="K212" s="87" t="s">
        <v>3393</v>
      </c>
      <c r="L212" s="87"/>
      <c r="M212" s="89"/>
      <c r="N212" s="87" t="str">
        <f>IF(ISNUMBER(PL[[#This Row],[CTO]]),"CTO "&amp;PL[[#This Row],[CTO]],"Otros")</f>
        <v>CTO 5</v>
      </c>
      <c r="O212" s="87" t="str">
        <f>IF(PL[[#This Row],[STATUS IUP]]="CERRADO","CERRADO",IF(ISNUMBER(SEARCH("validacion de enel",PL[[#This Row],[SUPPLIER NOTES]])),"PTE Validar Enel","ABIERTO"))</f>
        <v>PTE Validar Enel</v>
      </c>
      <c r="P21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21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3" spans="1:17" ht="48" hidden="1" x14ac:dyDescent="0.2">
      <c r="A213" s="86" t="s">
        <v>367</v>
      </c>
      <c r="B213" s="115" t="s">
        <v>8</v>
      </c>
      <c r="C213" s="52">
        <v>5</v>
      </c>
      <c r="D213" s="88" t="s">
        <v>3389</v>
      </c>
      <c r="E213" s="87"/>
      <c r="F213" s="115" t="s">
        <v>368</v>
      </c>
      <c r="G213" s="87" t="s">
        <v>108</v>
      </c>
      <c r="H213" s="87" t="s">
        <v>3454</v>
      </c>
      <c r="I213" s="87"/>
      <c r="J213" s="87" t="s">
        <v>11</v>
      </c>
      <c r="K213" s="87" t="s">
        <v>3393</v>
      </c>
      <c r="L213" s="87"/>
      <c r="M213" s="89"/>
      <c r="N213" s="87" t="str">
        <f>IF(ISNUMBER(PL[[#This Row],[CTO]]),"CTO "&amp;PL[[#This Row],[CTO]],"Otros")</f>
        <v>CTO 5</v>
      </c>
      <c r="O213" s="87" t="str">
        <f>IF(PL[[#This Row],[STATUS IUP]]="CERRADO","CERRADO",IF(ISNUMBER(SEARCH("validacion de enel",PL[[#This Row],[SUPPLIER NOTES]])),"PTE Validar Enel","ABIERTO"))</f>
        <v>PTE Validar Enel</v>
      </c>
      <c r="P21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21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4" spans="1:17" s="157" customFormat="1" hidden="1" x14ac:dyDescent="0.2">
      <c r="A214" s="151" t="s">
        <v>375</v>
      </c>
      <c r="B214" s="154" t="s">
        <v>8</v>
      </c>
      <c r="C214" s="152">
        <v>5</v>
      </c>
      <c r="D214" s="153" t="s">
        <v>3389</v>
      </c>
      <c r="E214" s="154"/>
      <c r="F214" s="154" t="s">
        <v>376</v>
      </c>
      <c r="G214" s="154" t="s">
        <v>1289</v>
      </c>
      <c r="H214" s="154"/>
      <c r="I214" s="154"/>
      <c r="J214" s="154" t="s">
        <v>74</v>
      </c>
      <c r="K214" s="154" t="s">
        <v>3394</v>
      </c>
      <c r="L214" s="155">
        <v>46293</v>
      </c>
      <c r="M214" s="156"/>
      <c r="N214" s="154" t="str">
        <f>IF(ISNUMBER(PL[[#This Row],[CTO]]),"CTO "&amp;PL[[#This Row],[CTO]],"Otros")</f>
        <v>CTO 5</v>
      </c>
      <c r="O214" s="154" t="str">
        <f>IF(PL[[#This Row],[STATUS IUP]]="CERRADO","CERRADO",IF(ISNUMBER(SEARCH("validacion de enel",PL[[#This Row],[SUPPLIER NOTES]])),"PTE Validar Enel","ABIERTO"))</f>
        <v>CERRADO</v>
      </c>
      <c r="P214" s="154" t="str">
        <f>IF(PL[[#This Row],[ESTADO]]="CERRADO","Cerrados IUP",IF(PL[[#This Row],[ESTADO]]="PTE Validar Enel","Pendiente cierre ENEL",IF(ISNUMBER(SEARCH("suministro",PL[[#This Row],[SUPPLIER NOTES]])),"Suministros",IF(PL[[#This Row],[SC]]="SOCIAL","Social",IF(ISNUMBER(SEARCH("monolito",PL[[#This Row],[DESCRIPTION]])),"Monolitos","Varios")))))</f>
        <v>Cerrados IUP</v>
      </c>
      <c r="Q2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5" spans="1:17" ht="32" hidden="1" x14ac:dyDescent="0.2">
      <c r="A215" s="86" t="s">
        <v>385</v>
      </c>
      <c r="B215" s="115" t="s">
        <v>8</v>
      </c>
      <c r="C215" s="52">
        <v>5</v>
      </c>
      <c r="D215" s="88" t="s">
        <v>3389</v>
      </c>
      <c r="E215" s="87"/>
      <c r="F215" s="115" t="s">
        <v>386</v>
      </c>
      <c r="G215" s="82" t="s">
        <v>1289</v>
      </c>
      <c r="H215" s="87" t="s">
        <v>3454</v>
      </c>
      <c r="I215" s="87"/>
      <c r="J215" s="87" t="s">
        <v>11</v>
      </c>
      <c r="K215" s="87" t="s">
        <v>3393</v>
      </c>
      <c r="L215" s="87"/>
      <c r="M215" s="89"/>
      <c r="N215" s="87" t="str">
        <f>IF(ISNUMBER(PL[[#This Row],[CTO]]),"CTO "&amp;PL[[#This Row],[CTO]],"Otros")</f>
        <v>CTO 5</v>
      </c>
      <c r="O215" s="87" t="str">
        <f>IF(PL[[#This Row],[STATUS IUP]]="CERRADO","CERRADO",IF(ISNUMBER(SEARCH("validacion de enel",PL[[#This Row],[SUPPLIER NOTES]])),"PTE Validar Enel","ABIERTO"))</f>
        <v>PTE Validar Enel</v>
      </c>
      <c r="P21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21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6" spans="1:17" s="157" customFormat="1" hidden="1" x14ac:dyDescent="0.2">
      <c r="A216" s="151" t="s">
        <v>351</v>
      </c>
      <c r="B216" s="154" t="s">
        <v>8</v>
      </c>
      <c r="C216" s="152">
        <v>5</v>
      </c>
      <c r="D216" s="153" t="s">
        <v>3389</v>
      </c>
      <c r="E216" s="154"/>
      <c r="F216" s="154" t="s">
        <v>352</v>
      </c>
      <c r="G216" s="154" t="s">
        <v>1290</v>
      </c>
      <c r="H216" s="154" t="s">
        <v>163</v>
      </c>
      <c r="I216" s="154" t="s">
        <v>163</v>
      </c>
      <c r="J216" s="154" t="s">
        <v>74</v>
      </c>
      <c r="K216" s="154" t="s">
        <v>3394</v>
      </c>
      <c r="L216" s="161">
        <v>46231</v>
      </c>
      <c r="M216" s="160">
        <v>46231</v>
      </c>
      <c r="N216" s="154" t="str">
        <f>IF(ISNUMBER(PL[[#This Row],[CTO]]),"CTO "&amp;PL[[#This Row],[CTO]],"Otros")</f>
        <v>CTO 5</v>
      </c>
      <c r="O216" s="154" t="str">
        <f>IF(PL[[#This Row],[STATUS IUP]]="CERRADO","CERRADO",IF(ISNUMBER(SEARCH("validacion de enel",PL[[#This Row],[SUPPLIER NOTES]])),"PTE Validar Enel","ABIERTO"))</f>
        <v>CERRADO</v>
      </c>
      <c r="P216" s="154" t="str">
        <f>IF(PL[[#This Row],[ESTADO]]="CERRADO","Cerrados IUP",IF(PL[[#This Row],[ESTADO]]="PTE Validar Enel","Pendiente cierre ENEL",IF(ISNUMBER(SEARCH("suministro",PL[[#This Row],[SUPPLIER NOTES]])),"Suministros",IF(PL[[#This Row],[SC]]="SOCIAL","Social",IF(ISNUMBER(SEARCH("monolito",PL[[#This Row],[DESCRIPTION]])),"Monolitos","Varios")))))</f>
        <v>Cerrados IUP</v>
      </c>
      <c r="Q2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7" spans="1:17" s="157" customFormat="1" hidden="1" x14ac:dyDescent="0.2">
      <c r="A217" s="151" t="s">
        <v>353</v>
      </c>
      <c r="B217" s="154" t="s">
        <v>8</v>
      </c>
      <c r="C217" s="152">
        <v>5</v>
      </c>
      <c r="D217" s="153" t="s">
        <v>3389</v>
      </c>
      <c r="E217" s="154"/>
      <c r="F217" s="154" t="s">
        <v>354</v>
      </c>
      <c r="G217" s="154" t="s">
        <v>1290</v>
      </c>
      <c r="H217" s="154"/>
      <c r="I217" s="154"/>
      <c r="J217" s="154" t="s">
        <v>74</v>
      </c>
      <c r="K217" s="154" t="s">
        <v>3394</v>
      </c>
      <c r="L217" s="154"/>
      <c r="M217" s="156"/>
      <c r="N217" s="154" t="str">
        <f>IF(ISNUMBER(PL[[#This Row],[CTO]]),"CTO "&amp;PL[[#This Row],[CTO]],"Otros")</f>
        <v>CTO 5</v>
      </c>
      <c r="O217" s="154" t="str">
        <f>IF(PL[[#This Row],[STATUS IUP]]="CERRADO","CERRADO",IF(ISNUMBER(SEARCH("validacion de enel",PL[[#This Row],[SUPPLIER NOTES]])),"PTE Validar Enel","ABIERTO"))</f>
        <v>CERRADO</v>
      </c>
      <c r="P217" s="154" t="str">
        <f>IF(PL[[#This Row],[ESTADO]]="CERRADO","Cerrados IUP",IF(PL[[#This Row],[ESTADO]]="PTE Validar Enel","Pendiente cierre ENEL",IF(ISNUMBER(SEARCH("suministro",PL[[#This Row],[SUPPLIER NOTES]])),"Suministros",IF(PL[[#This Row],[SC]]="SOCIAL","Social",IF(ISNUMBER(SEARCH("monolito",PL[[#This Row],[DESCRIPTION]])),"Monolitos","Varios")))))</f>
        <v>Cerrados IUP</v>
      </c>
      <c r="Q2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8" spans="1:17" s="157" customFormat="1" hidden="1" x14ac:dyDescent="0.2">
      <c r="A218" s="151" t="s">
        <v>355</v>
      </c>
      <c r="B218" s="154" t="s">
        <v>8</v>
      </c>
      <c r="C218" s="152">
        <v>5</v>
      </c>
      <c r="D218" s="153" t="s">
        <v>3389</v>
      </c>
      <c r="E218" s="154"/>
      <c r="F218" s="154" t="s">
        <v>356</v>
      </c>
      <c r="G218" s="154" t="s">
        <v>108</v>
      </c>
      <c r="H218" s="154"/>
      <c r="I218" s="154"/>
      <c r="J218" s="154" t="s">
        <v>74</v>
      </c>
      <c r="K218" s="154" t="s">
        <v>3394</v>
      </c>
      <c r="L218" s="154"/>
      <c r="M218" s="156"/>
      <c r="N218" s="154" t="str">
        <f>IF(ISNUMBER(PL[[#This Row],[CTO]]),"CTO "&amp;PL[[#This Row],[CTO]],"Otros")</f>
        <v>CTO 5</v>
      </c>
      <c r="O218" s="154" t="str">
        <f>IF(PL[[#This Row],[STATUS IUP]]="CERRADO","CERRADO",IF(ISNUMBER(SEARCH("validacion de enel",PL[[#This Row],[SUPPLIER NOTES]])),"PTE Validar Enel","ABIERTO"))</f>
        <v>CERRADO</v>
      </c>
      <c r="P218" s="154" t="str">
        <f>IF(PL[[#This Row],[ESTADO]]="CERRADO","Cerrados IUP",IF(PL[[#This Row],[ESTADO]]="PTE Validar Enel","Pendiente cierre ENEL",IF(ISNUMBER(SEARCH("suministro",PL[[#This Row],[SUPPLIER NOTES]])),"Suministros",IF(PL[[#This Row],[SC]]="SOCIAL","Social",IF(ISNUMBER(SEARCH("monolito",PL[[#This Row],[DESCRIPTION]])),"Monolitos","Varios")))))</f>
        <v>Cerrados IUP</v>
      </c>
      <c r="Q2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19" spans="1:17" s="157" customFormat="1" hidden="1" x14ac:dyDescent="0.2">
      <c r="A219" s="151" t="s">
        <v>359</v>
      </c>
      <c r="B219" s="154" t="s">
        <v>8</v>
      </c>
      <c r="C219" s="152">
        <v>5</v>
      </c>
      <c r="D219" s="153" t="s">
        <v>3389</v>
      </c>
      <c r="E219" s="154"/>
      <c r="F219" s="154" t="s">
        <v>360</v>
      </c>
      <c r="G219" s="154" t="s">
        <v>1290</v>
      </c>
      <c r="H219" s="154"/>
      <c r="I219" s="154"/>
      <c r="J219" s="154" t="s">
        <v>74</v>
      </c>
      <c r="K219" s="154" t="s">
        <v>3394</v>
      </c>
      <c r="L219" s="154"/>
      <c r="M219" s="156"/>
      <c r="N219" s="154" t="str">
        <f>IF(ISNUMBER(PL[[#This Row],[CTO]]),"CTO "&amp;PL[[#This Row],[CTO]],"Otros")</f>
        <v>CTO 5</v>
      </c>
      <c r="O219" s="154" t="str">
        <f>IF(PL[[#This Row],[STATUS IUP]]="CERRADO","CERRADO",IF(ISNUMBER(SEARCH("validacion de enel",PL[[#This Row],[SUPPLIER NOTES]])),"PTE Validar Enel","ABIERTO"))</f>
        <v>CERRADO</v>
      </c>
      <c r="P219" s="154" t="str">
        <f>IF(PL[[#This Row],[ESTADO]]="CERRADO","Cerrados IUP",IF(PL[[#This Row],[ESTADO]]="PTE Validar Enel","Pendiente cierre ENEL",IF(ISNUMBER(SEARCH("suministro",PL[[#This Row],[SUPPLIER NOTES]])),"Suministros",IF(PL[[#This Row],[SC]]="SOCIAL","Social",IF(ISNUMBER(SEARCH("monolito",PL[[#This Row],[DESCRIPTION]])),"Monolitos","Varios")))))</f>
        <v>Cerrados IUP</v>
      </c>
      <c r="Q2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0" spans="1:17" s="157" customFormat="1" hidden="1" x14ac:dyDescent="0.2">
      <c r="A220" s="151" t="s">
        <v>361</v>
      </c>
      <c r="B220" s="154" t="s">
        <v>8</v>
      </c>
      <c r="C220" s="152">
        <v>5</v>
      </c>
      <c r="D220" s="153" t="s">
        <v>3389</v>
      </c>
      <c r="E220" s="154"/>
      <c r="F220" s="154" t="s">
        <v>362</v>
      </c>
      <c r="G220" s="154" t="s">
        <v>43</v>
      </c>
      <c r="H220" s="154"/>
      <c r="I220" s="154"/>
      <c r="J220" s="154" t="s">
        <v>74</v>
      </c>
      <c r="K220" s="154" t="s">
        <v>3394</v>
      </c>
      <c r="L220" s="154"/>
      <c r="M220" s="156"/>
      <c r="N220" s="154" t="str">
        <f>IF(ISNUMBER(PL[[#This Row],[CTO]]),"CTO "&amp;PL[[#This Row],[CTO]],"Otros")</f>
        <v>CTO 5</v>
      </c>
      <c r="O220" s="154" t="str">
        <f>IF(PL[[#This Row],[STATUS IUP]]="CERRADO","CERRADO",IF(ISNUMBER(SEARCH("validacion de enel",PL[[#This Row],[SUPPLIER NOTES]])),"PTE Validar Enel","ABIERTO"))</f>
        <v>CERRADO</v>
      </c>
      <c r="P220" s="154" t="str">
        <f>IF(PL[[#This Row],[ESTADO]]="CERRADO","Cerrados IUP",IF(PL[[#This Row],[ESTADO]]="PTE Validar Enel","Pendiente cierre ENEL",IF(ISNUMBER(SEARCH("suministro",PL[[#This Row],[SUPPLIER NOTES]])),"Suministros",IF(PL[[#This Row],[SC]]="SOCIAL","Social",IF(ISNUMBER(SEARCH("monolito",PL[[#This Row],[DESCRIPTION]])),"Monolitos","Varios")))))</f>
        <v>Cerrados IUP</v>
      </c>
      <c r="Q2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221" spans="1:17" s="157" customFormat="1" hidden="1" x14ac:dyDescent="0.2">
      <c r="A221" s="151" t="s">
        <v>371</v>
      </c>
      <c r="B221" s="154" t="s">
        <v>8</v>
      </c>
      <c r="C221" s="152">
        <v>5</v>
      </c>
      <c r="D221" s="153" t="s">
        <v>3389</v>
      </c>
      <c r="E221" s="154"/>
      <c r="F221" s="154" t="s">
        <v>372</v>
      </c>
      <c r="G221" s="154" t="s">
        <v>1289</v>
      </c>
      <c r="H221" s="154"/>
      <c r="I221" s="154"/>
      <c r="J221" s="154" t="s">
        <v>74</v>
      </c>
      <c r="K221" s="154" t="s">
        <v>3394</v>
      </c>
      <c r="L221" s="154"/>
      <c r="M221" s="156"/>
      <c r="N221" s="154" t="str">
        <f>IF(ISNUMBER(PL[[#This Row],[CTO]]),"CTO "&amp;PL[[#This Row],[CTO]],"Otros")</f>
        <v>CTO 5</v>
      </c>
      <c r="O221" s="154" t="str">
        <f>IF(PL[[#This Row],[STATUS IUP]]="CERRADO","CERRADO",IF(ISNUMBER(SEARCH("validacion de enel",PL[[#This Row],[SUPPLIER NOTES]])),"PTE Validar Enel","ABIERTO"))</f>
        <v>CERRADO</v>
      </c>
      <c r="P221" s="154" t="str">
        <f>IF(PL[[#This Row],[ESTADO]]="CERRADO","Cerrados IUP",IF(PL[[#This Row],[ESTADO]]="PTE Validar Enel","Pendiente cierre ENEL",IF(ISNUMBER(SEARCH("suministro",PL[[#This Row],[SUPPLIER NOTES]])),"Suministros",IF(PL[[#This Row],[SC]]="SOCIAL","Social",IF(ISNUMBER(SEARCH("monolito",PL[[#This Row],[DESCRIPTION]])),"Monolitos","Varios")))))</f>
        <v>Cerrados IUP</v>
      </c>
      <c r="Q2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2" spans="1:17" s="157" customFormat="1" hidden="1" x14ac:dyDescent="0.2">
      <c r="A222" s="151" t="s">
        <v>373</v>
      </c>
      <c r="B222" s="154" t="s">
        <v>8</v>
      </c>
      <c r="C222" s="152">
        <v>5</v>
      </c>
      <c r="D222" s="153" t="s">
        <v>3389</v>
      </c>
      <c r="E222" s="154"/>
      <c r="F222" s="154" t="s">
        <v>374</v>
      </c>
      <c r="G222" s="154" t="s">
        <v>108</v>
      </c>
      <c r="H222" s="154"/>
      <c r="I222" s="154"/>
      <c r="J222" s="154" t="s">
        <v>74</v>
      </c>
      <c r="K222" s="154" t="s">
        <v>3394</v>
      </c>
      <c r="L222" s="154"/>
      <c r="M222" s="156"/>
      <c r="N222" s="154" t="str">
        <f>IF(ISNUMBER(PL[[#This Row],[CTO]]),"CTO "&amp;PL[[#This Row],[CTO]],"Otros")</f>
        <v>CTO 5</v>
      </c>
      <c r="O222" s="154" t="str">
        <f>IF(PL[[#This Row],[STATUS IUP]]="CERRADO","CERRADO",IF(ISNUMBER(SEARCH("validacion de enel",PL[[#This Row],[SUPPLIER NOTES]])),"PTE Validar Enel","ABIERTO"))</f>
        <v>CERRADO</v>
      </c>
      <c r="P222" s="154" t="str">
        <f>IF(PL[[#This Row],[ESTADO]]="CERRADO","Cerrados IUP",IF(PL[[#This Row],[ESTADO]]="PTE Validar Enel","Pendiente cierre ENEL",IF(ISNUMBER(SEARCH("suministro",PL[[#This Row],[SUPPLIER NOTES]])),"Suministros",IF(PL[[#This Row],[SC]]="SOCIAL","Social",IF(ISNUMBER(SEARCH("monolito",PL[[#This Row],[DESCRIPTION]])),"Monolitos","Varios")))))</f>
        <v>Cerrados IUP</v>
      </c>
      <c r="Q2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3" spans="1:17" s="157" customFormat="1" hidden="1" x14ac:dyDescent="0.2">
      <c r="A223" s="151" t="s">
        <v>377</v>
      </c>
      <c r="B223" s="154" t="s">
        <v>8</v>
      </c>
      <c r="C223" s="152">
        <v>5</v>
      </c>
      <c r="D223" s="153" t="s">
        <v>3389</v>
      </c>
      <c r="E223" s="154"/>
      <c r="F223" s="154" t="s">
        <v>378</v>
      </c>
      <c r="G223" s="154" t="s">
        <v>1289</v>
      </c>
      <c r="H223" s="154"/>
      <c r="I223" s="154"/>
      <c r="J223" s="154" t="s">
        <v>74</v>
      </c>
      <c r="K223" s="154" t="s">
        <v>3394</v>
      </c>
      <c r="L223" s="154"/>
      <c r="M223" s="156"/>
      <c r="N223" s="154" t="str">
        <f>IF(ISNUMBER(PL[[#This Row],[CTO]]),"CTO "&amp;PL[[#This Row],[CTO]],"Otros")</f>
        <v>CTO 5</v>
      </c>
      <c r="O223" s="154" t="str">
        <f>IF(PL[[#This Row],[STATUS IUP]]="CERRADO","CERRADO",IF(ISNUMBER(SEARCH("validacion de enel",PL[[#This Row],[SUPPLIER NOTES]])),"PTE Validar Enel","ABIERTO"))</f>
        <v>CERRADO</v>
      </c>
      <c r="P223" s="154" t="str">
        <f>IF(PL[[#This Row],[ESTADO]]="CERRADO","Cerrados IUP",IF(PL[[#This Row],[ESTADO]]="PTE Validar Enel","Pendiente cierre ENEL",IF(ISNUMBER(SEARCH("suministro",PL[[#This Row],[SUPPLIER NOTES]])),"Suministros",IF(PL[[#This Row],[SC]]="SOCIAL","Social",IF(ISNUMBER(SEARCH("monolito",PL[[#This Row],[DESCRIPTION]])),"Monolitos","Varios")))))</f>
        <v>Cerrados IUP</v>
      </c>
      <c r="Q2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4" spans="1:17" s="157" customFormat="1" hidden="1" x14ac:dyDescent="0.2">
      <c r="A224" s="151" t="s">
        <v>389</v>
      </c>
      <c r="B224" s="154" t="s">
        <v>8</v>
      </c>
      <c r="C224" s="152">
        <v>5</v>
      </c>
      <c r="D224" s="153" t="s">
        <v>3389</v>
      </c>
      <c r="E224" s="154"/>
      <c r="F224" s="154" t="s">
        <v>390</v>
      </c>
      <c r="G224" s="154" t="s">
        <v>1290</v>
      </c>
      <c r="H224" s="154"/>
      <c r="I224" s="154"/>
      <c r="J224" s="154" t="s">
        <v>74</v>
      </c>
      <c r="K224" s="154" t="s">
        <v>3394</v>
      </c>
      <c r="L224" s="154"/>
      <c r="M224" s="156"/>
      <c r="N224" s="154" t="str">
        <f>IF(ISNUMBER(PL[[#This Row],[CTO]]),"CTO "&amp;PL[[#This Row],[CTO]],"Otros")</f>
        <v>CTO 5</v>
      </c>
      <c r="O224" s="154" t="str">
        <f>IF(PL[[#This Row],[STATUS IUP]]="CERRADO","CERRADO",IF(ISNUMBER(SEARCH("validacion de enel",PL[[#This Row],[SUPPLIER NOTES]])),"PTE Validar Enel","ABIERTO"))</f>
        <v>CERRADO</v>
      </c>
      <c r="P224" s="154" t="str">
        <f>IF(PL[[#This Row],[ESTADO]]="CERRADO","Cerrados IUP",IF(PL[[#This Row],[ESTADO]]="PTE Validar Enel","Pendiente cierre ENEL",IF(ISNUMBER(SEARCH("suministro",PL[[#This Row],[SUPPLIER NOTES]])),"Suministros",IF(PL[[#This Row],[SC]]="SOCIAL","Social",IF(ISNUMBER(SEARCH("monolito",PL[[#This Row],[DESCRIPTION]])),"Monolitos","Varios")))))</f>
        <v>Cerrados IUP</v>
      </c>
      <c r="Q2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5" spans="1:17" s="157" customFormat="1" hidden="1" x14ac:dyDescent="0.2">
      <c r="A225" s="151" t="s">
        <v>391</v>
      </c>
      <c r="B225" s="154" t="s">
        <v>8</v>
      </c>
      <c r="C225" s="152">
        <v>5</v>
      </c>
      <c r="D225" s="153" t="s">
        <v>3389</v>
      </c>
      <c r="E225" s="154"/>
      <c r="F225" s="154" t="s">
        <v>392</v>
      </c>
      <c r="G225" s="154" t="s">
        <v>1289</v>
      </c>
      <c r="H225" s="154"/>
      <c r="I225" s="154"/>
      <c r="J225" s="154" t="s">
        <v>74</v>
      </c>
      <c r="K225" s="154" t="s">
        <v>3394</v>
      </c>
      <c r="L225" s="154"/>
      <c r="M225" s="156"/>
      <c r="N225" s="154" t="str">
        <f>IF(ISNUMBER(PL[[#This Row],[CTO]]),"CTO "&amp;PL[[#This Row],[CTO]],"Otros")</f>
        <v>CTO 5</v>
      </c>
      <c r="O225" s="154" t="str">
        <f>IF(PL[[#This Row],[STATUS IUP]]="CERRADO","CERRADO",IF(ISNUMBER(SEARCH("validacion de enel",PL[[#This Row],[SUPPLIER NOTES]])),"PTE Validar Enel","ABIERTO"))</f>
        <v>CERRADO</v>
      </c>
      <c r="P225" s="154" t="str">
        <f>IF(PL[[#This Row],[ESTADO]]="CERRADO","Cerrados IUP",IF(PL[[#This Row],[ESTADO]]="PTE Validar Enel","Pendiente cierre ENEL",IF(ISNUMBER(SEARCH("suministro",PL[[#This Row],[SUPPLIER NOTES]])),"Suministros",IF(PL[[#This Row],[SC]]="SOCIAL","Social",IF(ISNUMBER(SEARCH("monolito",PL[[#This Row],[DESCRIPTION]])),"Monolitos","Varios")))))</f>
        <v>Cerrados IUP</v>
      </c>
      <c r="Q2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6" spans="1:17" s="157" customFormat="1" hidden="1" x14ac:dyDescent="0.2">
      <c r="A226" s="151" t="s">
        <v>395</v>
      </c>
      <c r="B226" s="154" t="s">
        <v>8</v>
      </c>
      <c r="C226" s="152">
        <v>5</v>
      </c>
      <c r="D226" s="153" t="s">
        <v>3389</v>
      </c>
      <c r="E226" s="154"/>
      <c r="F226" s="154" t="s">
        <v>396</v>
      </c>
      <c r="G226" s="154" t="s">
        <v>397</v>
      </c>
      <c r="H226" s="154"/>
      <c r="I226" s="154"/>
      <c r="J226" s="154" t="s">
        <v>74</v>
      </c>
      <c r="K226" s="154" t="s">
        <v>3394</v>
      </c>
      <c r="L226" s="154"/>
      <c r="M226" s="156"/>
      <c r="N226" s="154" t="str">
        <f>IF(ISNUMBER(PL[[#This Row],[CTO]]),"CTO "&amp;PL[[#This Row],[CTO]],"Otros")</f>
        <v>CTO 5</v>
      </c>
      <c r="O226" s="154" t="str">
        <f>IF(PL[[#This Row],[STATUS IUP]]="CERRADO","CERRADO",IF(ISNUMBER(SEARCH("validacion de enel",PL[[#This Row],[SUPPLIER NOTES]])),"PTE Validar Enel","ABIERTO"))</f>
        <v>CERRADO</v>
      </c>
      <c r="P226" s="154" t="str">
        <f>IF(PL[[#This Row],[ESTADO]]="CERRADO","Cerrados IUP",IF(PL[[#This Row],[ESTADO]]="PTE Validar Enel","Pendiente cierre ENEL",IF(ISNUMBER(SEARCH("suministro",PL[[#This Row],[SUPPLIER NOTES]])),"Suministros",IF(PL[[#This Row],[SC]]="SOCIAL","Social",IF(ISNUMBER(SEARCH("monolito",PL[[#This Row],[DESCRIPTION]])),"Monolitos","Varios")))))</f>
        <v>Cerrados IUP</v>
      </c>
      <c r="Q2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7" spans="1:17" s="157" customFormat="1" hidden="1" x14ac:dyDescent="0.2">
      <c r="A227" s="151" t="s">
        <v>398</v>
      </c>
      <c r="B227" s="154" t="s">
        <v>8</v>
      </c>
      <c r="C227" s="152">
        <v>5</v>
      </c>
      <c r="D227" s="153" t="s">
        <v>3389</v>
      </c>
      <c r="E227" s="154"/>
      <c r="F227" s="154" t="s">
        <v>399</v>
      </c>
      <c r="G227" s="154" t="s">
        <v>1290</v>
      </c>
      <c r="H227" s="154"/>
      <c r="I227" s="154"/>
      <c r="J227" s="154" t="s">
        <v>74</v>
      </c>
      <c r="K227" s="154" t="s">
        <v>3394</v>
      </c>
      <c r="L227" s="154"/>
      <c r="M227" s="156"/>
      <c r="N227" s="154" t="str">
        <f>IF(ISNUMBER(PL[[#This Row],[CTO]]),"CTO "&amp;PL[[#This Row],[CTO]],"Otros")</f>
        <v>CTO 5</v>
      </c>
      <c r="O227" s="154" t="str">
        <f>IF(PL[[#This Row],[STATUS IUP]]="CERRADO","CERRADO",IF(ISNUMBER(SEARCH("validacion de enel",PL[[#This Row],[SUPPLIER NOTES]])),"PTE Validar Enel","ABIERTO"))</f>
        <v>CERRADO</v>
      </c>
      <c r="P227" s="154" t="str">
        <f>IF(PL[[#This Row],[ESTADO]]="CERRADO","Cerrados IUP",IF(PL[[#This Row],[ESTADO]]="PTE Validar Enel","Pendiente cierre ENEL",IF(ISNUMBER(SEARCH("suministro",PL[[#This Row],[SUPPLIER NOTES]])),"Suministros",IF(PL[[#This Row],[SC]]="SOCIAL","Social",IF(ISNUMBER(SEARCH("monolito",PL[[#This Row],[DESCRIPTION]])),"Monolitos","Varios")))))</f>
        <v>Cerrados IUP</v>
      </c>
      <c r="Q2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8" spans="1:17" s="157" customFormat="1" hidden="1" x14ac:dyDescent="0.2">
      <c r="A228" s="151" t="s">
        <v>404</v>
      </c>
      <c r="B228" s="154" t="s">
        <v>8</v>
      </c>
      <c r="C228" s="152">
        <v>5</v>
      </c>
      <c r="D228" s="153" t="s">
        <v>3389</v>
      </c>
      <c r="E228" s="154"/>
      <c r="F228" s="154" t="s">
        <v>405</v>
      </c>
      <c r="G228" s="154" t="s">
        <v>216</v>
      </c>
      <c r="H228" s="154"/>
      <c r="I228" s="154"/>
      <c r="J228" s="154" t="s">
        <v>74</v>
      </c>
      <c r="K228" s="154" t="s">
        <v>3394</v>
      </c>
      <c r="L228" s="154"/>
      <c r="M228" s="156"/>
      <c r="N228" s="154" t="str">
        <f>IF(ISNUMBER(PL[[#This Row],[CTO]]),"CTO "&amp;PL[[#This Row],[CTO]],"Otros")</f>
        <v>CTO 5</v>
      </c>
      <c r="O228" s="154" t="str">
        <f>IF(PL[[#This Row],[STATUS IUP]]="CERRADO","CERRADO",IF(ISNUMBER(SEARCH("validacion de enel",PL[[#This Row],[SUPPLIER NOTES]])),"PTE Validar Enel","ABIERTO"))</f>
        <v>CERRADO</v>
      </c>
      <c r="P228" s="154" t="str">
        <f>IF(PL[[#This Row],[ESTADO]]="CERRADO","Cerrados IUP",IF(PL[[#This Row],[ESTADO]]="PTE Validar Enel","Pendiente cierre ENEL",IF(ISNUMBER(SEARCH("suministro",PL[[#This Row],[SUPPLIER NOTES]])),"Suministros",IF(PL[[#This Row],[SC]]="SOCIAL","Social",IF(ISNUMBER(SEARCH("monolito",PL[[#This Row],[DESCRIPTION]])),"Monolitos","Varios")))))</f>
        <v>Cerrados IUP</v>
      </c>
      <c r="Q2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29" spans="1:17" s="157" customFormat="1" hidden="1" x14ac:dyDescent="0.2">
      <c r="A229" s="151" t="s">
        <v>406</v>
      </c>
      <c r="B229" s="154" t="s">
        <v>8</v>
      </c>
      <c r="C229" s="152">
        <v>5</v>
      </c>
      <c r="D229" s="153" t="s">
        <v>3389</v>
      </c>
      <c r="E229" s="154"/>
      <c r="F229" s="154" t="s">
        <v>407</v>
      </c>
      <c r="G229" s="154" t="s">
        <v>216</v>
      </c>
      <c r="H229" s="154"/>
      <c r="I229" s="154"/>
      <c r="J229" s="154" t="s">
        <v>74</v>
      </c>
      <c r="K229" s="154" t="s">
        <v>3394</v>
      </c>
      <c r="L229" s="154"/>
      <c r="M229" s="156"/>
      <c r="N229" s="154" t="str">
        <f>IF(ISNUMBER(PL[[#This Row],[CTO]]),"CTO "&amp;PL[[#This Row],[CTO]],"Otros")</f>
        <v>CTO 5</v>
      </c>
      <c r="O229" s="154" t="str">
        <f>IF(PL[[#This Row],[STATUS IUP]]="CERRADO","CERRADO",IF(ISNUMBER(SEARCH("validacion de enel",PL[[#This Row],[SUPPLIER NOTES]])),"PTE Validar Enel","ABIERTO"))</f>
        <v>CERRADO</v>
      </c>
      <c r="P229" s="154" t="str">
        <f>IF(PL[[#This Row],[ESTADO]]="CERRADO","Cerrados IUP",IF(PL[[#This Row],[ESTADO]]="PTE Validar Enel","Pendiente cierre ENEL",IF(ISNUMBER(SEARCH("suministro",PL[[#This Row],[SUPPLIER NOTES]])),"Suministros",IF(PL[[#This Row],[SC]]="SOCIAL","Social",IF(ISNUMBER(SEARCH("monolito",PL[[#This Row],[DESCRIPTION]])),"Monolitos","Varios")))))</f>
        <v>Cerrados IUP</v>
      </c>
      <c r="Q2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0" spans="1:17" s="157" customFormat="1" hidden="1" x14ac:dyDescent="0.2">
      <c r="A230" s="151" t="s">
        <v>408</v>
      </c>
      <c r="B230" s="154" t="s">
        <v>8</v>
      </c>
      <c r="C230" s="152">
        <v>5</v>
      </c>
      <c r="D230" s="153" t="s">
        <v>3389</v>
      </c>
      <c r="E230" s="154"/>
      <c r="F230" s="154" t="s">
        <v>409</v>
      </c>
      <c r="G230" s="154" t="s">
        <v>216</v>
      </c>
      <c r="H230" s="154" t="s">
        <v>73</v>
      </c>
      <c r="I230" s="154" t="s">
        <v>73</v>
      </c>
      <c r="J230" s="154" t="s">
        <v>74</v>
      </c>
      <c r="K230" s="154" t="s">
        <v>3394</v>
      </c>
      <c r="L230" s="161">
        <v>46233</v>
      </c>
      <c r="M230" s="160">
        <v>46233</v>
      </c>
      <c r="N230" s="154" t="str">
        <f>IF(ISNUMBER(PL[[#This Row],[CTO]]),"CTO "&amp;PL[[#This Row],[CTO]],"Otros")</f>
        <v>CTO 5</v>
      </c>
      <c r="O230" s="154" t="str">
        <f>IF(PL[[#This Row],[STATUS IUP]]="CERRADO","CERRADO",IF(ISNUMBER(SEARCH("validacion de enel",PL[[#This Row],[SUPPLIER NOTES]])),"PTE Validar Enel","ABIERTO"))</f>
        <v>CERRADO</v>
      </c>
      <c r="P230" s="154" t="str">
        <f>IF(PL[[#This Row],[ESTADO]]="CERRADO","Cerrados IUP",IF(PL[[#This Row],[ESTADO]]="PTE Validar Enel","Pendiente cierre ENEL",IF(ISNUMBER(SEARCH("suministro",PL[[#This Row],[SUPPLIER NOTES]])),"Suministros",IF(PL[[#This Row],[SC]]="SOCIAL","Social",IF(ISNUMBER(SEARCH("monolito",PL[[#This Row],[DESCRIPTION]])),"Monolitos","Varios")))))</f>
        <v>Cerrados IUP</v>
      </c>
      <c r="Q2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1" spans="1:17" hidden="1" x14ac:dyDescent="0.2">
      <c r="A231" s="66" t="s">
        <v>365</v>
      </c>
      <c r="B231" s="67" t="s">
        <v>8</v>
      </c>
      <c r="C231" s="52">
        <v>5</v>
      </c>
      <c r="D231" s="68" t="s">
        <v>3389</v>
      </c>
      <c r="E231" s="67"/>
      <c r="F231" s="67" t="s">
        <v>366</v>
      </c>
      <c r="G231" s="82" t="s">
        <v>1290</v>
      </c>
      <c r="H231" s="90" t="s">
        <v>3459</v>
      </c>
      <c r="I231" s="67"/>
      <c r="J231" s="67" t="s">
        <v>11</v>
      </c>
      <c r="K231" s="67" t="s">
        <v>3393</v>
      </c>
      <c r="L231" s="67"/>
      <c r="M231" s="69"/>
      <c r="N231" s="67" t="str">
        <f>IF(ISNUMBER(PL[[#This Row],[CTO]]),"CTO "&amp;PL[[#This Row],[CTO]],"Otros")</f>
        <v>CTO 5</v>
      </c>
      <c r="O231" s="67" t="str">
        <f>IF(PL[[#This Row],[STATUS IUP]]="CERRADO","CERRADO",IF(ISNUMBER(SEARCH("validacion de enel",PL[[#This Row],[SUPPLIER NOTES]])),"PTE Validar Enel","ABIERTO"))</f>
        <v>ABIERTO</v>
      </c>
      <c r="P231" s="67" t="str">
        <f>IF(PL[[#This Row],[ESTADO]]="CERRADO","Cerrados IUP",IF(PL[[#This Row],[ESTADO]]="PTE Validar Enel","Pendiente cierre ENEL",IF(ISNUMBER(SEARCH("suministro",PL[[#This Row],[SUPPLIER NOTES]])),"Suministros",IF(PL[[#This Row],[SC]]="SOCIAL","Social",IF(ISNUMBER(SEARCH("monolito",PL[[#This Row],[DESCRIPTION]])),"Monolitos","Varios")))))</f>
        <v>Varios</v>
      </c>
      <c r="Q23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2" spans="1:17" s="157" customFormat="1" hidden="1" x14ac:dyDescent="0.2">
      <c r="A232" s="151" t="s">
        <v>412</v>
      </c>
      <c r="B232" s="154" t="s">
        <v>8</v>
      </c>
      <c r="C232" s="152">
        <v>5</v>
      </c>
      <c r="D232" s="153" t="s">
        <v>3389</v>
      </c>
      <c r="E232" s="154"/>
      <c r="F232" s="154" t="s">
        <v>413</v>
      </c>
      <c r="G232" s="154" t="s">
        <v>128</v>
      </c>
      <c r="H232" s="154"/>
      <c r="I232" s="154"/>
      <c r="J232" s="154" t="s">
        <v>74</v>
      </c>
      <c r="K232" s="154" t="s">
        <v>3394</v>
      </c>
      <c r="L232" s="154"/>
      <c r="M232" s="156"/>
      <c r="N232" s="154" t="str">
        <f>IF(ISNUMBER(PL[[#This Row],[CTO]]),"CTO "&amp;PL[[#This Row],[CTO]],"Otros")</f>
        <v>CTO 5</v>
      </c>
      <c r="O232" s="154" t="str">
        <f>IF(PL[[#This Row],[STATUS IUP]]="CERRADO","CERRADO",IF(ISNUMBER(SEARCH("validacion de enel",PL[[#This Row],[SUPPLIER NOTES]])),"PTE Validar Enel","ABIERTO"))</f>
        <v>CERRADO</v>
      </c>
      <c r="P232" s="154" t="str">
        <f>IF(PL[[#This Row],[ESTADO]]="CERRADO","Cerrados IUP",IF(PL[[#This Row],[ESTADO]]="PTE Validar Enel","Pendiente cierre ENEL",IF(ISNUMBER(SEARCH("suministro",PL[[#This Row],[SUPPLIER NOTES]])),"Suministros",IF(PL[[#This Row],[SC]]="SOCIAL","Social",IF(ISNUMBER(SEARCH("monolito",PL[[#This Row],[DESCRIPTION]])),"Monolitos","Varios")))))</f>
        <v>Cerrados IUP</v>
      </c>
      <c r="Q2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3" spans="1:17" hidden="1" x14ac:dyDescent="0.2">
      <c r="A233" s="66" t="s">
        <v>369</v>
      </c>
      <c r="B233" s="67" t="s">
        <v>8</v>
      </c>
      <c r="C233" s="52">
        <v>5</v>
      </c>
      <c r="D233" s="68" t="s">
        <v>3389</v>
      </c>
      <c r="E233" s="67"/>
      <c r="F233" s="67" t="s">
        <v>370</v>
      </c>
      <c r="G233" s="82" t="s">
        <v>1289</v>
      </c>
      <c r="H233" s="90"/>
      <c r="I233" s="67"/>
      <c r="J233" s="67" t="s">
        <v>11</v>
      </c>
      <c r="K233" s="67" t="s">
        <v>3393</v>
      </c>
      <c r="L233" s="67"/>
      <c r="M233" s="69"/>
      <c r="N233" s="67" t="str">
        <f>IF(ISNUMBER(PL[[#This Row],[CTO]]),"CTO "&amp;PL[[#This Row],[CTO]],"Otros")</f>
        <v>CTO 5</v>
      </c>
      <c r="O233" s="67" t="str">
        <f>IF(PL[[#This Row],[STATUS IUP]]="CERRADO","CERRADO",IF(ISNUMBER(SEARCH("validacion de enel",PL[[#This Row],[SUPPLIER NOTES]])),"PTE Validar Enel","ABIERTO"))</f>
        <v>ABIERTO</v>
      </c>
      <c r="P233" s="67" t="str">
        <f>IF(PL[[#This Row],[ESTADO]]="CERRADO","Cerrados IUP",IF(PL[[#This Row],[ESTADO]]="PTE Validar Enel","Pendiente cierre ENEL",IF(ISNUMBER(SEARCH("suministro",PL[[#This Row],[SUPPLIER NOTES]])),"Suministros",IF(PL[[#This Row],[SC]]="SOCIAL","Social",IF(ISNUMBER(SEARCH("monolito",PL[[#This Row],[DESCRIPTION]])),"Monolitos","Varios")))))</f>
        <v>Varios</v>
      </c>
      <c r="Q23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4" spans="1:17" ht="160" hidden="1" x14ac:dyDescent="0.2">
      <c r="A234" s="116" t="s">
        <v>379</v>
      </c>
      <c r="B234" s="117" t="s">
        <v>8</v>
      </c>
      <c r="C234" s="52">
        <v>5</v>
      </c>
      <c r="D234" s="118" t="s">
        <v>3389</v>
      </c>
      <c r="E234" s="117"/>
      <c r="F234" s="52" t="s">
        <v>380</v>
      </c>
      <c r="G234" s="82" t="s">
        <v>128</v>
      </c>
      <c r="H234" s="90"/>
      <c r="I234" s="67"/>
      <c r="J234" s="67" t="s">
        <v>11</v>
      </c>
      <c r="K234" s="67" t="s">
        <v>3393</v>
      </c>
      <c r="L234" s="67"/>
      <c r="M234" s="69"/>
      <c r="N234" s="67" t="str">
        <f>IF(ISNUMBER(PL[[#This Row],[CTO]]),"CTO "&amp;PL[[#This Row],[CTO]],"Otros")</f>
        <v>CTO 5</v>
      </c>
      <c r="O234" s="67" t="str">
        <f>IF(PL[[#This Row],[STATUS IUP]]="CERRADO","CERRADO",IF(ISNUMBER(SEARCH("validacion de enel",PL[[#This Row],[SUPPLIER NOTES]])),"PTE Validar Enel","ABIERTO"))</f>
        <v>ABIERTO</v>
      </c>
      <c r="P234" s="67" t="str">
        <f>IF(PL[[#This Row],[ESTADO]]="CERRADO","Cerrados IUP",IF(PL[[#This Row],[ESTADO]]="PTE Validar Enel","Pendiente cierre ENEL",IF(ISNUMBER(SEARCH("suministro",PL[[#This Row],[SUPPLIER NOTES]])),"Suministros",IF(PL[[#This Row],[SC]]="SOCIAL","Social",IF(ISNUMBER(SEARCH("monolito",PL[[#This Row],[DESCRIPTION]])),"Monolitos","Varios")))))</f>
        <v>Varios</v>
      </c>
      <c r="Q23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5" spans="1:17" hidden="1" x14ac:dyDescent="0.2">
      <c r="A235" s="66" t="s">
        <v>381</v>
      </c>
      <c r="B235" s="67" t="s">
        <v>8</v>
      </c>
      <c r="C235" s="52">
        <v>5</v>
      </c>
      <c r="D235" s="68" t="s">
        <v>3389</v>
      </c>
      <c r="E235" s="67"/>
      <c r="F235" s="67" t="s">
        <v>382</v>
      </c>
      <c r="G235" s="82" t="s">
        <v>1289</v>
      </c>
      <c r="H235" s="90"/>
      <c r="I235" s="67"/>
      <c r="J235" s="67" t="s">
        <v>11</v>
      </c>
      <c r="K235" s="67" t="s">
        <v>3393</v>
      </c>
      <c r="L235" s="67"/>
      <c r="M235" s="69"/>
      <c r="N235" s="67" t="str">
        <f>IF(ISNUMBER(PL[[#This Row],[CTO]]),"CTO "&amp;PL[[#This Row],[CTO]],"Otros")</f>
        <v>CTO 5</v>
      </c>
      <c r="O235" s="67" t="str">
        <f>IF(PL[[#This Row],[STATUS IUP]]="CERRADO","CERRADO",IF(ISNUMBER(SEARCH("validacion de enel",PL[[#This Row],[SUPPLIER NOTES]])),"PTE Validar Enel","ABIERTO"))</f>
        <v>ABIERTO</v>
      </c>
      <c r="P235" s="67" t="str">
        <f>IF(PL[[#This Row],[ESTADO]]="CERRADO","Cerrados IUP",IF(PL[[#This Row],[ESTADO]]="PTE Validar Enel","Pendiente cierre ENEL",IF(ISNUMBER(SEARCH("suministro",PL[[#This Row],[SUPPLIER NOTES]])),"Suministros",IF(PL[[#This Row],[SC]]="SOCIAL","Social",IF(ISNUMBER(SEARCH("monolito",PL[[#This Row],[DESCRIPTION]])),"Monolitos","Varios")))))</f>
        <v>Varios</v>
      </c>
      <c r="Q23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6" spans="1:17" hidden="1" x14ac:dyDescent="0.2">
      <c r="A236" s="66" t="s">
        <v>383</v>
      </c>
      <c r="B236" s="67" t="s">
        <v>8</v>
      </c>
      <c r="C236" s="52">
        <v>5</v>
      </c>
      <c r="D236" s="68" t="s">
        <v>3389</v>
      </c>
      <c r="E236" s="67"/>
      <c r="F236" s="67" t="s">
        <v>384</v>
      </c>
      <c r="G236" s="82" t="s">
        <v>1289</v>
      </c>
      <c r="H236" s="90"/>
      <c r="I236" s="67"/>
      <c r="J236" s="67" t="s">
        <v>11</v>
      </c>
      <c r="K236" s="67" t="s">
        <v>3393</v>
      </c>
      <c r="L236" s="67"/>
      <c r="M236" s="69"/>
      <c r="N236" s="67" t="str">
        <f>IF(ISNUMBER(PL[[#This Row],[CTO]]),"CTO "&amp;PL[[#This Row],[CTO]],"Otros")</f>
        <v>CTO 5</v>
      </c>
      <c r="O236" s="67" t="str">
        <f>IF(PL[[#This Row],[STATUS IUP]]="CERRADO","CERRADO",IF(ISNUMBER(SEARCH("validacion de enel",PL[[#This Row],[SUPPLIER NOTES]])),"PTE Validar Enel","ABIERTO"))</f>
        <v>ABIERTO</v>
      </c>
      <c r="P236" s="67" t="str">
        <f>IF(PL[[#This Row],[ESTADO]]="CERRADO","Cerrados IUP",IF(PL[[#This Row],[ESTADO]]="PTE Validar Enel","Pendiente cierre ENEL",IF(ISNUMBER(SEARCH("suministro",PL[[#This Row],[SUPPLIER NOTES]])),"Suministros",IF(PL[[#This Row],[SC]]="SOCIAL","Social",IF(ISNUMBER(SEARCH("monolito",PL[[#This Row],[DESCRIPTION]])),"Monolitos","Varios")))))</f>
        <v>Varios</v>
      </c>
      <c r="Q23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7" spans="1:17" hidden="1" x14ac:dyDescent="0.2">
      <c r="A237" s="66" t="s">
        <v>387</v>
      </c>
      <c r="B237" s="67" t="s">
        <v>8</v>
      </c>
      <c r="C237" s="52">
        <v>5</v>
      </c>
      <c r="D237" s="68" t="s">
        <v>3389</v>
      </c>
      <c r="E237" s="67"/>
      <c r="F237" s="67" t="s">
        <v>388</v>
      </c>
      <c r="G237" s="90" t="s">
        <v>108</v>
      </c>
      <c r="H237" s="90" t="s">
        <v>3458</v>
      </c>
      <c r="I237" s="67"/>
      <c r="J237" s="67" t="s">
        <v>11</v>
      </c>
      <c r="K237" s="67" t="s">
        <v>3393</v>
      </c>
      <c r="L237" s="67"/>
      <c r="M237" s="69"/>
      <c r="N237" s="67" t="str">
        <f>IF(ISNUMBER(PL[[#This Row],[CTO]]),"CTO "&amp;PL[[#This Row],[CTO]],"Otros")</f>
        <v>CTO 5</v>
      </c>
      <c r="O237" s="67" t="str">
        <f>IF(PL[[#This Row],[STATUS IUP]]="CERRADO","CERRADO",IF(ISNUMBER(SEARCH("validacion de enel",PL[[#This Row],[SUPPLIER NOTES]])),"PTE Validar Enel","ABIERTO"))</f>
        <v>ABIERTO</v>
      </c>
      <c r="P237" s="67" t="str">
        <f>IF(PL[[#This Row],[ESTADO]]="CERRADO","Cerrados IUP",IF(PL[[#This Row],[ESTADO]]="PTE Validar Enel","Pendiente cierre ENEL",IF(ISNUMBER(SEARCH("suministro",PL[[#This Row],[SUPPLIER NOTES]])),"Suministros",IF(PL[[#This Row],[SC]]="SOCIAL","Social",IF(ISNUMBER(SEARCH("monolito",PL[[#This Row],[DESCRIPTION]])),"Monolitos","Varios")))))</f>
        <v>Varios</v>
      </c>
      <c r="Q237"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8" spans="1:17" hidden="1" x14ac:dyDescent="0.2">
      <c r="A238" s="66" t="s">
        <v>393</v>
      </c>
      <c r="B238" s="67" t="s">
        <v>8</v>
      </c>
      <c r="C238" s="52">
        <v>5</v>
      </c>
      <c r="D238" s="68" t="s">
        <v>3389</v>
      </c>
      <c r="E238" s="67"/>
      <c r="F238" s="67" t="s">
        <v>394</v>
      </c>
      <c r="G238" s="82" t="s">
        <v>1290</v>
      </c>
      <c r="H238" s="90"/>
      <c r="I238" s="67"/>
      <c r="J238" s="67" t="s">
        <v>11</v>
      </c>
      <c r="K238" s="67" t="s">
        <v>3393</v>
      </c>
      <c r="L238" s="67"/>
      <c r="M238" s="69"/>
      <c r="N238" s="67" t="str">
        <f>IF(ISNUMBER(PL[[#This Row],[CTO]]),"CTO "&amp;PL[[#This Row],[CTO]],"Otros")</f>
        <v>CTO 5</v>
      </c>
      <c r="O238" s="67" t="str">
        <f>IF(PL[[#This Row],[STATUS IUP]]="CERRADO","CERRADO",IF(ISNUMBER(SEARCH("validacion de enel",PL[[#This Row],[SUPPLIER NOTES]])),"PTE Validar Enel","ABIERTO"))</f>
        <v>ABIERTO</v>
      </c>
      <c r="P238" s="67" t="str">
        <f>IF(PL[[#This Row],[ESTADO]]="CERRADO","Cerrados IUP",IF(PL[[#This Row],[ESTADO]]="PTE Validar Enel","Pendiente cierre ENEL",IF(ISNUMBER(SEARCH("suministro",PL[[#This Row],[SUPPLIER NOTES]])),"Suministros",IF(PL[[#This Row],[SC]]="SOCIAL","Social",IF(ISNUMBER(SEARCH("monolito",PL[[#This Row],[DESCRIPTION]])),"Monolitos","Varios")))))</f>
        <v>Varios</v>
      </c>
      <c r="Q238"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39" spans="1:17" hidden="1" x14ac:dyDescent="0.2">
      <c r="A239" s="116" t="s">
        <v>400</v>
      </c>
      <c r="B239" s="117" t="s">
        <v>8</v>
      </c>
      <c r="C239" s="52">
        <v>5</v>
      </c>
      <c r="D239" s="118" t="s">
        <v>3389</v>
      </c>
      <c r="E239" s="117"/>
      <c r="F239" s="117" t="s">
        <v>401</v>
      </c>
      <c r="G239" s="82" t="s">
        <v>128</v>
      </c>
      <c r="H239" s="90"/>
      <c r="I239" s="67"/>
      <c r="J239" s="67" t="s">
        <v>11</v>
      </c>
      <c r="K239" s="67" t="s">
        <v>3393</v>
      </c>
      <c r="L239" s="67"/>
      <c r="M239" s="69"/>
      <c r="N239" s="67" t="str">
        <f>IF(ISNUMBER(PL[[#This Row],[CTO]]),"CTO "&amp;PL[[#This Row],[CTO]],"Otros")</f>
        <v>CTO 5</v>
      </c>
      <c r="O239" s="67" t="str">
        <f>IF(PL[[#This Row],[STATUS IUP]]="CERRADO","CERRADO",IF(ISNUMBER(SEARCH("validacion de enel",PL[[#This Row],[SUPPLIER NOTES]])),"PTE Validar Enel","ABIERTO"))</f>
        <v>ABIERTO</v>
      </c>
      <c r="P239" s="67" t="str">
        <f>IF(PL[[#This Row],[ESTADO]]="CERRADO","Cerrados IUP",IF(PL[[#This Row],[ESTADO]]="PTE Validar Enel","Pendiente cierre ENEL",IF(ISNUMBER(SEARCH("suministro",PL[[#This Row],[SUPPLIER NOTES]])),"Suministros",IF(PL[[#This Row],[SC]]="SOCIAL","Social",IF(ISNUMBER(SEARCH("monolito",PL[[#This Row],[DESCRIPTION]])),"Monolitos","Varios")))))</f>
        <v>Varios</v>
      </c>
      <c r="Q23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0" spans="1:17" hidden="1" x14ac:dyDescent="0.2">
      <c r="A240" s="116" t="s">
        <v>402</v>
      </c>
      <c r="B240" s="117" t="s">
        <v>8</v>
      </c>
      <c r="C240" s="52">
        <v>5</v>
      </c>
      <c r="D240" s="118" t="s">
        <v>3389</v>
      </c>
      <c r="E240" s="117"/>
      <c r="F240" s="117" t="s">
        <v>403</v>
      </c>
      <c r="G240" s="82" t="s">
        <v>128</v>
      </c>
      <c r="H240" s="90"/>
      <c r="I240" s="67"/>
      <c r="J240" s="67" t="s">
        <v>11</v>
      </c>
      <c r="K240" s="67" t="s">
        <v>3393</v>
      </c>
      <c r="L240" s="67"/>
      <c r="M240" s="69"/>
      <c r="N240" s="67" t="str">
        <f>IF(ISNUMBER(PL[[#This Row],[CTO]]),"CTO "&amp;PL[[#This Row],[CTO]],"Otros")</f>
        <v>CTO 5</v>
      </c>
      <c r="O240" s="67" t="str">
        <f>IF(PL[[#This Row],[STATUS IUP]]="CERRADO","CERRADO",IF(ISNUMBER(SEARCH("validacion de enel",PL[[#This Row],[SUPPLIER NOTES]])),"PTE Validar Enel","ABIERTO"))</f>
        <v>ABIERTO</v>
      </c>
      <c r="P240" s="67" t="str">
        <f>IF(PL[[#This Row],[ESTADO]]="CERRADO","Cerrados IUP",IF(PL[[#This Row],[ESTADO]]="PTE Validar Enel","Pendiente cierre ENEL",IF(ISNUMBER(SEARCH("suministro",PL[[#This Row],[SUPPLIER NOTES]])),"Suministros",IF(PL[[#This Row],[SC]]="SOCIAL","Social",IF(ISNUMBER(SEARCH("monolito",PL[[#This Row],[DESCRIPTION]])),"Monolitos","Varios")))))</f>
        <v>Varios</v>
      </c>
      <c r="Q24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1" spans="1:17" hidden="1" x14ac:dyDescent="0.2">
      <c r="A241" s="116" t="s">
        <v>410</v>
      </c>
      <c r="B241" s="117" t="s">
        <v>8</v>
      </c>
      <c r="C241" s="52">
        <v>5</v>
      </c>
      <c r="D241" s="118" t="s">
        <v>3389</v>
      </c>
      <c r="E241" s="117"/>
      <c r="F241" s="117" t="s">
        <v>411</v>
      </c>
      <c r="G241" s="82" t="s">
        <v>128</v>
      </c>
      <c r="H241" s="90"/>
      <c r="I241" s="67"/>
      <c r="J241" s="67" t="s">
        <v>74</v>
      </c>
      <c r="K241" s="67" t="s">
        <v>3394</v>
      </c>
      <c r="L241" s="119">
        <v>46305</v>
      </c>
      <c r="M241" s="69"/>
      <c r="N241" s="67" t="str">
        <f>IF(ISNUMBER(PL[[#This Row],[CTO]]),"CTO "&amp;PL[[#This Row],[CTO]],"Otros")</f>
        <v>CTO 5</v>
      </c>
      <c r="O241" s="67" t="str">
        <f>IF(PL[[#This Row],[STATUS IUP]]="CERRADO","CERRADO",IF(ISNUMBER(SEARCH("validacion de enel",PL[[#This Row],[SUPPLIER NOTES]])),"PTE Validar Enel","ABIERTO"))</f>
        <v>CERRADO</v>
      </c>
      <c r="P241" s="67" t="str">
        <f>IF(PL[[#This Row],[ESTADO]]="CERRADO","Cerrados IUP",IF(PL[[#This Row],[ESTADO]]="PTE Validar Enel","Pendiente cierre ENEL",IF(ISNUMBER(SEARCH("suministro",PL[[#This Row],[SUPPLIER NOTES]])),"Suministros",IF(PL[[#This Row],[SC]]="SOCIAL","Social",IF(ISNUMBER(SEARCH("monolito",PL[[#This Row],[DESCRIPTION]])),"Monolitos","Varios")))))</f>
        <v>Cerrados IUP</v>
      </c>
      <c r="Q24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2" spans="1:17" hidden="1" x14ac:dyDescent="0.2">
      <c r="A242" s="116" t="s">
        <v>414</v>
      </c>
      <c r="B242" s="117" t="s">
        <v>8</v>
      </c>
      <c r="C242" s="52">
        <v>5</v>
      </c>
      <c r="D242" s="118" t="s">
        <v>3389</v>
      </c>
      <c r="E242" s="117"/>
      <c r="F242" s="117" t="s">
        <v>415</v>
      </c>
      <c r="G242" s="82" t="s">
        <v>128</v>
      </c>
      <c r="H242" s="90"/>
      <c r="I242" s="67"/>
      <c r="J242" s="67" t="s">
        <v>74</v>
      </c>
      <c r="K242" s="67" t="s">
        <v>3394</v>
      </c>
      <c r="L242" s="119">
        <v>46305</v>
      </c>
      <c r="M242" s="69"/>
      <c r="N242" s="67" t="str">
        <f>IF(ISNUMBER(PL[[#This Row],[CTO]]),"CTO "&amp;PL[[#This Row],[CTO]],"Otros")</f>
        <v>CTO 5</v>
      </c>
      <c r="O242" s="67" t="str">
        <f>IF(PL[[#This Row],[STATUS IUP]]="CERRADO","CERRADO",IF(ISNUMBER(SEARCH("validacion de enel",PL[[#This Row],[SUPPLIER NOTES]])),"PTE Validar Enel","ABIERTO"))</f>
        <v>CERRADO</v>
      </c>
      <c r="P242" s="67" t="str">
        <f>IF(PL[[#This Row],[ESTADO]]="CERRADO","Cerrados IUP",IF(PL[[#This Row],[ESTADO]]="PTE Validar Enel","Pendiente cierre ENEL",IF(ISNUMBER(SEARCH("suministro",PL[[#This Row],[SUPPLIER NOTES]])),"Suministros",IF(PL[[#This Row],[SC]]="SOCIAL","Social",IF(ISNUMBER(SEARCH("monolito",PL[[#This Row],[DESCRIPTION]])),"Monolitos","Varios")))))</f>
        <v>Cerrados IUP</v>
      </c>
      <c r="Q24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3" spans="1:17" hidden="1" x14ac:dyDescent="0.2">
      <c r="A243" s="116" t="s">
        <v>416</v>
      </c>
      <c r="B243" s="117" t="s">
        <v>8</v>
      </c>
      <c r="C243" s="52">
        <v>5</v>
      </c>
      <c r="D243" s="118" t="s">
        <v>3389</v>
      </c>
      <c r="E243" s="117"/>
      <c r="F243" s="117" t="s">
        <v>417</v>
      </c>
      <c r="G243" s="82" t="s">
        <v>128</v>
      </c>
      <c r="H243" s="90"/>
      <c r="I243" s="67"/>
      <c r="J243" s="67" t="s">
        <v>74</v>
      </c>
      <c r="K243" s="67" t="s">
        <v>3394</v>
      </c>
      <c r="L243" s="119">
        <v>46305</v>
      </c>
      <c r="M243" s="69"/>
      <c r="N243" s="67" t="str">
        <f>IF(ISNUMBER(PL[[#This Row],[CTO]]),"CTO "&amp;PL[[#This Row],[CTO]],"Otros")</f>
        <v>CTO 5</v>
      </c>
      <c r="O243" s="67" t="str">
        <f>IF(PL[[#This Row],[STATUS IUP]]="CERRADO","CERRADO",IF(ISNUMBER(SEARCH("validacion de enel",PL[[#This Row],[SUPPLIER NOTES]])),"PTE Validar Enel","ABIERTO"))</f>
        <v>CERRADO</v>
      </c>
      <c r="P243" s="67" t="str">
        <f>IF(PL[[#This Row],[ESTADO]]="CERRADO","Cerrados IUP",IF(PL[[#This Row],[ESTADO]]="PTE Validar Enel","Pendiente cierre ENEL",IF(ISNUMBER(SEARCH("suministro",PL[[#This Row],[SUPPLIER NOTES]])),"Suministros",IF(PL[[#This Row],[SC]]="SOCIAL","Social",IF(ISNUMBER(SEARCH("monolito",PL[[#This Row],[DESCRIPTION]])),"Monolitos","Varios")))))</f>
        <v>Cerrados IUP</v>
      </c>
      <c r="Q24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4" spans="1:17" hidden="1" x14ac:dyDescent="0.2">
      <c r="A244" s="116" t="s">
        <v>418</v>
      </c>
      <c r="B244" s="117" t="s">
        <v>8</v>
      </c>
      <c r="C244" s="52">
        <v>5</v>
      </c>
      <c r="D244" s="118" t="s">
        <v>3389</v>
      </c>
      <c r="E244" s="117"/>
      <c r="F244" s="117" t="s">
        <v>419</v>
      </c>
      <c r="G244" s="82" t="s">
        <v>128</v>
      </c>
      <c r="H244" s="90"/>
      <c r="I244" s="67"/>
      <c r="J244" s="67" t="s">
        <v>74</v>
      </c>
      <c r="K244" s="67" t="s">
        <v>3394</v>
      </c>
      <c r="L244" s="119">
        <v>46305</v>
      </c>
      <c r="M244" s="69"/>
      <c r="N244" s="67" t="str">
        <f>IF(ISNUMBER(PL[[#This Row],[CTO]]),"CTO "&amp;PL[[#This Row],[CTO]],"Otros")</f>
        <v>CTO 5</v>
      </c>
      <c r="O244" s="67" t="str">
        <f>IF(PL[[#This Row],[STATUS IUP]]="CERRADO","CERRADO",IF(ISNUMBER(SEARCH("validacion de enel",PL[[#This Row],[SUPPLIER NOTES]])),"PTE Validar Enel","ABIERTO"))</f>
        <v>CERRADO</v>
      </c>
      <c r="P244" s="67" t="str">
        <f>IF(PL[[#This Row],[ESTADO]]="CERRADO","Cerrados IUP",IF(PL[[#This Row],[ESTADO]]="PTE Validar Enel","Pendiente cierre ENEL",IF(ISNUMBER(SEARCH("suministro",PL[[#This Row],[SUPPLIER NOTES]])),"Suministros",IF(PL[[#This Row],[SC]]="SOCIAL","Social",IF(ISNUMBER(SEARCH("monolito",PL[[#This Row],[DESCRIPTION]])),"Monolitos","Varios")))))</f>
        <v>Cerrados IUP</v>
      </c>
      <c r="Q24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5" spans="1:17" hidden="1" x14ac:dyDescent="0.2">
      <c r="A245" s="75" t="s">
        <v>420</v>
      </c>
      <c r="B245" s="74" t="s">
        <v>8</v>
      </c>
      <c r="C245" s="52">
        <v>5</v>
      </c>
      <c r="D245" s="76" t="s">
        <v>3389</v>
      </c>
      <c r="E245" s="74"/>
      <c r="F245" s="74" t="s">
        <v>421</v>
      </c>
      <c r="G245" s="82" t="s">
        <v>1290</v>
      </c>
      <c r="H245" s="74" t="s">
        <v>3462</v>
      </c>
      <c r="I245" s="74"/>
      <c r="J245" s="74" t="s">
        <v>11</v>
      </c>
      <c r="K245" s="74" t="s">
        <v>3393</v>
      </c>
      <c r="L245" s="74"/>
      <c r="M245" s="77"/>
      <c r="N245" s="74" t="str">
        <f>IF(ISNUMBER(PL[[#This Row],[CTO]]),"CTO "&amp;PL[[#This Row],[CTO]],"Otros")</f>
        <v>CTO 5</v>
      </c>
      <c r="O245" s="74" t="str">
        <f>IF(PL[[#This Row],[STATUS IUP]]="CERRADO","CERRADO",IF(ISNUMBER(SEARCH("validacion de enel",PL[[#This Row],[SUPPLIER NOTES]])),"PTE Validar Enel","ABIERTO"))</f>
        <v>ABIERTO</v>
      </c>
      <c r="P245" s="74" t="str">
        <f>IF(PL[[#This Row],[ESTADO]]="CERRADO","Cerrados IUP",IF(PL[[#This Row],[ESTADO]]="PTE Validar Enel","Pendiente cierre ENEL",IF(ISNUMBER(SEARCH("suministro",PL[[#This Row],[SUPPLIER NOTES]])),"Suministros",IF(PL[[#This Row],[SC]]="SOCIAL","Social",IF(ISNUMBER(SEARCH("monolito",PL[[#This Row],[DESCRIPTION]])),"Monolitos","Varios")))))</f>
        <v>Suministros</v>
      </c>
      <c r="Q24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246" spans="1:17" hidden="1" x14ac:dyDescent="0.2">
      <c r="A246" s="75" t="s">
        <v>951</v>
      </c>
      <c r="B246" s="74" t="s">
        <v>41</v>
      </c>
      <c r="C246" s="52">
        <v>5</v>
      </c>
      <c r="D246" s="74" t="s">
        <v>3389</v>
      </c>
      <c r="E246" s="76" t="s">
        <v>3392</v>
      </c>
      <c r="F246" s="74" t="s">
        <v>952</v>
      </c>
      <c r="G246" s="74" t="s">
        <v>49</v>
      </c>
      <c r="H246" s="74" t="s">
        <v>3462</v>
      </c>
      <c r="I246" s="74"/>
      <c r="J246" s="74" t="s">
        <v>11</v>
      </c>
      <c r="K246" s="74" t="s">
        <v>3393</v>
      </c>
      <c r="L246" s="74"/>
      <c r="M246" s="77"/>
      <c r="N246" s="74" t="str">
        <f>IF(ISNUMBER(PL[[#This Row],[CTO]]),"CTO "&amp;PL[[#This Row],[CTO]],"Otros")</f>
        <v>CTO 5</v>
      </c>
      <c r="O246" s="74" t="str">
        <f>IF(PL[[#This Row],[STATUS IUP]]="CERRADO","CERRADO",IF(ISNUMBER(SEARCH("validacion de enel",PL[[#This Row],[SUPPLIER NOTES]])),"PTE Validar Enel","ABIERTO"))</f>
        <v>ABIERTO</v>
      </c>
      <c r="P246" s="74" t="str">
        <f>IF(PL[[#This Row],[ESTADO]]="CERRADO","Cerrados IUP",IF(PL[[#This Row],[ESTADO]]="PTE Validar Enel","Pendiente cierre ENEL",IF(ISNUMBER(SEARCH("suministro",PL[[#This Row],[SUPPLIER NOTES]])),"Suministros",IF(PL[[#This Row],[SC]]="SOCIAL","Social",IF(ISNUMBER(SEARCH("monolito",PL[[#This Row],[DESCRIPTION]])),"Monolitos","Varios")))))</f>
        <v>Suministros</v>
      </c>
      <c r="Q24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47" spans="1:17" hidden="1" x14ac:dyDescent="0.2">
      <c r="A247" s="75" t="s">
        <v>953</v>
      </c>
      <c r="B247" s="74" t="s">
        <v>41</v>
      </c>
      <c r="C247" s="52">
        <v>5</v>
      </c>
      <c r="D247" s="74" t="s">
        <v>3389</v>
      </c>
      <c r="E247" s="76" t="s">
        <v>3392</v>
      </c>
      <c r="F247" s="74" t="s">
        <v>954</v>
      </c>
      <c r="G247" s="74" t="s">
        <v>49</v>
      </c>
      <c r="H247" s="74" t="s">
        <v>3462</v>
      </c>
      <c r="I247" s="74"/>
      <c r="J247" s="74" t="s">
        <v>11</v>
      </c>
      <c r="K247" s="74" t="s">
        <v>3393</v>
      </c>
      <c r="L247" s="74"/>
      <c r="M247" s="77"/>
      <c r="N247" s="74" t="str">
        <f>IF(ISNUMBER(PL[[#This Row],[CTO]]),"CTO "&amp;PL[[#This Row],[CTO]],"Otros")</f>
        <v>CTO 5</v>
      </c>
      <c r="O247" s="74" t="str">
        <f>IF(PL[[#This Row],[STATUS IUP]]="CERRADO","CERRADO",IF(ISNUMBER(SEARCH("validacion de enel",PL[[#This Row],[SUPPLIER NOTES]])),"PTE Validar Enel","ABIERTO"))</f>
        <v>ABIERTO</v>
      </c>
      <c r="P247" s="74" t="str">
        <f>IF(PL[[#This Row],[ESTADO]]="CERRADO","Cerrados IUP",IF(PL[[#This Row],[ESTADO]]="PTE Validar Enel","Pendiente cierre ENEL",IF(ISNUMBER(SEARCH("suministro",PL[[#This Row],[SUPPLIER NOTES]])),"Suministros",IF(PL[[#This Row],[SC]]="SOCIAL","Social",IF(ISNUMBER(SEARCH("monolito",PL[[#This Row],[DESCRIPTION]])),"Monolitos","Varios")))))</f>
        <v>Suministros</v>
      </c>
      <c r="Q24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48" spans="1:17" hidden="1" x14ac:dyDescent="0.2">
      <c r="A248" s="75" t="s">
        <v>955</v>
      </c>
      <c r="B248" s="74" t="s">
        <v>41</v>
      </c>
      <c r="C248" s="52">
        <v>5</v>
      </c>
      <c r="D248" s="74" t="s">
        <v>3389</v>
      </c>
      <c r="E248" s="76" t="s">
        <v>3392</v>
      </c>
      <c r="F248" s="74" t="s">
        <v>956</v>
      </c>
      <c r="G248" s="74" t="s">
        <v>49</v>
      </c>
      <c r="H248" s="74" t="s">
        <v>3462</v>
      </c>
      <c r="I248" s="74"/>
      <c r="J248" s="74" t="s">
        <v>11</v>
      </c>
      <c r="K248" s="74" t="s">
        <v>3393</v>
      </c>
      <c r="L248" s="74"/>
      <c r="M248" s="77"/>
      <c r="N248" s="74" t="str">
        <f>IF(ISNUMBER(PL[[#This Row],[CTO]]),"CTO "&amp;PL[[#This Row],[CTO]],"Otros")</f>
        <v>CTO 5</v>
      </c>
      <c r="O248" s="74" t="str">
        <f>IF(PL[[#This Row],[STATUS IUP]]="CERRADO","CERRADO",IF(ISNUMBER(SEARCH("validacion de enel",PL[[#This Row],[SUPPLIER NOTES]])),"PTE Validar Enel","ABIERTO"))</f>
        <v>ABIERTO</v>
      </c>
      <c r="P248" s="74" t="str">
        <f>IF(PL[[#This Row],[ESTADO]]="CERRADO","Cerrados IUP",IF(PL[[#This Row],[ESTADO]]="PTE Validar Enel","Pendiente cierre ENEL",IF(ISNUMBER(SEARCH("suministro",PL[[#This Row],[SUPPLIER NOTES]])),"Suministros",IF(PL[[#This Row],[SC]]="SOCIAL","Social",IF(ISNUMBER(SEARCH("monolito",PL[[#This Row],[DESCRIPTION]])),"Monolitos","Varios")))))</f>
        <v>Suministros</v>
      </c>
      <c r="Q24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49" spans="1:17" hidden="1" x14ac:dyDescent="0.2">
      <c r="A249" s="75" t="s">
        <v>957</v>
      </c>
      <c r="B249" s="74" t="s">
        <v>41</v>
      </c>
      <c r="C249" s="52">
        <v>5</v>
      </c>
      <c r="D249" s="74" t="s">
        <v>3389</v>
      </c>
      <c r="E249" s="76" t="s">
        <v>3392</v>
      </c>
      <c r="F249" s="74" t="s">
        <v>958</v>
      </c>
      <c r="G249" s="74" t="s">
        <v>49</v>
      </c>
      <c r="H249" s="74" t="s">
        <v>3462</v>
      </c>
      <c r="I249" s="74"/>
      <c r="J249" s="74" t="s">
        <v>11</v>
      </c>
      <c r="K249" s="74" t="s">
        <v>3393</v>
      </c>
      <c r="L249" s="74"/>
      <c r="M249" s="77"/>
      <c r="N249" s="74" t="str">
        <f>IF(ISNUMBER(PL[[#This Row],[CTO]]),"CTO "&amp;PL[[#This Row],[CTO]],"Otros")</f>
        <v>CTO 5</v>
      </c>
      <c r="O249" s="74" t="str">
        <f>IF(PL[[#This Row],[STATUS IUP]]="CERRADO","CERRADO",IF(ISNUMBER(SEARCH("validacion de enel",PL[[#This Row],[SUPPLIER NOTES]])),"PTE Validar Enel","ABIERTO"))</f>
        <v>ABIERTO</v>
      </c>
      <c r="P249" s="74" t="str">
        <f>IF(PL[[#This Row],[ESTADO]]="CERRADO","Cerrados IUP",IF(PL[[#This Row],[ESTADO]]="PTE Validar Enel","Pendiente cierre ENEL",IF(ISNUMBER(SEARCH("suministro",PL[[#This Row],[SUPPLIER NOTES]])),"Suministros",IF(PL[[#This Row],[SC]]="SOCIAL","Social",IF(ISNUMBER(SEARCH("monolito",PL[[#This Row],[DESCRIPTION]])),"Monolitos","Varios")))))</f>
        <v>Suministros</v>
      </c>
      <c r="Q24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0" spans="1:17" hidden="1" x14ac:dyDescent="0.2">
      <c r="A250" s="75" t="s">
        <v>959</v>
      </c>
      <c r="B250" s="74" t="s">
        <v>41</v>
      </c>
      <c r="C250" s="52">
        <v>5</v>
      </c>
      <c r="D250" s="74" t="s">
        <v>3389</v>
      </c>
      <c r="E250" s="76" t="s">
        <v>3392</v>
      </c>
      <c r="F250" s="74" t="s">
        <v>960</v>
      </c>
      <c r="G250" s="74" t="s">
        <v>49</v>
      </c>
      <c r="H250" s="74" t="s">
        <v>3462</v>
      </c>
      <c r="I250" s="74"/>
      <c r="J250" s="74" t="s">
        <v>11</v>
      </c>
      <c r="K250" s="74" t="s">
        <v>3393</v>
      </c>
      <c r="L250" s="74"/>
      <c r="M250" s="77"/>
      <c r="N250" s="74" t="str">
        <f>IF(ISNUMBER(PL[[#This Row],[CTO]]),"CTO "&amp;PL[[#This Row],[CTO]],"Otros")</f>
        <v>CTO 5</v>
      </c>
      <c r="O250" s="74" t="str">
        <f>IF(PL[[#This Row],[STATUS IUP]]="CERRADO","CERRADO",IF(ISNUMBER(SEARCH("validacion de enel",PL[[#This Row],[SUPPLIER NOTES]])),"PTE Validar Enel","ABIERTO"))</f>
        <v>ABIERTO</v>
      </c>
      <c r="P250" s="74" t="str">
        <f>IF(PL[[#This Row],[ESTADO]]="CERRADO","Cerrados IUP",IF(PL[[#This Row],[ESTADO]]="PTE Validar Enel","Pendiente cierre ENEL",IF(ISNUMBER(SEARCH("suministro",PL[[#This Row],[SUPPLIER NOTES]])),"Suministros",IF(PL[[#This Row],[SC]]="SOCIAL","Social",IF(ISNUMBER(SEARCH("monolito",PL[[#This Row],[DESCRIPTION]])),"Monolitos","Varios")))))</f>
        <v>Suministros</v>
      </c>
      <c r="Q25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1" spans="1:17" hidden="1" x14ac:dyDescent="0.2">
      <c r="A251" s="75" t="s">
        <v>961</v>
      </c>
      <c r="B251" s="74" t="s">
        <v>41</v>
      </c>
      <c r="C251" s="52">
        <v>5</v>
      </c>
      <c r="D251" s="74" t="s">
        <v>3389</v>
      </c>
      <c r="E251" s="76" t="s">
        <v>3392</v>
      </c>
      <c r="F251" s="74" t="s">
        <v>962</v>
      </c>
      <c r="G251" s="74" t="s">
        <v>49</v>
      </c>
      <c r="H251" s="74" t="s">
        <v>3462</v>
      </c>
      <c r="I251" s="74"/>
      <c r="J251" s="74" t="s">
        <v>11</v>
      </c>
      <c r="K251" s="74" t="s">
        <v>3393</v>
      </c>
      <c r="L251" s="74"/>
      <c r="M251" s="77"/>
      <c r="N251" s="74" t="str">
        <f>IF(ISNUMBER(PL[[#This Row],[CTO]]),"CTO "&amp;PL[[#This Row],[CTO]],"Otros")</f>
        <v>CTO 5</v>
      </c>
      <c r="O251" s="74" t="str">
        <f>IF(PL[[#This Row],[STATUS IUP]]="CERRADO","CERRADO",IF(ISNUMBER(SEARCH("validacion de enel",PL[[#This Row],[SUPPLIER NOTES]])),"PTE Validar Enel","ABIERTO"))</f>
        <v>ABIERTO</v>
      </c>
      <c r="P251" s="74" t="str">
        <f>IF(PL[[#This Row],[ESTADO]]="CERRADO","Cerrados IUP",IF(PL[[#This Row],[ESTADO]]="PTE Validar Enel","Pendiente cierre ENEL",IF(ISNUMBER(SEARCH("suministro",PL[[#This Row],[SUPPLIER NOTES]])),"Suministros",IF(PL[[#This Row],[SC]]="SOCIAL","Social",IF(ISNUMBER(SEARCH("monolito",PL[[#This Row],[DESCRIPTION]])),"Monolitos","Varios")))))</f>
        <v>Suministros</v>
      </c>
      <c r="Q25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2" spans="1:17" hidden="1" x14ac:dyDescent="0.2">
      <c r="A252" s="75" t="s">
        <v>963</v>
      </c>
      <c r="B252" s="74" t="s">
        <v>41</v>
      </c>
      <c r="C252" s="52">
        <v>5</v>
      </c>
      <c r="D252" s="74" t="s">
        <v>3389</v>
      </c>
      <c r="E252" s="76" t="s">
        <v>3392</v>
      </c>
      <c r="F252" s="74" t="s">
        <v>964</v>
      </c>
      <c r="G252" s="74" t="s">
        <v>49</v>
      </c>
      <c r="H252" s="74" t="s">
        <v>3462</v>
      </c>
      <c r="I252" s="74"/>
      <c r="J252" s="74" t="s">
        <v>11</v>
      </c>
      <c r="K252" s="74" t="s">
        <v>3393</v>
      </c>
      <c r="L252" s="74"/>
      <c r="M252" s="77"/>
      <c r="N252" s="74" t="str">
        <f>IF(ISNUMBER(PL[[#This Row],[CTO]]),"CTO "&amp;PL[[#This Row],[CTO]],"Otros")</f>
        <v>CTO 5</v>
      </c>
      <c r="O252" s="74" t="str">
        <f>IF(PL[[#This Row],[STATUS IUP]]="CERRADO","CERRADO",IF(ISNUMBER(SEARCH("validacion de enel",PL[[#This Row],[SUPPLIER NOTES]])),"PTE Validar Enel","ABIERTO"))</f>
        <v>ABIERTO</v>
      </c>
      <c r="P252" s="74" t="str">
        <f>IF(PL[[#This Row],[ESTADO]]="CERRADO","Cerrados IUP",IF(PL[[#This Row],[ESTADO]]="PTE Validar Enel","Pendiente cierre ENEL",IF(ISNUMBER(SEARCH("suministro",PL[[#This Row],[SUPPLIER NOTES]])),"Suministros",IF(PL[[#This Row],[SC]]="SOCIAL","Social",IF(ISNUMBER(SEARCH("monolito",PL[[#This Row],[DESCRIPTION]])),"Monolitos","Varios")))))</f>
        <v>Suministros</v>
      </c>
      <c r="Q25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3" spans="1:17" hidden="1" x14ac:dyDescent="0.2">
      <c r="A253" s="75" t="s">
        <v>965</v>
      </c>
      <c r="B253" s="74" t="s">
        <v>41</v>
      </c>
      <c r="C253" s="52">
        <v>5</v>
      </c>
      <c r="D253" s="74" t="s">
        <v>3389</v>
      </c>
      <c r="E253" s="76" t="s">
        <v>3392</v>
      </c>
      <c r="F253" s="74" t="s">
        <v>966</v>
      </c>
      <c r="G253" s="74" t="s">
        <v>49</v>
      </c>
      <c r="H253" s="74" t="s">
        <v>3462</v>
      </c>
      <c r="I253" s="74"/>
      <c r="J253" s="74" t="s">
        <v>11</v>
      </c>
      <c r="K253" s="74" t="s">
        <v>3393</v>
      </c>
      <c r="L253" s="74"/>
      <c r="M253" s="77"/>
      <c r="N253" s="74" t="str">
        <f>IF(ISNUMBER(PL[[#This Row],[CTO]]),"CTO "&amp;PL[[#This Row],[CTO]],"Otros")</f>
        <v>CTO 5</v>
      </c>
      <c r="O253" s="74" t="str">
        <f>IF(PL[[#This Row],[STATUS IUP]]="CERRADO","CERRADO",IF(ISNUMBER(SEARCH("validacion de enel",PL[[#This Row],[SUPPLIER NOTES]])),"PTE Validar Enel","ABIERTO"))</f>
        <v>ABIERTO</v>
      </c>
      <c r="P253" s="74" t="str">
        <f>IF(PL[[#This Row],[ESTADO]]="CERRADO","Cerrados IUP",IF(PL[[#This Row],[ESTADO]]="PTE Validar Enel","Pendiente cierre ENEL",IF(ISNUMBER(SEARCH("suministro",PL[[#This Row],[SUPPLIER NOTES]])),"Suministros",IF(PL[[#This Row],[SC]]="SOCIAL","Social",IF(ISNUMBER(SEARCH("monolito",PL[[#This Row],[DESCRIPTION]])),"Monolitos","Varios")))))</f>
        <v>Suministros</v>
      </c>
      <c r="Q25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4" spans="1:17" hidden="1" x14ac:dyDescent="0.2">
      <c r="A254" s="75" t="s">
        <v>967</v>
      </c>
      <c r="B254" s="74" t="s">
        <v>41</v>
      </c>
      <c r="C254" s="52">
        <v>5</v>
      </c>
      <c r="D254" s="74" t="s">
        <v>3389</v>
      </c>
      <c r="E254" s="76" t="s">
        <v>3392</v>
      </c>
      <c r="F254" s="74" t="s">
        <v>968</v>
      </c>
      <c r="G254" s="74" t="s">
        <v>49</v>
      </c>
      <c r="H254" s="74" t="s">
        <v>3462</v>
      </c>
      <c r="I254" s="74"/>
      <c r="J254" s="74" t="s">
        <v>11</v>
      </c>
      <c r="K254" s="74" t="s">
        <v>3393</v>
      </c>
      <c r="L254" s="74"/>
      <c r="M254" s="77"/>
      <c r="N254" s="74" t="str">
        <f>IF(ISNUMBER(PL[[#This Row],[CTO]]),"CTO "&amp;PL[[#This Row],[CTO]],"Otros")</f>
        <v>CTO 5</v>
      </c>
      <c r="O254" s="74" t="str">
        <f>IF(PL[[#This Row],[STATUS IUP]]="CERRADO","CERRADO",IF(ISNUMBER(SEARCH("validacion de enel",PL[[#This Row],[SUPPLIER NOTES]])),"PTE Validar Enel","ABIERTO"))</f>
        <v>ABIERTO</v>
      </c>
      <c r="P254" s="74" t="str">
        <f>IF(PL[[#This Row],[ESTADO]]="CERRADO","Cerrados IUP",IF(PL[[#This Row],[ESTADO]]="PTE Validar Enel","Pendiente cierre ENEL",IF(ISNUMBER(SEARCH("suministro",PL[[#This Row],[SUPPLIER NOTES]])),"Suministros",IF(PL[[#This Row],[SC]]="SOCIAL","Social",IF(ISNUMBER(SEARCH("monolito",PL[[#This Row],[DESCRIPTION]])),"Monolitos","Varios")))))</f>
        <v>Suministros</v>
      </c>
      <c r="Q25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5" spans="1:17" hidden="1" x14ac:dyDescent="0.2">
      <c r="A255" s="75" t="s">
        <v>969</v>
      </c>
      <c r="B255" s="74" t="s">
        <v>41</v>
      </c>
      <c r="C255" s="52">
        <v>5</v>
      </c>
      <c r="D255" s="74" t="s">
        <v>3389</v>
      </c>
      <c r="E255" s="76" t="s">
        <v>3392</v>
      </c>
      <c r="F255" s="74" t="s">
        <v>970</v>
      </c>
      <c r="G255" s="74" t="s">
        <v>49</v>
      </c>
      <c r="H255" s="74" t="s">
        <v>3462</v>
      </c>
      <c r="I255" s="74"/>
      <c r="J255" s="74" t="s">
        <v>11</v>
      </c>
      <c r="K255" s="74" t="s">
        <v>3393</v>
      </c>
      <c r="L255" s="74"/>
      <c r="M255" s="77"/>
      <c r="N255" s="74" t="str">
        <f>IF(ISNUMBER(PL[[#This Row],[CTO]]),"CTO "&amp;PL[[#This Row],[CTO]],"Otros")</f>
        <v>CTO 5</v>
      </c>
      <c r="O255" s="74" t="str">
        <f>IF(PL[[#This Row],[STATUS IUP]]="CERRADO","CERRADO",IF(ISNUMBER(SEARCH("validacion de enel",PL[[#This Row],[SUPPLIER NOTES]])),"PTE Validar Enel","ABIERTO"))</f>
        <v>ABIERTO</v>
      </c>
      <c r="P255" s="74" t="str">
        <f>IF(PL[[#This Row],[ESTADO]]="CERRADO","Cerrados IUP",IF(PL[[#This Row],[ESTADO]]="PTE Validar Enel","Pendiente cierre ENEL",IF(ISNUMBER(SEARCH("suministro",PL[[#This Row],[SUPPLIER NOTES]])),"Suministros",IF(PL[[#This Row],[SC]]="SOCIAL","Social",IF(ISNUMBER(SEARCH("monolito",PL[[#This Row],[DESCRIPTION]])),"Monolitos","Varios")))))</f>
        <v>Suministros</v>
      </c>
      <c r="Q25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6" spans="1:17" hidden="1" x14ac:dyDescent="0.2">
      <c r="A256" s="75" t="s">
        <v>971</v>
      </c>
      <c r="B256" s="74" t="s">
        <v>41</v>
      </c>
      <c r="C256" s="52">
        <v>5</v>
      </c>
      <c r="D256" s="74" t="s">
        <v>3389</v>
      </c>
      <c r="E256" s="76" t="s">
        <v>3392</v>
      </c>
      <c r="F256" s="74" t="s">
        <v>972</v>
      </c>
      <c r="G256" s="74" t="s">
        <v>49</v>
      </c>
      <c r="H256" s="74" t="s">
        <v>3462</v>
      </c>
      <c r="I256" s="74"/>
      <c r="J256" s="74" t="s">
        <v>11</v>
      </c>
      <c r="K256" s="74" t="s">
        <v>3393</v>
      </c>
      <c r="L256" s="74"/>
      <c r="M256" s="77"/>
      <c r="N256" s="74" t="str">
        <f>IF(ISNUMBER(PL[[#This Row],[CTO]]),"CTO "&amp;PL[[#This Row],[CTO]],"Otros")</f>
        <v>CTO 5</v>
      </c>
      <c r="O256" s="74" t="str">
        <f>IF(PL[[#This Row],[STATUS IUP]]="CERRADO","CERRADO",IF(ISNUMBER(SEARCH("validacion de enel",PL[[#This Row],[SUPPLIER NOTES]])),"PTE Validar Enel","ABIERTO"))</f>
        <v>ABIERTO</v>
      </c>
      <c r="P256" s="74" t="str">
        <f>IF(PL[[#This Row],[ESTADO]]="CERRADO","Cerrados IUP",IF(PL[[#This Row],[ESTADO]]="PTE Validar Enel","Pendiente cierre ENEL",IF(ISNUMBER(SEARCH("suministro",PL[[#This Row],[SUPPLIER NOTES]])),"Suministros",IF(PL[[#This Row],[SC]]="SOCIAL","Social",IF(ISNUMBER(SEARCH("monolito",PL[[#This Row],[DESCRIPTION]])),"Monolitos","Varios")))))</f>
        <v>Suministros</v>
      </c>
      <c r="Q25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7" spans="1:17" hidden="1" x14ac:dyDescent="0.2">
      <c r="A257" s="75" t="s">
        <v>973</v>
      </c>
      <c r="B257" s="74" t="s">
        <v>41</v>
      </c>
      <c r="C257" s="52">
        <v>5</v>
      </c>
      <c r="D257" s="74" t="s">
        <v>3389</v>
      </c>
      <c r="E257" s="76" t="s">
        <v>3392</v>
      </c>
      <c r="F257" s="74" t="s">
        <v>974</v>
      </c>
      <c r="G257" s="74" t="s">
        <v>49</v>
      </c>
      <c r="H257" s="74" t="s">
        <v>3462</v>
      </c>
      <c r="I257" s="74"/>
      <c r="J257" s="74" t="s">
        <v>11</v>
      </c>
      <c r="K257" s="74" t="s">
        <v>3393</v>
      </c>
      <c r="L257" s="74"/>
      <c r="M257" s="77"/>
      <c r="N257" s="74" t="str">
        <f>IF(ISNUMBER(PL[[#This Row],[CTO]]),"CTO "&amp;PL[[#This Row],[CTO]],"Otros")</f>
        <v>CTO 5</v>
      </c>
      <c r="O257" s="74" t="str">
        <f>IF(PL[[#This Row],[STATUS IUP]]="CERRADO","CERRADO",IF(ISNUMBER(SEARCH("validacion de enel",PL[[#This Row],[SUPPLIER NOTES]])),"PTE Validar Enel","ABIERTO"))</f>
        <v>ABIERTO</v>
      </c>
      <c r="P257" s="74" t="str">
        <f>IF(PL[[#This Row],[ESTADO]]="CERRADO","Cerrados IUP",IF(PL[[#This Row],[ESTADO]]="PTE Validar Enel","Pendiente cierre ENEL",IF(ISNUMBER(SEARCH("suministro",PL[[#This Row],[SUPPLIER NOTES]])),"Suministros",IF(PL[[#This Row],[SC]]="SOCIAL","Social",IF(ISNUMBER(SEARCH("monolito",PL[[#This Row],[DESCRIPTION]])),"Monolitos","Varios")))))</f>
        <v>Suministros</v>
      </c>
      <c r="Q25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8" spans="1:17" hidden="1" x14ac:dyDescent="0.2">
      <c r="A258" s="75" t="s">
        <v>975</v>
      </c>
      <c r="B258" s="74" t="s">
        <v>41</v>
      </c>
      <c r="C258" s="52">
        <v>5</v>
      </c>
      <c r="D258" s="74" t="s">
        <v>3389</v>
      </c>
      <c r="E258" s="76" t="s">
        <v>3392</v>
      </c>
      <c r="F258" s="74" t="s">
        <v>976</v>
      </c>
      <c r="G258" s="74" t="s">
        <v>49</v>
      </c>
      <c r="H258" s="74" t="s">
        <v>3462</v>
      </c>
      <c r="I258" s="74"/>
      <c r="J258" s="74" t="s">
        <v>11</v>
      </c>
      <c r="K258" s="74" t="s">
        <v>3393</v>
      </c>
      <c r="L258" s="74"/>
      <c r="M258" s="77"/>
      <c r="N258" s="74" t="str">
        <f>IF(ISNUMBER(PL[[#This Row],[CTO]]),"CTO "&amp;PL[[#This Row],[CTO]],"Otros")</f>
        <v>CTO 5</v>
      </c>
      <c r="O258" s="74" t="str">
        <f>IF(PL[[#This Row],[STATUS IUP]]="CERRADO","CERRADO",IF(ISNUMBER(SEARCH("validacion de enel",PL[[#This Row],[SUPPLIER NOTES]])),"PTE Validar Enel","ABIERTO"))</f>
        <v>ABIERTO</v>
      </c>
      <c r="P258" s="74" t="str">
        <f>IF(PL[[#This Row],[ESTADO]]="CERRADO","Cerrados IUP",IF(PL[[#This Row],[ESTADO]]="PTE Validar Enel","Pendiente cierre ENEL",IF(ISNUMBER(SEARCH("suministro",PL[[#This Row],[SUPPLIER NOTES]])),"Suministros",IF(PL[[#This Row],[SC]]="SOCIAL","Social",IF(ISNUMBER(SEARCH("monolito",PL[[#This Row],[DESCRIPTION]])),"Monolitos","Varios")))))</f>
        <v>Suministros</v>
      </c>
      <c r="Q25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59" spans="1:17" hidden="1" x14ac:dyDescent="0.2">
      <c r="A259" s="75" t="s">
        <v>977</v>
      </c>
      <c r="B259" s="74" t="s">
        <v>41</v>
      </c>
      <c r="C259" s="52">
        <v>5</v>
      </c>
      <c r="D259" s="74" t="s">
        <v>3389</v>
      </c>
      <c r="E259" s="76" t="s">
        <v>3392</v>
      </c>
      <c r="F259" s="74" t="s">
        <v>978</v>
      </c>
      <c r="G259" s="74" t="s">
        <v>49</v>
      </c>
      <c r="H259" s="74" t="s">
        <v>3462</v>
      </c>
      <c r="I259" s="74"/>
      <c r="J259" s="74" t="s">
        <v>11</v>
      </c>
      <c r="K259" s="74" t="s">
        <v>3393</v>
      </c>
      <c r="L259" s="74"/>
      <c r="M259" s="77"/>
      <c r="N259" s="74" t="str">
        <f>IF(ISNUMBER(PL[[#This Row],[CTO]]),"CTO "&amp;PL[[#This Row],[CTO]],"Otros")</f>
        <v>CTO 5</v>
      </c>
      <c r="O259" s="74" t="str">
        <f>IF(PL[[#This Row],[STATUS IUP]]="CERRADO","CERRADO",IF(ISNUMBER(SEARCH("validacion de enel",PL[[#This Row],[SUPPLIER NOTES]])),"PTE Validar Enel","ABIERTO"))</f>
        <v>ABIERTO</v>
      </c>
      <c r="P259" s="74" t="str">
        <f>IF(PL[[#This Row],[ESTADO]]="CERRADO","Cerrados IUP",IF(PL[[#This Row],[ESTADO]]="PTE Validar Enel","Pendiente cierre ENEL",IF(ISNUMBER(SEARCH("suministro",PL[[#This Row],[SUPPLIER NOTES]])),"Suministros",IF(PL[[#This Row],[SC]]="SOCIAL","Social",IF(ISNUMBER(SEARCH("monolito",PL[[#This Row],[DESCRIPTION]])),"Monolitos","Varios")))))</f>
        <v>Suministros</v>
      </c>
      <c r="Q25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0" spans="1:17" hidden="1" x14ac:dyDescent="0.2">
      <c r="A260" s="75" t="s">
        <v>979</v>
      </c>
      <c r="B260" s="74" t="s">
        <v>41</v>
      </c>
      <c r="C260" s="52">
        <v>5</v>
      </c>
      <c r="D260" s="74" t="s">
        <v>3389</v>
      </c>
      <c r="E260" s="76" t="s">
        <v>3392</v>
      </c>
      <c r="F260" s="74" t="s">
        <v>980</v>
      </c>
      <c r="G260" s="74" t="s">
        <v>49</v>
      </c>
      <c r="H260" s="74" t="s">
        <v>3462</v>
      </c>
      <c r="I260" s="74"/>
      <c r="J260" s="74" t="s">
        <v>11</v>
      </c>
      <c r="K260" s="74" t="s">
        <v>3393</v>
      </c>
      <c r="L260" s="74"/>
      <c r="M260" s="77"/>
      <c r="N260" s="74" t="str">
        <f>IF(ISNUMBER(PL[[#This Row],[CTO]]),"CTO "&amp;PL[[#This Row],[CTO]],"Otros")</f>
        <v>CTO 5</v>
      </c>
      <c r="O260" s="74" t="str">
        <f>IF(PL[[#This Row],[STATUS IUP]]="CERRADO","CERRADO",IF(ISNUMBER(SEARCH("validacion de enel",PL[[#This Row],[SUPPLIER NOTES]])),"PTE Validar Enel","ABIERTO"))</f>
        <v>ABIERTO</v>
      </c>
      <c r="P260" s="74" t="str">
        <f>IF(PL[[#This Row],[ESTADO]]="CERRADO","Cerrados IUP",IF(PL[[#This Row],[ESTADO]]="PTE Validar Enel","Pendiente cierre ENEL",IF(ISNUMBER(SEARCH("suministro",PL[[#This Row],[SUPPLIER NOTES]])),"Suministros",IF(PL[[#This Row],[SC]]="SOCIAL","Social",IF(ISNUMBER(SEARCH("monolito",PL[[#This Row],[DESCRIPTION]])),"Monolitos","Varios")))))</f>
        <v>Suministros</v>
      </c>
      <c r="Q26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1" spans="1:17" ht="32" hidden="1" x14ac:dyDescent="0.2">
      <c r="A261" s="86" t="s">
        <v>981</v>
      </c>
      <c r="B261" s="115" t="s">
        <v>41</v>
      </c>
      <c r="C261" s="52">
        <v>5</v>
      </c>
      <c r="D261" s="87" t="s">
        <v>3389</v>
      </c>
      <c r="E261" s="88" t="s">
        <v>3392</v>
      </c>
      <c r="F261" s="115" t="s">
        <v>982</v>
      </c>
      <c r="G261" s="87" t="s">
        <v>49</v>
      </c>
      <c r="H261" s="87" t="s">
        <v>3454</v>
      </c>
      <c r="I261" s="87"/>
      <c r="J261" s="87" t="s">
        <v>74</v>
      </c>
      <c r="K261" s="87" t="s">
        <v>3394</v>
      </c>
      <c r="L261" s="120">
        <v>46305</v>
      </c>
      <c r="M261" s="89"/>
      <c r="N261" s="87" t="str">
        <f>IF(ISNUMBER(PL[[#This Row],[CTO]]),"CTO "&amp;PL[[#This Row],[CTO]],"Otros")</f>
        <v>CTO 5</v>
      </c>
      <c r="O261" s="87" t="str">
        <f>IF(PL[[#This Row],[STATUS IUP]]="CERRADO","CERRADO",IF(ISNUMBER(SEARCH("validacion de enel",PL[[#This Row],[SUPPLIER NOTES]])),"PTE Validar Enel","ABIERTO"))</f>
        <v>CERRADO</v>
      </c>
      <c r="P261" s="87" t="str">
        <f>IF(PL[[#This Row],[ESTADO]]="CERRADO","Cerrados IUP",IF(PL[[#This Row],[ESTADO]]="PTE Validar Enel","Pendiente cierre ENEL",IF(ISNUMBER(SEARCH("suministro",PL[[#This Row],[SUPPLIER NOTES]])),"Suministros",IF(PL[[#This Row],[SC]]="SOCIAL","Social",IF(ISNUMBER(SEARCH("monolito",PL[[#This Row],[DESCRIPTION]])),"Monolitos","Varios")))))</f>
        <v>Cerrados IUP</v>
      </c>
      <c r="Q26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2" spans="1:17" s="157" customFormat="1" hidden="1" x14ac:dyDescent="0.2">
      <c r="A262" s="151" t="s">
        <v>983</v>
      </c>
      <c r="B262" s="154" t="s">
        <v>41</v>
      </c>
      <c r="C262" s="152">
        <v>5</v>
      </c>
      <c r="D262" s="154" t="s">
        <v>3389</v>
      </c>
      <c r="E262" s="153" t="s">
        <v>3392</v>
      </c>
      <c r="F262" s="154" t="s">
        <v>984</v>
      </c>
      <c r="G262" s="154" t="s">
        <v>49</v>
      </c>
      <c r="H262" s="154"/>
      <c r="I262" s="154"/>
      <c r="J262" s="154" t="s">
        <v>74</v>
      </c>
      <c r="K262" s="154" t="s">
        <v>3394</v>
      </c>
      <c r="L262" s="154"/>
      <c r="M262" s="156"/>
      <c r="N262" s="154" t="str">
        <f>IF(ISNUMBER(PL[[#This Row],[CTO]]),"CTO "&amp;PL[[#This Row],[CTO]],"Otros")</f>
        <v>CTO 5</v>
      </c>
      <c r="O262" s="154" t="str">
        <f>IF(PL[[#This Row],[STATUS IUP]]="CERRADO","CERRADO",IF(ISNUMBER(SEARCH("validacion de enel",PL[[#This Row],[SUPPLIER NOTES]])),"PTE Validar Enel","ABIERTO"))</f>
        <v>CERRADO</v>
      </c>
      <c r="P262" s="154" t="str">
        <f>IF(PL[[#This Row],[ESTADO]]="CERRADO","Cerrados IUP",IF(PL[[#This Row],[ESTADO]]="PTE Validar Enel","Pendiente cierre ENEL",IF(ISNUMBER(SEARCH("suministro",PL[[#This Row],[SUPPLIER NOTES]])),"Suministros",IF(PL[[#This Row],[SC]]="SOCIAL","Social",IF(ISNUMBER(SEARCH("monolito",PL[[#This Row],[DESCRIPTION]])),"Monolitos","Varios")))))</f>
        <v>Cerrados IUP</v>
      </c>
      <c r="Q2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3" spans="1:17" s="157" customFormat="1" hidden="1" x14ac:dyDescent="0.2">
      <c r="A263" s="151" t="s">
        <v>985</v>
      </c>
      <c r="B263" s="154" t="s">
        <v>41</v>
      </c>
      <c r="C263" s="152">
        <v>5</v>
      </c>
      <c r="D263" s="154" t="s">
        <v>3389</v>
      </c>
      <c r="E263" s="153" t="s">
        <v>3392</v>
      </c>
      <c r="F263" s="154" t="s">
        <v>986</v>
      </c>
      <c r="G263" s="154" t="s">
        <v>49</v>
      </c>
      <c r="H263" s="154"/>
      <c r="I263" s="154"/>
      <c r="J263" s="154" t="s">
        <v>74</v>
      </c>
      <c r="K263" s="154" t="s">
        <v>3394</v>
      </c>
      <c r="L263" s="154"/>
      <c r="M263" s="156"/>
      <c r="N263" s="154" t="str">
        <f>IF(ISNUMBER(PL[[#This Row],[CTO]]),"CTO "&amp;PL[[#This Row],[CTO]],"Otros")</f>
        <v>CTO 5</v>
      </c>
      <c r="O263" s="154" t="str">
        <f>IF(PL[[#This Row],[STATUS IUP]]="CERRADO","CERRADO",IF(ISNUMBER(SEARCH("validacion de enel",PL[[#This Row],[SUPPLIER NOTES]])),"PTE Validar Enel","ABIERTO"))</f>
        <v>CERRADO</v>
      </c>
      <c r="P263" s="154" t="str">
        <f>IF(PL[[#This Row],[ESTADO]]="CERRADO","Cerrados IUP",IF(PL[[#This Row],[ESTADO]]="PTE Validar Enel","Pendiente cierre ENEL",IF(ISNUMBER(SEARCH("suministro",PL[[#This Row],[SUPPLIER NOTES]])),"Suministros",IF(PL[[#This Row],[SC]]="SOCIAL","Social",IF(ISNUMBER(SEARCH("monolito",PL[[#This Row],[DESCRIPTION]])),"Monolitos","Varios")))))</f>
        <v>Cerrados IUP</v>
      </c>
      <c r="Q2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4" spans="1:17" hidden="1" x14ac:dyDescent="0.2">
      <c r="A264" s="75" t="s">
        <v>987</v>
      </c>
      <c r="B264" s="74" t="s">
        <v>41</v>
      </c>
      <c r="C264" s="52">
        <v>5</v>
      </c>
      <c r="D264" s="74" t="s">
        <v>3389</v>
      </c>
      <c r="E264" s="76" t="s">
        <v>3392</v>
      </c>
      <c r="F264" s="74" t="s">
        <v>988</v>
      </c>
      <c r="G264" s="74" t="s">
        <v>49</v>
      </c>
      <c r="H264" s="74" t="s">
        <v>3462</v>
      </c>
      <c r="I264" s="74"/>
      <c r="J264" s="74" t="s">
        <v>11</v>
      </c>
      <c r="K264" s="74" t="s">
        <v>3393</v>
      </c>
      <c r="L264" s="74"/>
      <c r="M264" s="77"/>
      <c r="N264" s="74" t="str">
        <f>IF(ISNUMBER(PL[[#This Row],[CTO]]),"CTO "&amp;PL[[#This Row],[CTO]],"Otros")</f>
        <v>CTO 5</v>
      </c>
      <c r="O264" s="74" t="str">
        <f>IF(PL[[#This Row],[STATUS IUP]]="CERRADO","CERRADO",IF(ISNUMBER(SEARCH("validacion de enel",PL[[#This Row],[SUPPLIER NOTES]])),"PTE Validar Enel","ABIERTO"))</f>
        <v>ABIERTO</v>
      </c>
      <c r="P264" s="74" t="str">
        <f>IF(PL[[#This Row],[ESTADO]]="CERRADO","Cerrados IUP",IF(PL[[#This Row],[ESTADO]]="PTE Validar Enel","Pendiente cierre ENEL",IF(ISNUMBER(SEARCH("suministro",PL[[#This Row],[SUPPLIER NOTES]])),"Suministros",IF(PL[[#This Row],[SC]]="SOCIAL","Social",IF(ISNUMBER(SEARCH("monolito",PL[[#This Row],[DESCRIPTION]])),"Monolitos","Varios")))))</f>
        <v>Suministros</v>
      </c>
      <c r="Q26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5" spans="1:17" hidden="1" x14ac:dyDescent="0.2">
      <c r="A265" s="75" t="s">
        <v>989</v>
      </c>
      <c r="B265" s="74" t="s">
        <v>41</v>
      </c>
      <c r="C265" s="52">
        <v>5</v>
      </c>
      <c r="D265" s="74" t="s">
        <v>3389</v>
      </c>
      <c r="E265" s="76" t="s">
        <v>3392</v>
      </c>
      <c r="F265" s="74" t="s">
        <v>990</v>
      </c>
      <c r="G265" s="74" t="s">
        <v>49</v>
      </c>
      <c r="H265" s="74" t="s">
        <v>3462</v>
      </c>
      <c r="I265" s="74"/>
      <c r="J265" s="74" t="s">
        <v>11</v>
      </c>
      <c r="K265" s="74" t="s">
        <v>3393</v>
      </c>
      <c r="L265" s="74"/>
      <c r="M265" s="77"/>
      <c r="N265" s="74" t="str">
        <f>IF(ISNUMBER(PL[[#This Row],[CTO]]),"CTO "&amp;PL[[#This Row],[CTO]],"Otros")</f>
        <v>CTO 5</v>
      </c>
      <c r="O265" s="74" t="str">
        <f>IF(PL[[#This Row],[STATUS IUP]]="CERRADO","CERRADO",IF(ISNUMBER(SEARCH("validacion de enel",PL[[#This Row],[SUPPLIER NOTES]])),"PTE Validar Enel","ABIERTO"))</f>
        <v>ABIERTO</v>
      </c>
      <c r="P265" s="74" t="str">
        <f>IF(PL[[#This Row],[ESTADO]]="CERRADO","Cerrados IUP",IF(PL[[#This Row],[ESTADO]]="PTE Validar Enel","Pendiente cierre ENEL",IF(ISNUMBER(SEARCH("suministro",PL[[#This Row],[SUPPLIER NOTES]])),"Suministros",IF(PL[[#This Row],[SC]]="SOCIAL","Social",IF(ISNUMBER(SEARCH("monolito",PL[[#This Row],[DESCRIPTION]])),"Monolitos","Varios")))))</f>
        <v>Suministros</v>
      </c>
      <c r="Q26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6" spans="1:17" hidden="1" x14ac:dyDescent="0.2">
      <c r="A266" s="75" t="s">
        <v>991</v>
      </c>
      <c r="B266" s="74" t="s">
        <v>41</v>
      </c>
      <c r="C266" s="52">
        <v>5</v>
      </c>
      <c r="D266" s="74" t="s">
        <v>3389</v>
      </c>
      <c r="E266" s="76" t="s">
        <v>3392</v>
      </c>
      <c r="F266" s="74" t="s">
        <v>992</v>
      </c>
      <c r="G266" s="74" t="s">
        <v>49</v>
      </c>
      <c r="H266" s="74" t="s">
        <v>3462</v>
      </c>
      <c r="I266" s="74"/>
      <c r="J266" s="74" t="s">
        <v>11</v>
      </c>
      <c r="K266" s="74" t="s">
        <v>3393</v>
      </c>
      <c r="L266" s="74"/>
      <c r="M266" s="77"/>
      <c r="N266" s="74" t="str">
        <f>IF(ISNUMBER(PL[[#This Row],[CTO]]),"CTO "&amp;PL[[#This Row],[CTO]],"Otros")</f>
        <v>CTO 5</v>
      </c>
      <c r="O266" s="74" t="str">
        <f>IF(PL[[#This Row],[STATUS IUP]]="CERRADO","CERRADO",IF(ISNUMBER(SEARCH("validacion de enel",PL[[#This Row],[SUPPLIER NOTES]])),"PTE Validar Enel","ABIERTO"))</f>
        <v>ABIERTO</v>
      </c>
      <c r="P266" s="74" t="str">
        <f>IF(PL[[#This Row],[ESTADO]]="CERRADO","Cerrados IUP",IF(PL[[#This Row],[ESTADO]]="PTE Validar Enel","Pendiente cierre ENEL",IF(ISNUMBER(SEARCH("suministro",PL[[#This Row],[SUPPLIER NOTES]])),"Suministros",IF(PL[[#This Row],[SC]]="SOCIAL","Social",IF(ISNUMBER(SEARCH("monolito",PL[[#This Row],[DESCRIPTION]])),"Monolitos","Varios")))))</f>
        <v>Suministros</v>
      </c>
      <c r="Q26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7" spans="1:17" hidden="1" x14ac:dyDescent="0.2">
      <c r="A267" s="75" t="s">
        <v>993</v>
      </c>
      <c r="B267" s="74" t="s">
        <v>41</v>
      </c>
      <c r="C267" s="52">
        <v>5</v>
      </c>
      <c r="D267" s="74" t="s">
        <v>3389</v>
      </c>
      <c r="E267" s="76" t="s">
        <v>3392</v>
      </c>
      <c r="F267" s="74" t="s">
        <v>994</v>
      </c>
      <c r="G267" s="74" t="s">
        <v>49</v>
      </c>
      <c r="H267" s="74" t="s">
        <v>3462</v>
      </c>
      <c r="I267" s="74"/>
      <c r="J267" s="74" t="s">
        <v>11</v>
      </c>
      <c r="K267" s="74" t="s">
        <v>3393</v>
      </c>
      <c r="L267" s="74"/>
      <c r="M267" s="77"/>
      <c r="N267" s="74" t="str">
        <f>IF(ISNUMBER(PL[[#This Row],[CTO]]),"CTO "&amp;PL[[#This Row],[CTO]],"Otros")</f>
        <v>CTO 5</v>
      </c>
      <c r="O267" s="74" t="str">
        <f>IF(PL[[#This Row],[STATUS IUP]]="CERRADO","CERRADO",IF(ISNUMBER(SEARCH("validacion de enel",PL[[#This Row],[SUPPLIER NOTES]])),"PTE Validar Enel","ABIERTO"))</f>
        <v>ABIERTO</v>
      </c>
      <c r="P267" s="74" t="str">
        <f>IF(PL[[#This Row],[ESTADO]]="CERRADO","Cerrados IUP",IF(PL[[#This Row],[ESTADO]]="PTE Validar Enel","Pendiente cierre ENEL",IF(ISNUMBER(SEARCH("suministro",PL[[#This Row],[SUPPLIER NOTES]])),"Suministros",IF(PL[[#This Row],[SC]]="SOCIAL","Social",IF(ISNUMBER(SEARCH("monolito",PL[[#This Row],[DESCRIPTION]])),"Monolitos","Varios")))))</f>
        <v>Suministros</v>
      </c>
      <c r="Q26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8" spans="1:17" hidden="1" x14ac:dyDescent="0.2">
      <c r="A268" s="75" t="s">
        <v>995</v>
      </c>
      <c r="B268" s="74" t="s">
        <v>41</v>
      </c>
      <c r="C268" s="52">
        <v>5</v>
      </c>
      <c r="D268" s="74" t="s">
        <v>3389</v>
      </c>
      <c r="E268" s="76" t="s">
        <v>3392</v>
      </c>
      <c r="F268" s="74" t="s">
        <v>996</v>
      </c>
      <c r="G268" s="74" t="s">
        <v>49</v>
      </c>
      <c r="H268" s="74" t="s">
        <v>3462</v>
      </c>
      <c r="I268" s="74"/>
      <c r="J268" s="74" t="s">
        <v>11</v>
      </c>
      <c r="K268" s="74" t="s">
        <v>3393</v>
      </c>
      <c r="L268" s="74"/>
      <c r="M268" s="77"/>
      <c r="N268" s="74" t="str">
        <f>IF(ISNUMBER(PL[[#This Row],[CTO]]),"CTO "&amp;PL[[#This Row],[CTO]],"Otros")</f>
        <v>CTO 5</v>
      </c>
      <c r="O268" s="74" t="str">
        <f>IF(PL[[#This Row],[STATUS IUP]]="CERRADO","CERRADO",IF(ISNUMBER(SEARCH("validacion de enel",PL[[#This Row],[SUPPLIER NOTES]])),"PTE Validar Enel","ABIERTO"))</f>
        <v>ABIERTO</v>
      </c>
      <c r="P268" s="74" t="str">
        <f>IF(PL[[#This Row],[ESTADO]]="CERRADO","Cerrados IUP",IF(PL[[#This Row],[ESTADO]]="PTE Validar Enel","Pendiente cierre ENEL",IF(ISNUMBER(SEARCH("suministro",PL[[#This Row],[SUPPLIER NOTES]])),"Suministros",IF(PL[[#This Row],[SC]]="SOCIAL","Social",IF(ISNUMBER(SEARCH("monolito",PL[[#This Row],[DESCRIPTION]])),"Monolitos","Varios")))))</f>
        <v>Suministros</v>
      </c>
      <c r="Q26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69" spans="1:17" hidden="1" x14ac:dyDescent="0.2">
      <c r="A269" s="75" t="s">
        <v>997</v>
      </c>
      <c r="B269" s="74" t="s">
        <v>41</v>
      </c>
      <c r="C269" s="52">
        <v>5</v>
      </c>
      <c r="D269" s="74" t="s">
        <v>3389</v>
      </c>
      <c r="E269" s="76" t="s">
        <v>3392</v>
      </c>
      <c r="F269" s="74" t="s">
        <v>998</v>
      </c>
      <c r="G269" s="74" t="s">
        <v>49</v>
      </c>
      <c r="H269" s="74" t="s">
        <v>3462</v>
      </c>
      <c r="I269" s="74"/>
      <c r="J269" s="74" t="s">
        <v>11</v>
      </c>
      <c r="K269" s="74" t="s">
        <v>3393</v>
      </c>
      <c r="L269" s="74"/>
      <c r="M269" s="77"/>
      <c r="N269" s="74" t="str">
        <f>IF(ISNUMBER(PL[[#This Row],[CTO]]),"CTO "&amp;PL[[#This Row],[CTO]],"Otros")</f>
        <v>CTO 5</v>
      </c>
      <c r="O269" s="74" t="str">
        <f>IF(PL[[#This Row],[STATUS IUP]]="CERRADO","CERRADO",IF(ISNUMBER(SEARCH("validacion de enel",PL[[#This Row],[SUPPLIER NOTES]])),"PTE Validar Enel","ABIERTO"))</f>
        <v>ABIERTO</v>
      </c>
      <c r="P269" s="74" t="str">
        <f>IF(PL[[#This Row],[ESTADO]]="CERRADO","Cerrados IUP",IF(PL[[#This Row],[ESTADO]]="PTE Validar Enel","Pendiente cierre ENEL",IF(ISNUMBER(SEARCH("suministro",PL[[#This Row],[SUPPLIER NOTES]])),"Suministros",IF(PL[[#This Row],[SC]]="SOCIAL","Social",IF(ISNUMBER(SEARCH("monolito",PL[[#This Row],[DESCRIPTION]])),"Monolitos","Varios")))))</f>
        <v>Suministros</v>
      </c>
      <c r="Q26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0" spans="1:17" hidden="1" x14ac:dyDescent="0.2">
      <c r="A270" s="75" t="s">
        <v>999</v>
      </c>
      <c r="B270" s="74" t="s">
        <v>41</v>
      </c>
      <c r="C270" s="52">
        <v>5</v>
      </c>
      <c r="D270" s="74" t="s">
        <v>3389</v>
      </c>
      <c r="E270" s="76" t="s">
        <v>3392</v>
      </c>
      <c r="F270" s="74" t="s">
        <v>1000</v>
      </c>
      <c r="G270" s="74" t="s">
        <v>49</v>
      </c>
      <c r="H270" s="74" t="s">
        <v>3462</v>
      </c>
      <c r="I270" s="74"/>
      <c r="J270" s="74" t="s">
        <v>11</v>
      </c>
      <c r="K270" s="74" t="s">
        <v>3393</v>
      </c>
      <c r="L270" s="74"/>
      <c r="M270" s="77"/>
      <c r="N270" s="74" t="str">
        <f>IF(ISNUMBER(PL[[#This Row],[CTO]]),"CTO "&amp;PL[[#This Row],[CTO]],"Otros")</f>
        <v>CTO 5</v>
      </c>
      <c r="O270" s="74" t="str">
        <f>IF(PL[[#This Row],[STATUS IUP]]="CERRADO","CERRADO",IF(ISNUMBER(SEARCH("validacion de enel",PL[[#This Row],[SUPPLIER NOTES]])),"PTE Validar Enel","ABIERTO"))</f>
        <v>ABIERTO</v>
      </c>
      <c r="P270" s="74" t="str">
        <f>IF(PL[[#This Row],[ESTADO]]="CERRADO","Cerrados IUP",IF(PL[[#This Row],[ESTADO]]="PTE Validar Enel","Pendiente cierre ENEL",IF(ISNUMBER(SEARCH("suministro",PL[[#This Row],[SUPPLIER NOTES]])),"Suministros",IF(PL[[#This Row],[SC]]="SOCIAL","Social",IF(ISNUMBER(SEARCH("monolito",PL[[#This Row],[DESCRIPTION]])),"Monolitos","Varios")))))</f>
        <v>Suministros</v>
      </c>
      <c r="Q27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1" spans="1:17" hidden="1" x14ac:dyDescent="0.2">
      <c r="A271" s="75" t="s">
        <v>1001</v>
      </c>
      <c r="B271" s="74" t="s">
        <v>41</v>
      </c>
      <c r="C271" s="52">
        <v>5</v>
      </c>
      <c r="D271" s="74" t="s">
        <v>3389</v>
      </c>
      <c r="E271" s="76" t="s">
        <v>3392</v>
      </c>
      <c r="F271" s="74" t="s">
        <v>1002</v>
      </c>
      <c r="G271" s="74" t="s">
        <v>49</v>
      </c>
      <c r="H271" s="74" t="s">
        <v>3462</v>
      </c>
      <c r="I271" s="74"/>
      <c r="J271" s="74" t="s">
        <v>11</v>
      </c>
      <c r="K271" s="74" t="s">
        <v>3393</v>
      </c>
      <c r="L271" s="74"/>
      <c r="M271" s="77"/>
      <c r="N271" s="74" t="str">
        <f>IF(ISNUMBER(PL[[#This Row],[CTO]]),"CTO "&amp;PL[[#This Row],[CTO]],"Otros")</f>
        <v>CTO 5</v>
      </c>
      <c r="O271" s="74" t="str">
        <f>IF(PL[[#This Row],[STATUS IUP]]="CERRADO","CERRADO",IF(ISNUMBER(SEARCH("validacion de enel",PL[[#This Row],[SUPPLIER NOTES]])),"PTE Validar Enel","ABIERTO"))</f>
        <v>ABIERTO</v>
      </c>
      <c r="P271" s="74" t="str">
        <f>IF(PL[[#This Row],[ESTADO]]="CERRADO","Cerrados IUP",IF(PL[[#This Row],[ESTADO]]="PTE Validar Enel","Pendiente cierre ENEL",IF(ISNUMBER(SEARCH("suministro",PL[[#This Row],[SUPPLIER NOTES]])),"Suministros",IF(PL[[#This Row],[SC]]="SOCIAL","Social",IF(ISNUMBER(SEARCH("monolito",PL[[#This Row],[DESCRIPTION]])),"Monolitos","Varios")))))</f>
        <v>Suministros</v>
      </c>
      <c r="Q27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2" spans="1:17" hidden="1" x14ac:dyDescent="0.2">
      <c r="A272" s="75" t="s">
        <v>1003</v>
      </c>
      <c r="B272" s="74" t="s">
        <v>41</v>
      </c>
      <c r="C272" s="52">
        <v>5</v>
      </c>
      <c r="D272" s="74" t="s">
        <v>3389</v>
      </c>
      <c r="E272" s="76" t="s">
        <v>3392</v>
      </c>
      <c r="F272" s="74" t="s">
        <v>1004</v>
      </c>
      <c r="G272" s="74" t="s">
        <v>49</v>
      </c>
      <c r="H272" s="74" t="s">
        <v>3462</v>
      </c>
      <c r="I272" s="74"/>
      <c r="J272" s="74" t="s">
        <v>11</v>
      </c>
      <c r="K272" s="74" t="s">
        <v>3393</v>
      </c>
      <c r="L272" s="74"/>
      <c r="M272" s="77"/>
      <c r="N272" s="74" t="str">
        <f>IF(ISNUMBER(PL[[#This Row],[CTO]]),"CTO "&amp;PL[[#This Row],[CTO]],"Otros")</f>
        <v>CTO 5</v>
      </c>
      <c r="O272" s="74" t="str">
        <f>IF(PL[[#This Row],[STATUS IUP]]="CERRADO","CERRADO",IF(ISNUMBER(SEARCH("validacion de enel",PL[[#This Row],[SUPPLIER NOTES]])),"PTE Validar Enel","ABIERTO"))</f>
        <v>ABIERTO</v>
      </c>
      <c r="P272" s="74" t="str">
        <f>IF(PL[[#This Row],[ESTADO]]="CERRADO","Cerrados IUP",IF(PL[[#This Row],[ESTADO]]="PTE Validar Enel","Pendiente cierre ENEL",IF(ISNUMBER(SEARCH("suministro",PL[[#This Row],[SUPPLIER NOTES]])),"Suministros",IF(PL[[#This Row],[SC]]="SOCIAL","Social",IF(ISNUMBER(SEARCH("monolito",PL[[#This Row],[DESCRIPTION]])),"Monolitos","Varios")))))</f>
        <v>Suministros</v>
      </c>
      <c r="Q27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3" spans="1:17" hidden="1" x14ac:dyDescent="0.2">
      <c r="A273" s="75" t="s">
        <v>1005</v>
      </c>
      <c r="B273" s="74" t="s">
        <v>41</v>
      </c>
      <c r="C273" s="52">
        <v>5</v>
      </c>
      <c r="D273" s="74" t="s">
        <v>3389</v>
      </c>
      <c r="E273" s="76" t="s">
        <v>3392</v>
      </c>
      <c r="F273" s="74" t="s">
        <v>1006</v>
      </c>
      <c r="G273" s="74" t="s">
        <v>49</v>
      </c>
      <c r="H273" s="74" t="s">
        <v>3462</v>
      </c>
      <c r="I273" s="74"/>
      <c r="J273" s="74" t="s">
        <v>11</v>
      </c>
      <c r="K273" s="74" t="s">
        <v>3393</v>
      </c>
      <c r="L273" s="74"/>
      <c r="M273" s="77"/>
      <c r="N273" s="74" t="str">
        <f>IF(ISNUMBER(PL[[#This Row],[CTO]]),"CTO "&amp;PL[[#This Row],[CTO]],"Otros")</f>
        <v>CTO 5</v>
      </c>
      <c r="O273" s="74" t="str">
        <f>IF(PL[[#This Row],[STATUS IUP]]="CERRADO","CERRADO",IF(ISNUMBER(SEARCH("validacion de enel",PL[[#This Row],[SUPPLIER NOTES]])),"PTE Validar Enel","ABIERTO"))</f>
        <v>ABIERTO</v>
      </c>
      <c r="P273" s="74" t="str">
        <f>IF(PL[[#This Row],[ESTADO]]="CERRADO","Cerrados IUP",IF(PL[[#This Row],[ESTADO]]="PTE Validar Enel","Pendiente cierre ENEL",IF(ISNUMBER(SEARCH("suministro",PL[[#This Row],[SUPPLIER NOTES]])),"Suministros",IF(PL[[#This Row],[SC]]="SOCIAL","Social",IF(ISNUMBER(SEARCH("monolito",PL[[#This Row],[DESCRIPTION]])),"Monolitos","Varios")))))</f>
        <v>Suministros</v>
      </c>
      <c r="Q27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4" spans="1:17" hidden="1" x14ac:dyDescent="0.2">
      <c r="A274" s="75" t="s">
        <v>1007</v>
      </c>
      <c r="B274" s="74" t="s">
        <v>41</v>
      </c>
      <c r="C274" s="52">
        <v>5</v>
      </c>
      <c r="D274" s="74" t="s">
        <v>3389</v>
      </c>
      <c r="E274" s="76" t="s">
        <v>3392</v>
      </c>
      <c r="F274" s="74" t="s">
        <v>1008</v>
      </c>
      <c r="G274" s="74" t="s">
        <v>49</v>
      </c>
      <c r="H274" s="74" t="s">
        <v>3462</v>
      </c>
      <c r="I274" s="74"/>
      <c r="J274" s="74" t="s">
        <v>11</v>
      </c>
      <c r="K274" s="74" t="s">
        <v>3393</v>
      </c>
      <c r="L274" s="74"/>
      <c r="M274" s="77"/>
      <c r="N274" s="74" t="str">
        <f>IF(ISNUMBER(PL[[#This Row],[CTO]]),"CTO "&amp;PL[[#This Row],[CTO]],"Otros")</f>
        <v>CTO 5</v>
      </c>
      <c r="O274" s="74" t="str">
        <f>IF(PL[[#This Row],[STATUS IUP]]="CERRADO","CERRADO",IF(ISNUMBER(SEARCH("validacion de enel",PL[[#This Row],[SUPPLIER NOTES]])),"PTE Validar Enel","ABIERTO"))</f>
        <v>ABIERTO</v>
      </c>
      <c r="P274" s="74" t="str">
        <f>IF(PL[[#This Row],[ESTADO]]="CERRADO","Cerrados IUP",IF(PL[[#This Row],[ESTADO]]="PTE Validar Enel","Pendiente cierre ENEL",IF(ISNUMBER(SEARCH("suministro",PL[[#This Row],[SUPPLIER NOTES]])),"Suministros",IF(PL[[#This Row],[SC]]="SOCIAL","Social",IF(ISNUMBER(SEARCH("monolito",PL[[#This Row],[DESCRIPTION]])),"Monolitos","Varios")))))</f>
        <v>Suministros</v>
      </c>
      <c r="Q27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5" spans="1:17" hidden="1" x14ac:dyDescent="0.2">
      <c r="A275" s="75" t="s">
        <v>1009</v>
      </c>
      <c r="B275" s="74" t="s">
        <v>41</v>
      </c>
      <c r="C275" s="52">
        <v>5</v>
      </c>
      <c r="D275" s="74" t="s">
        <v>3389</v>
      </c>
      <c r="E275" s="76" t="s">
        <v>3392</v>
      </c>
      <c r="F275" s="74" t="s">
        <v>1010</v>
      </c>
      <c r="G275" s="74" t="s">
        <v>49</v>
      </c>
      <c r="H275" s="74" t="s">
        <v>3462</v>
      </c>
      <c r="I275" s="74"/>
      <c r="J275" s="74" t="s">
        <v>11</v>
      </c>
      <c r="K275" s="74" t="s">
        <v>3393</v>
      </c>
      <c r="L275" s="74"/>
      <c r="M275" s="77"/>
      <c r="N275" s="74" t="str">
        <f>IF(ISNUMBER(PL[[#This Row],[CTO]]),"CTO "&amp;PL[[#This Row],[CTO]],"Otros")</f>
        <v>CTO 5</v>
      </c>
      <c r="O275" s="74" t="str">
        <f>IF(PL[[#This Row],[STATUS IUP]]="CERRADO","CERRADO",IF(ISNUMBER(SEARCH("validacion de enel",PL[[#This Row],[SUPPLIER NOTES]])),"PTE Validar Enel","ABIERTO"))</f>
        <v>ABIERTO</v>
      </c>
      <c r="P275" s="74" t="str">
        <f>IF(PL[[#This Row],[ESTADO]]="CERRADO","Cerrados IUP",IF(PL[[#This Row],[ESTADO]]="PTE Validar Enel","Pendiente cierre ENEL",IF(ISNUMBER(SEARCH("suministro",PL[[#This Row],[SUPPLIER NOTES]])),"Suministros",IF(PL[[#This Row],[SC]]="SOCIAL","Social",IF(ISNUMBER(SEARCH("monolito",PL[[#This Row],[DESCRIPTION]])),"Monolitos","Varios")))))</f>
        <v>Suministros</v>
      </c>
      <c r="Q27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6" spans="1:17" hidden="1" x14ac:dyDescent="0.2">
      <c r="A276" s="75" t="s">
        <v>1011</v>
      </c>
      <c r="B276" s="74" t="s">
        <v>41</v>
      </c>
      <c r="C276" s="52">
        <v>5</v>
      </c>
      <c r="D276" s="74" t="s">
        <v>3389</v>
      </c>
      <c r="E276" s="76" t="s">
        <v>3392</v>
      </c>
      <c r="F276" s="74" t="s">
        <v>1012</v>
      </c>
      <c r="G276" s="74" t="s">
        <v>49</v>
      </c>
      <c r="H276" s="74" t="s">
        <v>3462</v>
      </c>
      <c r="I276" s="74"/>
      <c r="J276" s="74" t="s">
        <v>11</v>
      </c>
      <c r="K276" s="74" t="s">
        <v>3393</v>
      </c>
      <c r="L276" s="74"/>
      <c r="M276" s="77"/>
      <c r="N276" s="74" t="str">
        <f>IF(ISNUMBER(PL[[#This Row],[CTO]]),"CTO "&amp;PL[[#This Row],[CTO]],"Otros")</f>
        <v>CTO 5</v>
      </c>
      <c r="O276" s="74" t="str">
        <f>IF(PL[[#This Row],[STATUS IUP]]="CERRADO","CERRADO",IF(ISNUMBER(SEARCH("validacion de enel",PL[[#This Row],[SUPPLIER NOTES]])),"PTE Validar Enel","ABIERTO"))</f>
        <v>ABIERTO</v>
      </c>
      <c r="P276" s="74" t="str">
        <f>IF(PL[[#This Row],[ESTADO]]="CERRADO","Cerrados IUP",IF(PL[[#This Row],[ESTADO]]="PTE Validar Enel","Pendiente cierre ENEL",IF(ISNUMBER(SEARCH("suministro",PL[[#This Row],[SUPPLIER NOTES]])),"Suministros",IF(PL[[#This Row],[SC]]="SOCIAL","Social",IF(ISNUMBER(SEARCH("monolito",PL[[#This Row],[DESCRIPTION]])),"Monolitos","Varios")))))</f>
        <v>Suministros</v>
      </c>
      <c r="Q27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7" spans="1:17" hidden="1" x14ac:dyDescent="0.2">
      <c r="A277" s="75" t="s">
        <v>1013</v>
      </c>
      <c r="B277" s="74" t="s">
        <v>41</v>
      </c>
      <c r="C277" s="52">
        <v>5</v>
      </c>
      <c r="D277" s="74" t="s">
        <v>3389</v>
      </c>
      <c r="E277" s="76" t="s">
        <v>3392</v>
      </c>
      <c r="F277" s="74" t="s">
        <v>1014</v>
      </c>
      <c r="G277" s="74" t="s">
        <v>49</v>
      </c>
      <c r="H277" s="74" t="s">
        <v>3462</v>
      </c>
      <c r="I277" s="74"/>
      <c r="J277" s="74" t="s">
        <v>11</v>
      </c>
      <c r="K277" s="74" t="s">
        <v>3393</v>
      </c>
      <c r="L277" s="74"/>
      <c r="M277" s="77"/>
      <c r="N277" s="74" t="str">
        <f>IF(ISNUMBER(PL[[#This Row],[CTO]]),"CTO "&amp;PL[[#This Row],[CTO]],"Otros")</f>
        <v>CTO 5</v>
      </c>
      <c r="O277" s="74" t="str">
        <f>IF(PL[[#This Row],[STATUS IUP]]="CERRADO","CERRADO",IF(ISNUMBER(SEARCH("validacion de enel",PL[[#This Row],[SUPPLIER NOTES]])),"PTE Validar Enel","ABIERTO"))</f>
        <v>ABIERTO</v>
      </c>
      <c r="P277" s="74" t="str">
        <f>IF(PL[[#This Row],[ESTADO]]="CERRADO","Cerrados IUP",IF(PL[[#This Row],[ESTADO]]="PTE Validar Enel","Pendiente cierre ENEL",IF(ISNUMBER(SEARCH("suministro",PL[[#This Row],[SUPPLIER NOTES]])),"Suministros",IF(PL[[#This Row],[SC]]="SOCIAL","Social",IF(ISNUMBER(SEARCH("monolito",PL[[#This Row],[DESCRIPTION]])),"Monolitos","Varios")))))</f>
        <v>Suministros</v>
      </c>
      <c r="Q27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8" spans="1:17" hidden="1" x14ac:dyDescent="0.2">
      <c r="A278" s="75" t="s">
        <v>1015</v>
      </c>
      <c r="B278" s="74" t="s">
        <v>41</v>
      </c>
      <c r="C278" s="52">
        <v>5</v>
      </c>
      <c r="D278" s="74" t="s">
        <v>3389</v>
      </c>
      <c r="E278" s="76" t="s">
        <v>3392</v>
      </c>
      <c r="F278" s="74" t="s">
        <v>1016</v>
      </c>
      <c r="G278" s="74" t="s">
        <v>49</v>
      </c>
      <c r="H278" s="74" t="s">
        <v>3462</v>
      </c>
      <c r="I278" s="74"/>
      <c r="J278" s="74" t="s">
        <v>11</v>
      </c>
      <c r="K278" s="74" t="s">
        <v>3393</v>
      </c>
      <c r="L278" s="74"/>
      <c r="M278" s="77"/>
      <c r="N278" s="74" t="str">
        <f>IF(ISNUMBER(PL[[#This Row],[CTO]]),"CTO "&amp;PL[[#This Row],[CTO]],"Otros")</f>
        <v>CTO 5</v>
      </c>
      <c r="O278" s="74" t="str">
        <f>IF(PL[[#This Row],[STATUS IUP]]="CERRADO","CERRADO",IF(ISNUMBER(SEARCH("validacion de enel",PL[[#This Row],[SUPPLIER NOTES]])),"PTE Validar Enel","ABIERTO"))</f>
        <v>ABIERTO</v>
      </c>
      <c r="P278" s="74" t="str">
        <f>IF(PL[[#This Row],[ESTADO]]="CERRADO","Cerrados IUP",IF(PL[[#This Row],[ESTADO]]="PTE Validar Enel","Pendiente cierre ENEL",IF(ISNUMBER(SEARCH("suministro",PL[[#This Row],[SUPPLIER NOTES]])),"Suministros",IF(PL[[#This Row],[SC]]="SOCIAL","Social",IF(ISNUMBER(SEARCH("monolito",PL[[#This Row],[DESCRIPTION]])),"Monolitos","Varios")))))</f>
        <v>Suministros</v>
      </c>
      <c r="Q27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79" spans="1:17" hidden="1" x14ac:dyDescent="0.2">
      <c r="A279" s="75" t="s">
        <v>1017</v>
      </c>
      <c r="B279" s="74" t="s">
        <v>41</v>
      </c>
      <c r="C279" s="52">
        <v>5</v>
      </c>
      <c r="D279" s="74" t="s">
        <v>3389</v>
      </c>
      <c r="E279" s="76" t="s">
        <v>3392</v>
      </c>
      <c r="F279" s="74" t="s">
        <v>1018</v>
      </c>
      <c r="G279" s="74" t="s">
        <v>49</v>
      </c>
      <c r="H279" s="74" t="s">
        <v>3462</v>
      </c>
      <c r="I279" s="74"/>
      <c r="J279" s="74" t="s">
        <v>11</v>
      </c>
      <c r="K279" s="74" t="s">
        <v>3393</v>
      </c>
      <c r="L279" s="74"/>
      <c r="M279" s="77"/>
      <c r="N279" s="74" t="str">
        <f>IF(ISNUMBER(PL[[#This Row],[CTO]]),"CTO "&amp;PL[[#This Row],[CTO]],"Otros")</f>
        <v>CTO 5</v>
      </c>
      <c r="O279" s="74" t="str">
        <f>IF(PL[[#This Row],[STATUS IUP]]="CERRADO","CERRADO",IF(ISNUMBER(SEARCH("validacion de enel",PL[[#This Row],[SUPPLIER NOTES]])),"PTE Validar Enel","ABIERTO"))</f>
        <v>ABIERTO</v>
      </c>
      <c r="P279" s="74" t="str">
        <f>IF(PL[[#This Row],[ESTADO]]="CERRADO","Cerrados IUP",IF(PL[[#This Row],[ESTADO]]="PTE Validar Enel","Pendiente cierre ENEL",IF(ISNUMBER(SEARCH("suministro",PL[[#This Row],[SUPPLIER NOTES]])),"Suministros",IF(PL[[#This Row],[SC]]="SOCIAL","Social",IF(ISNUMBER(SEARCH("monolito",PL[[#This Row],[DESCRIPTION]])),"Monolitos","Varios")))))</f>
        <v>Suministros</v>
      </c>
      <c r="Q27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0" spans="1:17" s="157" customFormat="1" hidden="1" x14ac:dyDescent="0.2">
      <c r="A280" s="151" t="s">
        <v>1019</v>
      </c>
      <c r="B280" s="154" t="s">
        <v>41</v>
      </c>
      <c r="C280" s="152">
        <v>5</v>
      </c>
      <c r="D280" s="154" t="s">
        <v>3389</v>
      </c>
      <c r="E280" s="153" t="s">
        <v>3392</v>
      </c>
      <c r="F280" s="154" t="s">
        <v>1020</v>
      </c>
      <c r="G280" s="154" t="s">
        <v>49</v>
      </c>
      <c r="H280" s="154"/>
      <c r="I280" s="154"/>
      <c r="J280" s="154" t="s">
        <v>74</v>
      </c>
      <c r="K280" s="154" t="s">
        <v>3394</v>
      </c>
      <c r="L280" s="154"/>
      <c r="M280" s="156"/>
      <c r="N280" s="154" t="str">
        <f>IF(ISNUMBER(PL[[#This Row],[CTO]]),"CTO "&amp;PL[[#This Row],[CTO]],"Otros")</f>
        <v>CTO 5</v>
      </c>
      <c r="O280" s="154" t="str">
        <f>IF(PL[[#This Row],[STATUS IUP]]="CERRADO","CERRADO",IF(ISNUMBER(SEARCH("validacion de enel",PL[[#This Row],[SUPPLIER NOTES]])),"PTE Validar Enel","ABIERTO"))</f>
        <v>CERRADO</v>
      </c>
      <c r="P280" s="154" t="str">
        <f>IF(PL[[#This Row],[ESTADO]]="CERRADO","Cerrados IUP",IF(PL[[#This Row],[ESTADO]]="PTE Validar Enel","Pendiente cierre ENEL",IF(ISNUMBER(SEARCH("suministro",PL[[#This Row],[SUPPLIER NOTES]])),"Suministros",IF(PL[[#This Row],[SC]]="SOCIAL","Social",IF(ISNUMBER(SEARCH("monolito",PL[[#This Row],[DESCRIPTION]])),"Monolitos","Varios")))))</f>
        <v>Cerrados IUP</v>
      </c>
      <c r="Q2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1" spans="1:17" hidden="1" x14ac:dyDescent="0.2">
      <c r="A281" s="75" t="s">
        <v>1021</v>
      </c>
      <c r="B281" s="74" t="s">
        <v>41</v>
      </c>
      <c r="C281" s="52">
        <v>5</v>
      </c>
      <c r="D281" s="74" t="s">
        <v>3389</v>
      </c>
      <c r="E281" s="76" t="s">
        <v>3392</v>
      </c>
      <c r="F281" s="74" t="s">
        <v>1022</v>
      </c>
      <c r="G281" s="74" t="s">
        <v>49</v>
      </c>
      <c r="H281" s="74" t="s">
        <v>3462</v>
      </c>
      <c r="I281" s="74"/>
      <c r="J281" s="74" t="s">
        <v>11</v>
      </c>
      <c r="K281" s="74" t="s">
        <v>3393</v>
      </c>
      <c r="L281" s="74"/>
      <c r="M281" s="77"/>
      <c r="N281" s="74" t="str">
        <f>IF(ISNUMBER(PL[[#This Row],[CTO]]),"CTO "&amp;PL[[#This Row],[CTO]],"Otros")</f>
        <v>CTO 5</v>
      </c>
      <c r="O281" s="74" t="str">
        <f>IF(PL[[#This Row],[STATUS IUP]]="CERRADO","CERRADO",IF(ISNUMBER(SEARCH("validacion de enel",PL[[#This Row],[SUPPLIER NOTES]])),"PTE Validar Enel","ABIERTO"))</f>
        <v>ABIERTO</v>
      </c>
      <c r="P281" s="74" t="str">
        <f>IF(PL[[#This Row],[ESTADO]]="CERRADO","Cerrados IUP",IF(PL[[#This Row],[ESTADO]]="PTE Validar Enel","Pendiente cierre ENEL",IF(ISNUMBER(SEARCH("suministro",PL[[#This Row],[SUPPLIER NOTES]])),"Suministros",IF(PL[[#This Row],[SC]]="SOCIAL","Social",IF(ISNUMBER(SEARCH("monolito",PL[[#This Row],[DESCRIPTION]])),"Monolitos","Varios")))))</f>
        <v>Suministros</v>
      </c>
      <c r="Q28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2" spans="1:17" hidden="1" x14ac:dyDescent="0.2">
      <c r="A282" s="75" t="s">
        <v>1023</v>
      </c>
      <c r="B282" s="74" t="s">
        <v>41</v>
      </c>
      <c r="C282" s="52">
        <v>5</v>
      </c>
      <c r="D282" s="74" t="s">
        <v>3389</v>
      </c>
      <c r="E282" s="76" t="s">
        <v>3392</v>
      </c>
      <c r="F282" s="74" t="s">
        <v>1024</v>
      </c>
      <c r="G282" s="74" t="s">
        <v>49</v>
      </c>
      <c r="H282" s="74" t="s">
        <v>3462</v>
      </c>
      <c r="I282" s="74"/>
      <c r="J282" s="74" t="s">
        <v>11</v>
      </c>
      <c r="K282" s="74" t="s">
        <v>3393</v>
      </c>
      <c r="L282" s="74"/>
      <c r="M282" s="77"/>
      <c r="N282" s="74" t="str">
        <f>IF(ISNUMBER(PL[[#This Row],[CTO]]),"CTO "&amp;PL[[#This Row],[CTO]],"Otros")</f>
        <v>CTO 5</v>
      </c>
      <c r="O282" s="74" t="str">
        <f>IF(PL[[#This Row],[STATUS IUP]]="CERRADO","CERRADO",IF(ISNUMBER(SEARCH("validacion de enel",PL[[#This Row],[SUPPLIER NOTES]])),"PTE Validar Enel","ABIERTO"))</f>
        <v>ABIERTO</v>
      </c>
      <c r="P282" s="74" t="str">
        <f>IF(PL[[#This Row],[ESTADO]]="CERRADO","Cerrados IUP",IF(PL[[#This Row],[ESTADO]]="PTE Validar Enel","Pendiente cierre ENEL",IF(ISNUMBER(SEARCH("suministro",PL[[#This Row],[SUPPLIER NOTES]])),"Suministros",IF(PL[[#This Row],[SC]]="SOCIAL","Social",IF(ISNUMBER(SEARCH("monolito",PL[[#This Row],[DESCRIPTION]])),"Monolitos","Varios")))))</f>
        <v>Suministros</v>
      </c>
      <c r="Q28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3" spans="1:17" hidden="1" x14ac:dyDescent="0.2">
      <c r="A283" s="75" t="s">
        <v>1025</v>
      </c>
      <c r="B283" s="74" t="s">
        <v>41</v>
      </c>
      <c r="C283" s="52">
        <v>5</v>
      </c>
      <c r="D283" s="74" t="s">
        <v>3389</v>
      </c>
      <c r="E283" s="76" t="s">
        <v>3392</v>
      </c>
      <c r="F283" s="74" t="s">
        <v>1026</v>
      </c>
      <c r="G283" s="74" t="s">
        <v>49</v>
      </c>
      <c r="H283" s="74" t="s">
        <v>3462</v>
      </c>
      <c r="I283" s="74"/>
      <c r="J283" s="74" t="s">
        <v>11</v>
      </c>
      <c r="K283" s="74" t="s">
        <v>3393</v>
      </c>
      <c r="L283" s="74"/>
      <c r="M283" s="77"/>
      <c r="N283" s="74" t="str">
        <f>IF(ISNUMBER(PL[[#This Row],[CTO]]),"CTO "&amp;PL[[#This Row],[CTO]],"Otros")</f>
        <v>CTO 5</v>
      </c>
      <c r="O283" s="74" t="str">
        <f>IF(PL[[#This Row],[STATUS IUP]]="CERRADO","CERRADO",IF(ISNUMBER(SEARCH("validacion de enel",PL[[#This Row],[SUPPLIER NOTES]])),"PTE Validar Enel","ABIERTO"))</f>
        <v>ABIERTO</v>
      </c>
      <c r="P283" s="74" t="str">
        <f>IF(PL[[#This Row],[ESTADO]]="CERRADO","Cerrados IUP",IF(PL[[#This Row],[ESTADO]]="PTE Validar Enel","Pendiente cierre ENEL",IF(ISNUMBER(SEARCH("suministro",PL[[#This Row],[SUPPLIER NOTES]])),"Suministros",IF(PL[[#This Row],[SC]]="SOCIAL","Social",IF(ISNUMBER(SEARCH("monolito",PL[[#This Row],[DESCRIPTION]])),"Monolitos","Varios")))))</f>
        <v>Suministros</v>
      </c>
      <c r="Q28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4" spans="1:17" hidden="1" x14ac:dyDescent="0.2">
      <c r="A284" s="75" t="s">
        <v>1027</v>
      </c>
      <c r="B284" s="74" t="s">
        <v>41</v>
      </c>
      <c r="C284" s="52">
        <v>5</v>
      </c>
      <c r="D284" s="74" t="s">
        <v>3389</v>
      </c>
      <c r="E284" s="76" t="s">
        <v>3392</v>
      </c>
      <c r="F284" s="74" t="s">
        <v>1028</v>
      </c>
      <c r="G284" s="74" t="s">
        <v>49</v>
      </c>
      <c r="H284" s="74" t="s">
        <v>3462</v>
      </c>
      <c r="I284" s="74"/>
      <c r="J284" s="74" t="s">
        <v>11</v>
      </c>
      <c r="K284" s="74" t="s">
        <v>3393</v>
      </c>
      <c r="L284" s="74"/>
      <c r="M284" s="77"/>
      <c r="N284" s="74" t="str">
        <f>IF(ISNUMBER(PL[[#This Row],[CTO]]),"CTO "&amp;PL[[#This Row],[CTO]],"Otros")</f>
        <v>CTO 5</v>
      </c>
      <c r="O284" s="74" t="str">
        <f>IF(PL[[#This Row],[STATUS IUP]]="CERRADO","CERRADO",IF(ISNUMBER(SEARCH("validacion de enel",PL[[#This Row],[SUPPLIER NOTES]])),"PTE Validar Enel","ABIERTO"))</f>
        <v>ABIERTO</v>
      </c>
      <c r="P284" s="74" t="str">
        <f>IF(PL[[#This Row],[ESTADO]]="CERRADO","Cerrados IUP",IF(PL[[#This Row],[ESTADO]]="PTE Validar Enel","Pendiente cierre ENEL",IF(ISNUMBER(SEARCH("suministro",PL[[#This Row],[SUPPLIER NOTES]])),"Suministros",IF(PL[[#This Row],[SC]]="SOCIAL","Social",IF(ISNUMBER(SEARCH("monolito",PL[[#This Row],[DESCRIPTION]])),"Monolitos","Varios")))))</f>
        <v>Suministros</v>
      </c>
      <c r="Q28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5" spans="1:17" hidden="1" x14ac:dyDescent="0.2">
      <c r="A285" s="75" t="s">
        <v>1029</v>
      </c>
      <c r="B285" s="74" t="s">
        <v>41</v>
      </c>
      <c r="C285" s="52">
        <v>5</v>
      </c>
      <c r="D285" s="74" t="s">
        <v>3389</v>
      </c>
      <c r="E285" s="76" t="s">
        <v>3392</v>
      </c>
      <c r="F285" s="74" t="s">
        <v>1030</v>
      </c>
      <c r="G285" s="74" t="s">
        <v>49</v>
      </c>
      <c r="H285" s="74" t="s">
        <v>3462</v>
      </c>
      <c r="I285" s="74"/>
      <c r="J285" s="74" t="s">
        <v>11</v>
      </c>
      <c r="K285" s="74" t="s">
        <v>3393</v>
      </c>
      <c r="L285" s="74"/>
      <c r="M285" s="77"/>
      <c r="N285" s="74" t="str">
        <f>IF(ISNUMBER(PL[[#This Row],[CTO]]),"CTO "&amp;PL[[#This Row],[CTO]],"Otros")</f>
        <v>CTO 5</v>
      </c>
      <c r="O285" s="74" t="str">
        <f>IF(PL[[#This Row],[STATUS IUP]]="CERRADO","CERRADO",IF(ISNUMBER(SEARCH("validacion de enel",PL[[#This Row],[SUPPLIER NOTES]])),"PTE Validar Enel","ABIERTO"))</f>
        <v>ABIERTO</v>
      </c>
      <c r="P285" s="74" t="str">
        <f>IF(PL[[#This Row],[ESTADO]]="CERRADO","Cerrados IUP",IF(PL[[#This Row],[ESTADO]]="PTE Validar Enel","Pendiente cierre ENEL",IF(ISNUMBER(SEARCH("suministro",PL[[#This Row],[SUPPLIER NOTES]])),"Suministros",IF(PL[[#This Row],[SC]]="SOCIAL","Social",IF(ISNUMBER(SEARCH("monolito",PL[[#This Row],[DESCRIPTION]])),"Monolitos","Varios")))))</f>
        <v>Suministros</v>
      </c>
      <c r="Q28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6" spans="1:17" hidden="1" x14ac:dyDescent="0.2">
      <c r="A286" s="75" t="s">
        <v>1031</v>
      </c>
      <c r="B286" s="74" t="s">
        <v>41</v>
      </c>
      <c r="C286" s="52">
        <v>5</v>
      </c>
      <c r="D286" s="74" t="s">
        <v>3389</v>
      </c>
      <c r="E286" s="76" t="s">
        <v>3392</v>
      </c>
      <c r="F286" s="74" t="s">
        <v>1032</v>
      </c>
      <c r="G286" s="74" t="s">
        <v>49</v>
      </c>
      <c r="H286" s="74" t="s">
        <v>3462</v>
      </c>
      <c r="I286" s="74"/>
      <c r="J286" s="74" t="s">
        <v>11</v>
      </c>
      <c r="K286" s="74" t="s">
        <v>3393</v>
      </c>
      <c r="L286" s="74"/>
      <c r="M286" s="77"/>
      <c r="N286" s="74" t="str">
        <f>IF(ISNUMBER(PL[[#This Row],[CTO]]),"CTO "&amp;PL[[#This Row],[CTO]],"Otros")</f>
        <v>CTO 5</v>
      </c>
      <c r="O286" s="74" t="str">
        <f>IF(PL[[#This Row],[STATUS IUP]]="CERRADO","CERRADO",IF(ISNUMBER(SEARCH("validacion de enel",PL[[#This Row],[SUPPLIER NOTES]])),"PTE Validar Enel","ABIERTO"))</f>
        <v>ABIERTO</v>
      </c>
      <c r="P286" s="74" t="str">
        <f>IF(PL[[#This Row],[ESTADO]]="CERRADO","Cerrados IUP",IF(PL[[#This Row],[ESTADO]]="PTE Validar Enel","Pendiente cierre ENEL",IF(ISNUMBER(SEARCH("suministro",PL[[#This Row],[SUPPLIER NOTES]])),"Suministros",IF(PL[[#This Row],[SC]]="SOCIAL","Social",IF(ISNUMBER(SEARCH("monolito",PL[[#This Row],[DESCRIPTION]])),"Monolitos","Varios")))))</f>
        <v>Suministros</v>
      </c>
      <c r="Q28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7" spans="1:17" hidden="1" x14ac:dyDescent="0.2">
      <c r="A287" s="75" t="s">
        <v>1033</v>
      </c>
      <c r="B287" s="74" t="s">
        <v>41</v>
      </c>
      <c r="C287" s="52">
        <v>5</v>
      </c>
      <c r="D287" s="74" t="s">
        <v>3389</v>
      </c>
      <c r="E287" s="76" t="s">
        <v>3392</v>
      </c>
      <c r="F287" s="74" t="s">
        <v>1034</v>
      </c>
      <c r="G287" s="74" t="s">
        <v>49</v>
      </c>
      <c r="H287" s="74" t="s">
        <v>3462</v>
      </c>
      <c r="I287" s="74"/>
      <c r="J287" s="74" t="s">
        <v>11</v>
      </c>
      <c r="K287" s="74" t="s">
        <v>3393</v>
      </c>
      <c r="L287" s="74"/>
      <c r="M287" s="77"/>
      <c r="N287" s="74" t="str">
        <f>IF(ISNUMBER(PL[[#This Row],[CTO]]),"CTO "&amp;PL[[#This Row],[CTO]],"Otros")</f>
        <v>CTO 5</v>
      </c>
      <c r="O287" s="74" t="str">
        <f>IF(PL[[#This Row],[STATUS IUP]]="CERRADO","CERRADO",IF(ISNUMBER(SEARCH("validacion de enel",PL[[#This Row],[SUPPLIER NOTES]])),"PTE Validar Enel","ABIERTO"))</f>
        <v>ABIERTO</v>
      </c>
      <c r="P287" s="74" t="str">
        <f>IF(PL[[#This Row],[ESTADO]]="CERRADO","Cerrados IUP",IF(PL[[#This Row],[ESTADO]]="PTE Validar Enel","Pendiente cierre ENEL",IF(ISNUMBER(SEARCH("suministro",PL[[#This Row],[SUPPLIER NOTES]])),"Suministros",IF(PL[[#This Row],[SC]]="SOCIAL","Social",IF(ISNUMBER(SEARCH("monolito",PL[[#This Row],[DESCRIPTION]])),"Monolitos","Varios")))))</f>
        <v>Suministros</v>
      </c>
      <c r="Q28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8" spans="1:17" hidden="1" x14ac:dyDescent="0.2">
      <c r="A288" s="75" t="s">
        <v>1035</v>
      </c>
      <c r="B288" s="74" t="s">
        <v>41</v>
      </c>
      <c r="C288" s="52">
        <v>5</v>
      </c>
      <c r="D288" s="74" t="s">
        <v>3389</v>
      </c>
      <c r="E288" s="76" t="s">
        <v>3392</v>
      </c>
      <c r="F288" s="74" t="s">
        <v>1036</v>
      </c>
      <c r="G288" s="74" t="s">
        <v>49</v>
      </c>
      <c r="H288" s="74" t="s">
        <v>3462</v>
      </c>
      <c r="I288" s="74"/>
      <c r="J288" s="74" t="s">
        <v>11</v>
      </c>
      <c r="K288" s="74" t="s">
        <v>3393</v>
      </c>
      <c r="L288" s="74"/>
      <c r="M288" s="77"/>
      <c r="N288" s="74" t="str">
        <f>IF(ISNUMBER(PL[[#This Row],[CTO]]),"CTO "&amp;PL[[#This Row],[CTO]],"Otros")</f>
        <v>CTO 5</v>
      </c>
      <c r="O288" s="74" t="str">
        <f>IF(PL[[#This Row],[STATUS IUP]]="CERRADO","CERRADO",IF(ISNUMBER(SEARCH("validacion de enel",PL[[#This Row],[SUPPLIER NOTES]])),"PTE Validar Enel","ABIERTO"))</f>
        <v>ABIERTO</v>
      </c>
      <c r="P288" s="74" t="str">
        <f>IF(PL[[#This Row],[ESTADO]]="CERRADO","Cerrados IUP",IF(PL[[#This Row],[ESTADO]]="PTE Validar Enel","Pendiente cierre ENEL",IF(ISNUMBER(SEARCH("suministro",PL[[#This Row],[SUPPLIER NOTES]])),"Suministros",IF(PL[[#This Row],[SC]]="SOCIAL","Social",IF(ISNUMBER(SEARCH("monolito",PL[[#This Row],[DESCRIPTION]])),"Monolitos","Varios")))))</f>
        <v>Suministros</v>
      </c>
      <c r="Q28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89" spans="1:17" hidden="1" x14ac:dyDescent="0.2">
      <c r="A289" s="75" t="s">
        <v>1037</v>
      </c>
      <c r="B289" s="74" t="s">
        <v>41</v>
      </c>
      <c r="C289" s="52">
        <v>5</v>
      </c>
      <c r="D289" s="74" t="s">
        <v>3389</v>
      </c>
      <c r="E289" s="76" t="s">
        <v>3392</v>
      </c>
      <c r="F289" s="74" t="s">
        <v>1038</v>
      </c>
      <c r="G289" s="74" t="s">
        <v>49</v>
      </c>
      <c r="H289" s="74" t="s">
        <v>3462</v>
      </c>
      <c r="I289" s="74"/>
      <c r="J289" s="74" t="s">
        <v>11</v>
      </c>
      <c r="K289" s="74" t="s">
        <v>3393</v>
      </c>
      <c r="L289" s="74"/>
      <c r="M289" s="77"/>
      <c r="N289" s="74" t="str">
        <f>IF(ISNUMBER(PL[[#This Row],[CTO]]),"CTO "&amp;PL[[#This Row],[CTO]],"Otros")</f>
        <v>CTO 5</v>
      </c>
      <c r="O289" s="74" t="str">
        <f>IF(PL[[#This Row],[STATUS IUP]]="CERRADO","CERRADO",IF(ISNUMBER(SEARCH("validacion de enel",PL[[#This Row],[SUPPLIER NOTES]])),"PTE Validar Enel","ABIERTO"))</f>
        <v>ABIERTO</v>
      </c>
      <c r="P289" s="74" t="str">
        <f>IF(PL[[#This Row],[ESTADO]]="CERRADO","Cerrados IUP",IF(PL[[#This Row],[ESTADO]]="PTE Validar Enel","Pendiente cierre ENEL",IF(ISNUMBER(SEARCH("suministro",PL[[#This Row],[SUPPLIER NOTES]])),"Suministros",IF(PL[[#This Row],[SC]]="SOCIAL","Social",IF(ISNUMBER(SEARCH("monolito",PL[[#This Row],[DESCRIPTION]])),"Monolitos","Varios")))))</f>
        <v>Suministros</v>
      </c>
      <c r="Q28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0" spans="1:17" hidden="1" x14ac:dyDescent="0.2">
      <c r="A290" s="75" t="s">
        <v>1039</v>
      </c>
      <c r="B290" s="74" t="s">
        <v>41</v>
      </c>
      <c r="C290" s="52">
        <v>5</v>
      </c>
      <c r="D290" s="74" t="s">
        <v>3389</v>
      </c>
      <c r="E290" s="76" t="s">
        <v>3392</v>
      </c>
      <c r="F290" s="74" t="s">
        <v>1040</v>
      </c>
      <c r="G290" s="74" t="s">
        <v>49</v>
      </c>
      <c r="H290" s="74" t="s">
        <v>3462</v>
      </c>
      <c r="I290" s="74"/>
      <c r="J290" s="74" t="s">
        <v>11</v>
      </c>
      <c r="K290" s="74" t="s">
        <v>3393</v>
      </c>
      <c r="L290" s="74"/>
      <c r="M290" s="77"/>
      <c r="N290" s="74" t="str">
        <f>IF(ISNUMBER(PL[[#This Row],[CTO]]),"CTO "&amp;PL[[#This Row],[CTO]],"Otros")</f>
        <v>CTO 5</v>
      </c>
      <c r="O290" s="74" t="str">
        <f>IF(PL[[#This Row],[STATUS IUP]]="CERRADO","CERRADO",IF(ISNUMBER(SEARCH("validacion de enel",PL[[#This Row],[SUPPLIER NOTES]])),"PTE Validar Enel","ABIERTO"))</f>
        <v>ABIERTO</v>
      </c>
      <c r="P290" s="74" t="str">
        <f>IF(PL[[#This Row],[ESTADO]]="CERRADO","Cerrados IUP",IF(PL[[#This Row],[ESTADO]]="PTE Validar Enel","Pendiente cierre ENEL",IF(ISNUMBER(SEARCH("suministro",PL[[#This Row],[SUPPLIER NOTES]])),"Suministros",IF(PL[[#This Row],[SC]]="SOCIAL","Social",IF(ISNUMBER(SEARCH("monolito",PL[[#This Row],[DESCRIPTION]])),"Monolitos","Varios")))))</f>
        <v>Suministros</v>
      </c>
      <c r="Q29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1" spans="1:17" hidden="1" x14ac:dyDescent="0.2">
      <c r="A291" s="75" t="s">
        <v>1041</v>
      </c>
      <c r="B291" s="74" t="s">
        <v>41</v>
      </c>
      <c r="C291" s="52">
        <v>5</v>
      </c>
      <c r="D291" s="74" t="s">
        <v>3389</v>
      </c>
      <c r="E291" s="76" t="s">
        <v>3392</v>
      </c>
      <c r="F291" s="74" t="s">
        <v>1042</v>
      </c>
      <c r="G291" s="74" t="s">
        <v>49</v>
      </c>
      <c r="H291" s="74" t="s">
        <v>3462</v>
      </c>
      <c r="I291" s="74"/>
      <c r="J291" s="74" t="s">
        <v>11</v>
      </c>
      <c r="K291" s="74" t="s">
        <v>3393</v>
      </c>
      <c r="L291" s="74"/>
      <c r="M291" s="77"/>
      <c r="N291" s="74" t="str">
        <f>IF(ISNUMBER(PL[[#This Row],[CTO]]),"CTO "&amp;PL[[#This Row],[CTO]],"Otros")</f>
        <v>CTO 5</v>
      </c>
      <c r="O291" s="74" t="str">
        <f>IF(PL[[#This Row],[STATUS IUP]]="CERRADO","CERRADO",IF(ISNUMBER(SEARCH("validacion de enel",PL[[#This Row],[SUPPLIER NOTES]])),"PTE Validar Enel","ABIERTO"))</f>
        <v>ABIERTO</v>
      </c>
      <c r="P291" s="74" t="str">
        <f>IF(PL[[#This Row],[ESTADO]]="CERRADO","Cerrados IUP",IF(PL[[#This Row],[ESTADO]]="PTE Validar Enel","Pendiente cierre ENEL",IF(ISNUMBER(SEARCH("suministro",PL[[#This Row],[SUPPLIER NOTES]])),"Suministros",IF(PL[[#This Row],[SC]]="SOCIAL","Social",IF(ISNUMBER(SEARCH("monolito",PL[[#This Row],[DESCRIPTION]])),"Monolitos","Varios")))))</f>
        <v>Suministros</v>
      </c>
      <c r="Q29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2" spans="1:17" hidden="1" x14ac:dyDescent="0.2">
      <c r="A292" s="75" t="s">
        <v>1043</v>
      </c>
      <c r="B292" s="74" t="s">
        <v>41</v>
      </c>
      <c r="C292" s="52">
        <v>5</v>
      </c>
      <c r="D292" s="74" t="s">
        <v>3389</v>
      </c>
      <c r="E292" s="76" t="s">
        <v>3392</v>
      </c>
      <c r="F292" s="74" t="s">
        <v>1044</v>
      </c>
      <c r="G292" s="74" t="s">
        <v>49</v>
      </c>
      <c r="H292" s="74" t="s">
        <v>3462</v>
      </c>
      <c r="I292" s="74"/>
      <c r="J292" s="74" t="s">
        <v>11</v>
      </c>
      <c r="K292" s="74" t="s">
        <v>3393</v>
      </c>
      <c r="L292" s="74"/>
      <c r="M292" s="77"/>
      <c r="N292" s="74" t="str">
        <f>IF(ISNUMBER(PL[[#This Row],[CTO]]),"CTO "&amp;PL[[#This Row],[CTO]],"Otros")</f>
        <v>CTO 5</v>
      </c>
      <c r="O292" s="74" t="str">
        <f>IF(PL[[#This Row],[STATUS IUP]]="CERRADO","CERRADO",IF(ISNUMBER(SEARCH("validacion de enel",PL[[#This Row],[SUPPLIER NOTES]])),"PTE Validar Enel","ABIERTO"))</f>
        <v>ABIERTO</v>
      </c>
      <c r="P292" s="74" t="str">
        <f>IF(PL[[#This Row],[ESTADO]]="CERRADO","Cerrados IUP",IF(PL[[#This Row],[ESTADO]]="PTE Validar Enel","Pendiente cierre ENEL",IF(ISNUMBER(SEARCH("suministro",PL[[#This Row],[SUPPLIER NOTES]])),"Suministros",IF(PL[[#This Row],[SC]]="SOCIAL","Social",IF(ISNUMBER(SEARCH("monolito",PL[[#This Row],[DESCRIPTION]])),"Monolitos","Varios")))))</f>
        <v>Suministros</v>
      </c>
      <c r="Q29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3" spans="1:17" hidden="1" x14ac:dyDescent="0.2">
      <c r="A293" s="75" t="s">
        <v>1045</v>
      </c>
      <c r="B293" s="74" t="s">
        <v>41</v>
      </c>
      <c r="C293" s="52">
        <v>5</v>
      </c>
      <c r="D293" s="74" t="s">
        <v>3389</v>
      </c>
      <c r="E293" s="76" t="s">
        <v>3392</v>
      </c>
      <c r="F293" s="74" t="s">
        <v>1046</v>
      </c>
      <c r="G293" s="74" t="s">
        <v>49</v>
      </c>
      <c r="H293" s="74" t="s">
        <v>3462</v>
      </c>
      <c r="I293" s="74"/>
      <c r="J293" s="74" t="s">
        <v>11</v>
      </c>
      <c r="K293" s="74" t="s">
        <v>3393</v>
      </c>
      <c r="L293" s="74"/>
      <c r="M293" s="77"/>
      <c r="N293" s="74" t="str">
        <f>IF(ISNUMBER(PL[[#This Row],[CTO]]),"CTO "&amp;PL[[#This Row],[CTO]],"Otros")</f>
        <v>CTO 5</v>
      </c>
      <c r="O293" s="74" t="str">
        <f>IF(PL[[#This Row],[STATUS IUP]]="CERRADO","CERRADO",IF(ISNUMBER(SEARCH("validacion de enel",PL[[#This Row],[SUPPLIER NOTES]])),"PTE Validar Enel","ABIERTO"))</f>
        <v>ABIERTO</v>
      </c>
      <c r="P293" s="74" t="str">
        <f>IF(PL[[#This Row],[ESTADO]]="CERRADO","Cerrados IUP",IF(PL[[#This Row],[ESTADO]]="PTE Validar Enel","Pendiente cierre ENEL",IF(ISNUMBER(SEARCH("suministro",PL[[#This Row],[SUPPLIER NOTES]])),"Suministros",IF(PL[[#This Row],[SC]]="SOCIAL","Social",IF(ISNUMBER(SEARCH("monolito",PL[[#This Row],[DESCRIPTION]])),"Monolitos","Varios")))))</f>
        <v>Suministros</v>
      </c>
      <c r="Q29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4" spans="1:17" hidden="1" x14ac:dyDescent="0.2">
      <c r="A294" s="75" t="s">
        <v>1047</v>
      </c>
      <c r="B294" s="74" t="s">
        <v>41</v>
      </c>
      <c r="C294" s="52">
        <v>5</v>
      </c>
      <c r="D294" s="74" t="s">
        <v>3389</v>
      </c>
      <c r="E294" s="76" t="s">
        <v>3392</v>
      </c>
      <c r="F294" s="74" t="s">
        <v>1048</v>
      </c>
      <c r="G294" s="74" t="s">
        <v>49</v>
      </c>
      <c r="H294" s="74" t="s">
        <v>3462</v>
      </c>
      <c r="I294" s="74"/>
      <c r="J294" s="74" t="s">
        <v>11</v>
      </c>
      <c r="K294" s="74" t="s">
        <v>3393</v>
      </c>
      <c r="L294" s="74"/>
      <c r="M294" s="77"/>
      <c r="N294" s="74" t="str">
        <f>IF(ISNUMBER(PL[[#This Row],[CTO]]),"CTO "&amp;PL[[#This Row],[CTO]],"Otros")</f>
        <v>CTO 5</v>
      </c>
      <c r="O294" s="74" t="str">
        <f>IF(PL[[#This Row],[STATUS IUP]]="CERRADO","CERRADO",IF(ISNUMBER(SEARCH("validacion de enel",PL[[#This Row],[SUPPLIER NOTES]])),"PTE Validar Enel","ABIERTO"))</f>
        <v>ABIERTO</v>
      </c>
      <c r="P294" s="74" t="str">
        <f>IF(PL[[#This Row],[ESTADO]]="CERRADO","Cerrados IUP",IF(PL[[#This Row],[ESTADO]]="PTE Validar Enel","Pendiente cierre ENEL",IF(ISNUMBER(SEARCH("suministro",PL[[#This Row],[SUPPLIER NOTES]])),"Suministros",IF(PL[[#This Row],[SC]]="SOCIAL","Social",IF(ISNUMBER(SEARCH("monolito",PL[[#This Row],[DESCRIPTION]])),"Monolitos","Varios")))))</f>
        <v>Suministros</v>
      </c>
      <c r="Q29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5" spans="1:17" hidden="1" x14ac:dyDescent="0.2">
      <c r="A295" s="75" t="s">
        <v>1049</v>
      </c>
      <c r="B295" s="74" t="s">
        <v>41</v>
      </c>
      <c r="C295" s="52">
        <v>5</v>
      </c>
      <c r="D295" s="74" t="s">
        <v>3389</v>
      </c>
      <c r="E295" s="76" t="s">
        <v>3392</v>
      </c>
      <c r="F295" s="74" t="s">
        <v>1050</v>
      </c>
      <c r="G295" s="74" t="s">
        <v>49</v>
      </c>
      <c r="H295" s="74" t="s">
        <v>3462</v>
      </c>
      <c r="I295" s="74"/>
      <c r="J295" s="74" t="s">
        <v>11</v>
      </c>
      <c r="K295" s="74" t="s">
        <v>3393</v>
      </c>
      <c r="L295" s="74"/>
      <c r="M295" s="77"/>
      <c r="N295" s="74" t="str">
        <f>IF(ISNUMBER(PL[[#This Row],[CTO]]),"CTO "&amp;PL[[#This Row],[CTO]],"Otros")</f>
        <v>CTO 5</v>
      </c>
      <c r="O295" s="74" t="str">
        <f>IF(PL[[#This Row],[STATUS IUP]]="CERRADO","CERRADO",IF(ISNUMBER(SEARCH("validacion de enel",PL[[#This Row],[SUPPLIER NOTES]])),"PTE Validar Enel","ABIERTO"))</f>
        <v>ABIERTO</v>
      </c>
      <c r="P295" s="74" t="str">
        <f>IF(PL[[#This Row],[ESTADO]]="CERRADO","Cerrados IUP",IF(PL[[#This Row],[ESTADO]]="PTE Validar Enel","Pendiente cierre ENEL",IF(ISNUMBER(SEARCH("suministro",PL[[#This Row],[SUPPLIER NOTES]])),"Suministros",IF(PL[[#This Row],[SC]]="SOCIAL","Social",IF(ISNUMBER(SEARCH("monolito",PL[[#This Row],[DESCRIPTION]])),"Monolitos","Varios")))))</f>
        <v>Suministros</v>
      </c>
      <c r="Q29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6" spans="1:17" hidden="1" x14ac:dyDescent="0.2">
      <c r="A296" s="75" t="s">
        <v>1051</v>
      </c>
      <c r="B296" s="74" t="s">
        <v>41</v>
      </c>
      <c r="C296" s="52">
        <v>5</v>
      </c>
      <c r="D296" s="74" t="s">
        <v>3389</v>
      </c>
      <c r="E296" s="76" t="s">
        <v>3392</v>
      </c>
      <c r="F296" s="74" t="s">
        <v>1052</v>
      </c>
      <c r="G296" s="74" t="s">
        <v>49</v>
      </c>
      <c r="H296" s="74" t="s">
        <v>3462</v>
      </c>
      <c r="I296" s="74"/>
      <c r="J296" s="74" t="s">
        <v>11</v>
      </c>
      <c r="K296" s="74" t="s">
        <v>3393</v>
      </c>
      <c r="L296" s="74"/>
      <c r="M296" s="77"/>
      <c r="N296" s="74" t="str">
        <f>IF(ISNUMBER(PL[[#This Row],[CTO]]),"CTO "&amp;PL[[#This Row],[CTO]],"Otros")</f>
        <v>CTO 5</v>
      </c>
      <c r="O296" s="74" t="str">
        <f>IF(PL[[#This Row],[STATUS IUP]]="CERRADO","CERRADO",IF(ISNUMBER(SEARCH("validacion de enel",PL[[#This Row],[SUPPLIER NOTES]])),"PTE Validar Enel","ABIERTO"))</f>
        <v>ABIERTO</v>
      </c>
      <c r="P296" s="74" t="str">
        <f>IF(PL[[#This Row],[ESTADO]]="CERRADO","Cerrados IUP",IF(PL[[#This Row],[ESTADO]]="PTE Validar Enel","Pendiente cierre ENEL",IF(ISNUMBER(SEARCH("suministro",PL[[#This Row],[SUPPLIER NOTES]])),"Suministros",IF(PL[[#This Row],[SC]]="SOCIAL","Social",IF(ISNUMBER(SEARCH("monolito",PL[[#This Row],[DESCRIPTION]])),"Monolitos","Varios")))))</f>
        <v>Suministros</v>
      </c>
      <c r="Q29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7" spans="1:17" hidden="1" x14ac:dyDescent="0.2">
      <c r="A297" s="75" t="s">
        <v>1053</v>
      </c>
      <c r="B297" s="74" t="s">
        <v>41</v>
      </c>
      <c r="C297" s="52">
        <v>5</v>
      </c>
      <c r="D297" s="74" t="s">
        <v>3389</v>
      </c>
      <c r="E297" s="76" t="s">
        <v>3392</v>
      </c>
      <c r="F297" s="74" t="s">
        <v>1054</v>
      </c>
      <c r="G297" s="74" t="s">
        <v>49</v>
      </c>
      <c r="H297" s="74" t="s">
        <v>3462</v>
      </c>
      <c r="I297" s="74"/>
      <c r="J297" s="74" t="s">
        <v>11</v>
      </c>
      <c r="K297" s="74" t="s">
        <v>3393</v>
      </c>
      <c r="L297" s="74"/>
      <c r="M297" s="77"/>
      <c r="N297" s="74" t="str">
        <f>IF(ISNUMBER(PL[[#This Row],[CTO]]),"CTO "&amp;PL[[#This Row],[CTO]],"Otros")</f>
        <v>CTO 5</v>
      </c>
      <c r="O297" s="74" t="str">
        <f>IF(PL[[#This Row],[STATUS IUP]]="CERRADO","CERRADO",IF(ISNUMBER(SEARCH("validacion de enel",PL[[#This Row],[SUPPLIER NOTES]])),"PTE Validar Enel","ABIERTO"))</f>
        <v>ABIERTO</v>
      </c>
      <c r="P297" s="74" t="str">
        <f>IF(PL[[#This Row],[ESTADO]]="CERRADO","Cerrados IUP",IF(PL[[#This Row],[ESTADO]]="PTE Validar Enel","Pendiente cierre ENEL",IF(ISNUMBER(SEARCH("suministro",PL[[#This Row],[SUPPLIER NOTES]])),"Suministros",IF(PL[[#This Row],[SC]]="SOCIAL","Social",IF(ISNUMBER(SEARCH("monolito",PL[[#This Row],[DESCRIPTION]])),"Monolitos","Varios")))))</f>
        <v>Suministros</v>
      </c>
      <c r="Q29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8" spans="1:17" hidden="1" x14ac:dyDescent="0.2">
      <c r="A298" s="75" t="s">
        <v>1055</v>
      </c>
      <c r="B298" s="74" t="s">
        <v>41</v>
      </c>
      <c r="C298" s="52">
        <v>5</v>
      </c>
      <c r="D298" s="74" t="s">
        <v>3389</v>
      </c>
      <c r="E298" s="76" t="s">
        <v>3392</v>
      </c>
      <c r="F298" s="74" t="s">
        <v>1056</v>
      </c>
      <c r="G298" s="74" t="s">
        <v>49</v>
      </c>
      <c r="H298" s="74" t="s">
        <v>3462</v>
      </c>
      <c r="I298" s="74"/>
      <c r="J298" s="74" t="s">
        <v>11</v>
      </c>
      <c r="K298" s="74" t="s">
        <v>3393</v>
      </c>
      <c r="L298" s="74"/>
      <c r="M298" s="77"/>
      <c r="N298" s="74" t="str">
        <f>IF(ISNUMBER(PL[[#This Row],[CTO]]),"CTO "&amp;PL[[#This Row],[CTO]],"Otros")</f>
        <v>CTO 5</v>
      </c>
      <c r="O298" s="74" t="str">
        <f>IF(PL[[#This Row],[STATUS IUP]]="CERRADO","CERRADO",IF(ISNUMBER(SEARCH("validacion de enel",PL[[#This Row],[SUPPLIER NOTES]])),"PTE Validar Enel","ABIERTO"))</f>
        <v>ABIERTO</v>
      </c>
      <c r="P298" s="74" t="str">
        <f>IF(PL[[#This Row],[ESTADO]]="CERRADO","Cerrados IUP",IF(PL[[#This Row],[ESTADO]]="PTE Validar Enel","Pendiente cierre ENEL",IF(ISNUMBER(SEARCH("suministro",PL[[#This Row],[SUPPLIER NOTES]])),"Suministros",IF(PL[[#This Row],[SC]]="SOCIAL","Social",IF(ISNUMBER(SEARCH("monolito",PL[[#This Row],[DESCRIPTION]])),"Monolitos","Varios")))))</f>
        <v>Suministros</v>
      </c>
      <c r="Q29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299" spans="1:17" hidden="1" x14ac:dyDescent="0.2">
      <c r="A299" s="75" t="s">
        <v>1057</v>
      </c>
      <c r="B299" s="74" t="s">
        <v>41</v>
      </c>
      <c r="C299" s="52">
        <v>5</v>
      </c>
      <c r="D299" s="74" t="s">
        <v>3389</v>
      </c>
      <c r="E299" s="76" t="s">
        <v>3392</v>
      </c>
      <c r="F299" s="74" t="s">
        <v>1058</v>
      </c>
      <c r="G299" s="74" t="s">
        <v>49</v>
      </c>
      <c r="H299" s="74" t="s">
        <v>3462</v>
      </c>
      <c r="I299" s="74"/>
      <c r="J299" s="74" t="s">
        <v>11</v>
      </c>
      <c r="K299" s="74" t="s">
        <v>3393</v>
      </c>
      <c r="L299" s="74"/>
      <c r="M299" s="77"/>
      <c r="N299" s="74" t="str">
        <f>IF(ISNUMBER(PL[[#This Row],[CTO]]),"CTO "&amp;PL[[#This Row],[CTO]],"Otros")</f>
        <v>CTO 5</v>
      </c>
      <c r="O299" s="74" t="str">
        <f>IF(PL[[#This Row],[STATUS IUP]]="CERRADO","CERRADO",IF(ISNUMBER(SEARCH("validacion de enel",PL[[#This Row],[SUPPLIER NOTES]])),"PTE Validar Enel","ABIERTO"))</f>
        <v>ABIERTO</v>
      </c>
      <c r="P299" s="74" t="str">
        <f>IF(PL[[#This Row],[ESTADO]]="CERRADO","Cerrados IUP",IF(PL[[#This Row],[ESTADO]]="PTE Validar Enel","Pendiente cierre ENEL",IF(ISNUMBER(SEARCH("suministro",PL[[#This Row],[SUPPLIER NOTES]])),"Suministros",IF(PL[[#This Row],[SC]]="SOCIAL","Social",IF(ISNUMBER(SEARCH("monolito",PL[[#This Row],[DESCRIPTION]])),"Monolitos","Varios")))))</f>
        <v>Suministros</v>
      </c>
      <c r="Q29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00" spans="1:17" hidden="1" x14ac:dyDescent="0.2">
      <c r="A300" s="75" t="s">
        <v>1059</v>
      </c>
      <c r="B300" s="74" t="s">
        <v>41</v>
      </c>
      <c r="C300" s="52">
        <v>5</v>
      </c>
      <c r="D300" s="74" t="s">
        <v>3389</v>
      </c>
      <c r="E300" s="76" t="s">
        <v>3392</v>
      </c>
      <c r="F300" s="74" t="s">
        <v>1060</v>
      </c>
      <c r="G300" s="74" t="s">
        <v>49</v>
      </c>
      <c r="H300" s="74" t="s">
        <v>3462</v>
      </c>
      <c r="I300" s="74"/>
      <c r="J300" s="74" t="s">
        <v>11</v>
      </c>
      <c r="K300" s="74" t="s">
        <v>3393</v>
      </c>
      <c r="L300" s="74"/>
      <c r="M300" s="77"/>
      <c r="N300" s="74" t="str">
        <f>IF(ISNUMBER(PL[[#This Row],[CTO]]),"CTO "&amp;PL[[#This Row],[CTO]],"Otros")</f>
        <v>CTO 5</v>
      </c>
      <c r="O300" s="74" t="str">
        <f>IF(PL[[#This Row],[STATUS IUP]]="CERRADO","CERRADO",IF(ISNUMBER(SEARCH("validacion de enel",PL[[#This Row],[SUPPLIER NOTES]])),"PTE Validar Enel","ABIERTO"))</f>
        <v>ABIERTO</v>
      </c>
      <c r="P300" s="74" t="str">
        <f>IF(PL[[#This Row],[ESTADO]]="CERRADO","Cerrados IUP",IF(PL[[#This Row],[ESTADO]]="PTE Validar Enel","Pendiente cierre ENEL",IF(ISNUMBER(SEARCH("suministro",PL[[#This Row],[SUPPLIER NOTES]])),"Suministros",IF(PL[[#This Row],[SC]]="SOCIAL","Social",IF(ISNUMBER(SEARCH("monolito",PL[[#This Row],[DESCRIPTION]])),"Monolitos","Varios")))))</f>
        <v>Suministros</v>
      </c>
      <c r="Q30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01" spans="1:17" hidden="1" x14ac:dyDescent="0.2">
      <c r="A301" s="75" t="s">
        <v>1061</v>
      </c>
      <c r="B301" s="74" t="s">
        <v>41</v>
      </c>
      <c r="C301" s="52">
        <v>5</v>
      </c>
      <c r="D301" s="74" t="s">
        <v>3389</v>
      </c>
      <c r="E301" s="76" t="s">
        <v>3392</v>
      </c>
      <c r="F301" s="74" t="s">
        <v>1062</v>
      </c>
      <c r="G301" s="74" t="s">
        <v>49</v>
      </c>
      <c r="H301" s="74" t="s">
        <v>3462</v>
      </c>
      <c r="I301" s="74"/>
      <c r="J301" s="74" t="s">
        <v>11</v>
      </c>
      <c r="K301" s="74" t="s">
        <v>3393</v>
      </c>
      <c r="L301" s="74"/>
      <c r="M301" s="77"/>
      <c r="N301" s="74" t="str">
        <f>IF(ISNUMBER(PL[[#This Row],[CTO]]),"CTO "&amp;PL[[#This Row],[CTO]],"Otros")</f>
        <v>CTO 5</v>
      </c>
      <c r="O301" s="74" t="str">
        <f>IF(PL[[#This Row],[STATUS IUP]]="CERRADO","CERRADO",IF(ISNUMBER(SEARCH("validacion de enel",PL[[#This Row],[SUPPLIER NOTES]])),"PTE Validar Enel","ABIERTO"))</f>
        <v>ABIERTO</v>
      </c>
      <c r="P301" s="74" t="str">
        <f>IF(PL[[#This Row],[ESTADO]]="CERRADO","Cerrados IUP",IF(PL[[#This Row],[ESTADO]]="PTE Validar Enel","Pendiente cierre ENEL",IF(ISNUMBER(SEARCH("suministro",PL[[#This Row],[SUPPLIER NOTES]])),"Suministros",IF(PL[[#This Row],[SC]]="SOCIAL","Social",IF(ISNUMBER(SEARCH("monolito",PL[[#This Row],[DESCRIPTION]])),"Monolitos","Varios")))))</f>
        <v>Suministros</v>
      </c>
      <c r="Q30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02" spans="1:17" hidden="1" x14ac:dyDescent="0.2">
      <c r="A302" s="75" t="s">
        <v>1063</v>
      </c>
      <c r="B302" s="74" t="s">
        <v>41</v>
      </c>
      <c r="C302" s="52">
        <v>5</v>
      </c>
      <c r="D302" s="74" t="s">
        <v>3389</v>
      </c>
      <c r="E302" s="76" t="s">
        <v>3392</v>
      </c>
      <c r="F302" s="74" t="s">
        <v>1064</v>
      </c>
      <c r="G302" s="74" t="s">
        <v>49</v>
      </c>
      <c r="H302" s="74" t="s">
        <v>3462</v>
      </c>
      <c r="I302" s="74"/>
      <c r="J302" s="74" t="s">
        <v>11</v>
      </c>
      <c r="K302" s="74" t="s">
        <v>3393</v>
      </c>
      <c r="L302" s="74"/>
      <c r="M302" s="77"/>
      <c r="N302" s="74" t="str">
        <f>IF(ISNUMBER(PL[[#This Row],[CTO]]),"CTO "&amp;PL[[#This Row],[CTO]],"Otros")</f>
        <v>CTO 5</v>
      </c>
      <c r="O302" s="74" t="str">
        <f>IF(PL[[#This Row],[STATUS IUP]]="CERRADO","CERRADO",IF(ISNUMBER(SEARCH("validacion de enel",PL[[#This Row],[SUPPLIER NOTES]])),"PTE Validar Enel","ABIERTO"))</f>
        <v>ABIERTO</v>
      </c>
      <c r="P302" s="74" t="str">
        <f>IF(PL[[#This Row],[ESTADO]]="CERRADO","Cerrados IUP",IF(PL[[#This Row],[ESTADO]]="PTE Validar Enel","Pendiente cierre ENEL",IF(ISNUMBER(SEARCH("suministro",PL[[#This Row],[SUPPLIER NOTES]])),"Suministros",IF(PL[[#This Row],[SC]]="SOCIAL","Social",IF(ISNUMBER(SEARCH("monolito",PL[[#This Row],[DESCRIPTION]])),"Monolitos","Varios")))))</f>
        <v>Suministros</v>
      </c>
      <c r="Q30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03" spans="1:17" hidden="1" x14ac:dyDescent="0.2">
      <c r="A303" s="75" t="s">
        <v>1065</v>
      </c>
      <c r="B303" s="74" t="s">
        <v>41</v>
      </c>
      <c r="C303" s="52">
        <v>5</v>
      </c>
      <c r="D303" s="74" t="s">
        <v>3389</v>
      </c>
      <c r="E303" s="76" t="s">
        <v>3392</v>
      </c>
      <c r="F303" s="74" t="s">
        <v>1066</v>
      </c>
      <c r="G303" s="74" t="s">
        <v>49</v>
      </c>
      <c r="H303" s="74" t="s">
        <v>3462</v>
      </c>
      <c r="I303" s="74"/>
      <c r="J303" s="74" t="s">
        <v>11</v>
      </c>
      <c r="K303" s="74" t="s">
        <v>3393</v>
      </c>
      <c r="L303" s="74"/>
      <c r="M303" s="77"/>
      <c r="N303" s="74" t="str">
        <f>IF(ISNUMBER(PL[[#This Row],[CTO]]),"CTO "&amp;PL[[#This Row],[CTO]],"Otros")</f>
        <v>CTO 5</v>
      </c>
      <c r="O303" s="74" t="str">
        <f>IF(PL[[#This Row],[STATUS IUP]]="CERRADO","CERRADO",IF(ISNUMBER(SEARCH("validacion de enel",PL[[#This Row],[SUPPLIER NOTES]])),"PTE Validar Enel","ABIERTO"))</f>
        <v>ABIERTO</v>
      </c>
      <c r="P303" s="74" t="str">
        <f>IF(PL[[#This Row],[ESTADO]]="CERRADO","Cerrados IUP",IF(PL[[#This Row],[ESTADO]]="PTE Validar Enel","Pendiente cierre ENEL",IF(ISNUMBER(SEARCH("suministro",PL[[#This Row],[SUPPLIER NOTES]])),"Suministros",IF(PL[[#This Row],[SC]]="SOCIAL","Social",IF(ISNUMBER(SEARCH("monolito",PL[[#This Row],[DESCRIPTION]])),"Monolitos","Varios")))))</f>
        <v>Suministros</v>
      </c>
      <c r="Q30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04" spans="1:17" s="157" customFormat="1" hidden="1" x14ac:dyDescent="0.2">
      <c r="A304" s="151" t="s">
        <v>1238</v>
      </c>
      <c r="B304" s="154" t="s">
        <v>8</v>
      </c>
      <c r="C304" s="152">
        <v>5</v>
      </c>
      <c r="D304" s="153" t="s">
        <v>3389</v>
      </c>
      <c r="E304" s="154"/>
      <c r="F304" s="154" t="s">
        <v>1239</v>
      </c>
      <c r="G304" s="154" t="s">
        <v>43</v>
      </c>
      <c r="H304" s="154"/>
      <c r="I304" s="154"/>
      <c r="J304" s="154" t="s">
        <v>74</v>
      </c>
      <c r="K304" s="154" t="s">
        <v>3394</v>
      </c>
      <c r="L304" s="154"/>
      <c r="M304" s="156"/>
      <c r="N304" s="154" t="str">
        <f>IF(ISNUMBER(PL[[#This Row],[CTO]]),"CTO "&amp;PL[[#This Row],[CTO]],"Otros")</f>
        <v>CTO 5</v>
      </c>
      <c r="O304" s="154" t="str">
        <f>IF(PL[[#This Row],[STATUS IUP]]="CERRADO","CERRADO",IF(ISNUMBER(SEARCH("validacion de enel",PL[[#This Row],[SUPPLIER NOTES]])),"PTE Validar Enel","ABIERTO"))</f>
        <v>CERRADO</v>
      </c>
      <c r="P304" s="154" t="str">
        <f>IF(PL[[#This Row],[ESTADO]]="CERRADO","Cerrados IUP",IF(PL[[#This Row],[ESTADO]]="PTE Validar Enel","Pendiente cierre ENEL",IF(ISNUMBER(SEARCH("suministro",PL[[#This Row],[SUPPLIER NOTES]])),"Suministros",IF(PL[[#This Row],[SC]]="SOCIAL","Social",IF(ISNUMBER(SEARCH("monolito",PL[[#This Row],[DESCRIPTION]])),"Monolitos","Varios")))))</f>
        <v>Cerrados IUP</v>
      </c>
      <c r="Q3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305" spans="1:17" s="157" customFormat="1" ht="32" hidden="1" x14ac:dyDescent="0.2">
      <c r="A305" s="151" t="s">
        <v>448</v>
      </c>
      <c r="B305" s="152" t="s">
        <v>8</v>
      </c>
      <c r="C305" s="152">
        <v>5</v>
      </c>
      <c r="D305" s="153" t="s">
        <v>3386</v>
      </c>
      <c r="E305" s="154"/>
      <c r="F305" s="152" t="s">
        <v>449</v>
      </c>
      <c r="G305" s="154" t="s">
        <v>1290</v>
      </c>
      <c r="H305" s="154" t="s">
        <v>3454</v>
      </c>
      <c r="I305" s="154"/>
      <c r="J305" s="154" t="s">
        <v>74</v>
      </c>
      <c r="K305" s="154" t="s">
        <v>3394</v>
      </c>
      <c r="L305" s="154"/>
      <c r="M305" s="156"/>
      <c r="N305" s="154" t="str">
        <f>IF(ISNUMBER(PL[[#This Row],[CTO]]),"CTO "&amp;PL[[#This Row],[CTO]],"Otros")</f>
        <v>CTO 5</v>
      </c>
      <c r="O305" s="154" t="str">
        <f>IF(PL[[#This Row],[STATUS IUP]]="CERRADO","CERRADO",IF(ISNUMBER(SEARCH("validacion de enel",PL[[#This Row],[SUPPLIER NOTES]])),"PTE Validar Enel","ABIERTO"))</f>
        <v>CERRADO</v>
      </c>
      <c r="P305" s="154" t="str">
        <f>IF(PL[[#This Row],[ESTADO]]="CERRADO","Cerrados IUP",IF(PL[[#This Row],[ESTADO]]="PTE Validar Enel","Pendiente cierre ENEL",IF(ISNUMBER(SEARCH("suministro",PL[[#This Row],[SUPPLIER NOTES]])),"Suministros",IF(PL[[#This Row],[SC]]="SOCIAL","Social",IF(ISNUMBER(SEARCH("monolito",PL[[#This Row],[DESCRIPTION]])),"Monolitos","Varios")))))</f>
        <v>Cerrados IUP</v>
      </c>
      <c r="Q3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06" spans="1:17" ht="32" hidden="1" x14ac:dyDescent="0.2">
      <c r="A306" s="86" t="s">
        <v>450</v>
      </c>
      <c r="B306" s="115" t="s">
        <v>8</v>
      </c>
      <c r="C306" s="52">
        <v>5</v>
      </c>
      <c r="D306" s="88" t="s">
        <v>3386</v>
      </c>
      <c r="E306" s="87"/>
      <c r="F306" s="115" t="s">
        <v>451</v>
      </c>
      <c r="G306" s="87" t="s">
        <v>108</v>
      </c>
      <c r="H306" s="87" t="s">
        <v>3454</v>
      </c>
      <c r="I306" s="87"/>
      <c r="J306" s="87" t="s">
        <v>11</v>
      </c>
      <c r="K306" s="87" t="s">
        <v>3393</v>
      </c>
      <c r="L306" s="87"/>
      <c r="M306" s="89"/>
      <c r="N306" s="87" t="str">
        <f>IF(ISNUMBER(PL[[#This Row],[CTO]]),"CTO "&amp;PL[[#This Row],[CTO]],"Otros")</f>
        <v>CTO 5</v>
      </c>
      <c r="O306" s="87" t="str">
        <f>IF(PL[[#This Row],[STATUS IUP]]="CERRADO","CERRADO",IF(ISNUMBER(SEARCH("validacion de enel",PL[[#This Row],[SUPPLIER NOTES]])),"PTE Validar Enel","ABIERTO"))</f>
        <v>PTE Validar Enel</v>
      </c>
      <c r="P30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0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07" spans="1:17" ht="32" hidden="1" x14ac:dyDescent="0.2">
      <c r="A307" s="86" t="s">
        <v>458</v>
      </c>
      <c r="B307" s="115" t="s">
        <v>8</v>
      </c>
      <c r="C307" s="52">
        <v>5</v>
      </c>
      <c r="D307" s="88" t="s">
        <v>3386</v>
      </c>
      <c r="E307" s="87"/>
      <c r="F307" s="115" t="s">
        <v>459</v>
      </c>
      <c r="G307" s="82" t="s">
        <v>1289</v>
      </c>
      <c r="H307" s="87" t="s">
        <v>3454</v>
      </c>
      <c r="I307" s="87"/>
      <c r="J307" s="87" t="s">
        <v>11</v>
      </c>
      <c r="K307" s="87" t="s">
        <v>3393</v>
      </c>
      <c r="L307" s="87"/>
      <c r="M307" s="89"/>
      <c r="N307" s="87" t="str">
        <f>IF(ISNUMBER(PL[[#This Row],[CTO]]),"CTO "&amp;PL[[#This Row],[CTO]],"Otros")</f>
        <v>CTO 5</v>
      </c>
      <c r="O307" s="87" t="str">
        <f>IF(PL[[#This Row],[STATUS IUP]]="CERRADO","CERRADO",IF(ISNUMBER(SEARCH("validacion de enel",PL[[#This Row],[SUPPLIER NOTES]])),"PTE Validar Enel","ABIERTO"))</f>
        <v>PTE Validar Enel</v>
      </c>
      <c r="P30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0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08" spans="1:17" ht="32" hidden="1" x14ac:dyDescent="0.2">
      <c r="A308" s="86" t="s">
        <v>460</v>
      </c>
      <c r="B308" s="115" t="s">
        <v>8</v>
      </c>
      <c r="C308" s="52">
        <v>5</v>
      </c>
      <c r="D308" s="88" t="s">
        <v>3386</v>
      </c>
      <c r="E308" s="87"/>
      <c r="F308" s="115" t="s">
        <v>461</v>
      </c>
      <c r="G308" s="82" t="s">
        <v>1290</v>
      </c>
      <c r="H308" s="87" t="s">
        <v>3454</v>
      </c>
      <c r="I308" s="87"/>
      <c r="J308" s="87" t="s">
        <v>11</v>
      </c>
      <c r="K308" s="87" t="s">
        <v>3393</v>
      </c>
      <c r="L308" s="87"/>
      <c r="M308" s="89"/>
      <c r="N308" s="87" t="str">
        <f>IF(ISNUMBER(PL[[#This Row],[CTO]]),"CTO "&amp;PL[[#This Row],[CTO]],"Otros")</f>
        <v>CTO 5</v>
      </c>
      <c r="O308" s="87" t="str">
        <f>IF(PL[[#This Row],[STATUS IUP]]="CERRADO","CERRADO",IF(ISNUMBER(SEARCH("validacion de enel",PL[[#This Row],[SUPPLIER NOTES]])),"PTE Validar Enel","ABIERTO"))</f>
        <v>PTE Validar Enel</v>
      </c>
      <c r="P30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0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09" spans="1:17" ht="48" hidden="1" x14ac:dyDescent="0.2">
      <c r="A309" s="86" t="s">
        <v>122</v>
      </c>
      <c r="B309" s="115" t="s">
        <v>8</v>
      </c>
      <c r="C309" s="52">
        <v>5</v>
      </c>
      <c r="D309" s="88" t="s">
        <v>3386</v>
      </c>
      <c r="E309" s="87"/>
      <c r="F309" s="115" t="s">
        <v>123</v>
      </c>
      <c r="G309" s="82" t="s">
        <v>1289</v>
      </c>
      <c r="H309" s="87" t="s">
        <v>3454</v>
      </c>
      <c r="I309" s="87"/>
      <c r="J309" s="87" t="s">
        <v>11</v>
      </c>
      <c r="K309" s="87" t="s">
        <v>3393</v>
      </c>
      <c r="L309" s="87"/>
      <c r="M309" s="89"/>
      <c r="N309" s="87" t="str">
        <f>IF(ISNUMBER(PL[[#This Row],[CTO]]),"CTO "&amp;PL[[#This Row],[CTO]],"Otros")</f>
        <v>CTO 5</v>
      </c>
      <c r="O309" s="87" t="str">
        <f>IF(PL[[#This Row],[STATUS IUP]]="CERRADO","CERRADO",IF(ISNUMBER(SEARCH("validacion de enel",PL[[#This Row],[SUPPLIER NOTES]])),"PTE Validar Enel","ABIERTO"))</f>
        <v>PTE Validar Enel</v>
      </c>
      <c r="P309"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09"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0" spans="1:17" ht="32" hidden="1" x14ac:dyDescent="0.2">
      <c r="A310" s="86" t="s">
        <v>124</v>
      </c>
      <c r="B310" s="115" t="s">
        <v>8</v>
      </c>
      <c r="C310" s="52">
        <v>5</v>
      </c>
      <c r="D310" s="88" t="s">
        <v>3386</v>
      </c>
      <c r="E310" s="87"/>
      <c r="F310" s="115" t="s">
        <v>125</v>
      </c>
      <c r="G310" s="82" t="s">
        <v>1289</v>
      </c>
      <c r="H310" s="87" t="s">
        <v>3454</v>
      </c>
      <c r="I310" s="87"/>
      <c r="J310" s="87" t="s">
        <v>11</v>
      </c>
      <c r="K310" s="87" t="s">
        <v>3393</v>
      </c>
      <c r="L310" s="87"/>
      <c r="M310" s="89"/>
      <c r="N310" s="87" t="str">
        <f>IF(ISNUMBER(PL[[#This Row],[CTO]]),"CTO "&amp;PL[[#This Row],[CTO]],"Otros")</f>
        <v>CTO 5</v>
      </c>
      <c r="O310" s="87" t="str">
        <f>IF(PL[[#This Row],[STATUS IUP]]="CERRADO","CERRADO",IF(ISNUMBER(SEARCH("validacion de enel",PL[[#This Row],[SUPPLIER NOTES]])),"PTE Validar Enel","ABIERTO"))</f>
        <v>PTE Validar Enel</v>
      </c>
      <c r="P310"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10"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1" spans="1:17" s="157" customFormat="1" ht="32" hidden="1" x14ac:dyDescent="0.2">
      <c r="A311" s="151" t="s">
        <v>166</v>
      </c>
      <c r="B311" s="152" t="s">
        <v>8</v>
      </c>
      <c r="C311" s="152">
        <v>5</v>
      </c>
      <c r="D311" s="153" t="s">
        <v>3386</v>
      </c>
      <c r="E311" s="154"/>
      <c r="F311" s="152" t="s">
        <v>167</v>
      </c>
      <c r="G311" s="154" t="s">
        <v>1290</v>
      </c>
      <c r="H311" s="154" t="s">
        <v>3454</v>
      </c>
      <c r="I311" s="154"/>
      <c r="J311" s="154" t="s">
        <v>74</v>
      </c>
      <c r="K311" s="154" t="s">
        <v>3394</v>
      </c>
      <c r="L311" s="155">
        <v>46300</v>
      </c>
      <c r="M311" s="156"/>
      <c r="N311" s="154" t="str">
        <f>IF(ISNUMBER(PL[[#This Row],[CTO]]),"CTO "&amp;PL[[#This Row],[CTO]],"Otros")</f>
        <v>CTO 5</v>
      </c>
      <c r="O311" s="154" t="str">
        <f>IF(PL[[#This Row],[STATUS IUP]]="CERRADO","CERRADO",IF(ISNUMBER(SEARCH("validacion de enel",PL[[#This Row],[SUPPLIER NOTES]])),"PTE Validar Enel","ABIERTO"))</f>
        <v>CERRADO</v>
      </c>
      <c r="P311" s="154" t="str">
        <f>IF(PL[[#This Row],[ESTADO]]="CERRADO","Cerrados IUP",IF(PL[[#This Row],[ESTADO]]="PTE Validar Enel","Pendiente cierre ENEL",IF(ISNUMBER(SEARCH("suministro",PL[[#This Row],[SUPPLIER NOTES]])),"Suministros",IF(PL[[#This Row],[SC]]="SOCIAL","Social",IF(ISNUMBER(SEARCH("monolito",PL[[#This Row],[DESCRIPTION]])),"Monolitos","Varios")))))</f>
        <v>Cerrados IUP</v>
      </c>
      <c r="Q3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2" spans="1:17" ht="64" hidden="1" x14ac:dyDescent="0.2">
      <c r="A312" s="86" t="s">
        <v>142</v>
      </c>
      <c r="B312" s="115" t="s">
        <v>8</v>
      </c>
      <c r="C312" s="52">
        <v>5</v>
      </c>
      <c r="D312" s="88" t="s">
        <v>3386</v>
      </c>
      <c r="E312" s="87"/>
      <c r="F312" s="115" t="s">
        <v>143</v>
      </c>
      <c r="G312" s="82" t="s">
        <v>1290</v>
      </c>
      <c r="H312" s="87" t="s">
        <v>3454</v>
      </c>
      <c r="I312" s="87"/>
      <c r="J312" s="87" t="s">
        <v>11</v>
      </c>
      <c r="K312" s="87" t="s">
        <v>3393</v>
      </c>
      <c r="L312" s="87"/>
      <c r="M312" s="89"/>
      <c r="N312" s="87" t="str">
        <f>IF(ISNUMBER(PL[[#This Row],[CTO]]),"CTO "&amp;PL[[#This Row],[CTO]],"Otros")</f>
        <v>CTO 5</v>
      </c>
      <c r="O312" s="87" t="str">
        <f>IF(PL[[#This Row],[STATUS IUP]]="CERRADO","CERRADO",IF(ISNUMBER(SEARCH("validacion de enel",PL[[#This Row],[SUPPLIER NOTES]])),"PTE Validar Enel","ABIERTO"))</f>
        <v>PTE Validar Enel</v>
      </c>
      <c r="P31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1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3" spans="1:17" s="157" customFormat="1" hidden="1" x14ac:dyDescent="0.2">
      <c r="A313" s="151" t="s">
        <v>440</v>
      </c>
      <c r="B313" s="154" t="s">
        <v>8</v>
      </c>
      <c r="C313" s="152">
        <v>5</v>
      </c>
      <c r="D313" s="153" t="s">
        <v>3386</v>
      </c>
      <c r="E313" s="154"/>
      <c r="F313" s="154" t="s">
        <v>441</v>
      </c>
      <c r="G313" s="154" t="s">
        <v>1289</v>
      </c>
      <c r="H313" s="154" t="s">
        <v>73</v>
      </c>
      <c r="I313" s="154" t="s">
        <v>73</v>
      </c>
      <c r="J313" s="154" t="s">
        <v>74</v>
      </c>
      <c r="K313" s="154" t="s">
        <v>3394</v>
      </c>
      <c r="L313" s="161">
        <v>46227</v>
      </c>
      <c r="M313" s="160">
        <v>46227</v>
      </c>
      <c r="N313" s="154" t="str">
        <f>IF(ISNUMBER(PL[[#This Row],[CTO]]),"CTO "&amp;PL[[#This Row],[CTO]],"Otros")</f>
        <v>CTO 5</v>
      </c>
      <c r="O313" s="154" t="str">
        <f>IF(PL[[#This Row],[STATUS IUP]]="CERRADO","CERRADO",IF(ISNUMBER(SEARCH("validacion de enel",PL[[#This Row],[SUPPLIER NOTES]])),"PTE Validar Enel","ABIERTO"))</f>
        <v>CERRADO</v>
      </c>
      <c r="P313" s="154" t="str">
        <f>IF(PL[[#This Row],[ESTADO]]="CERRADO","Cerrados IUP",IF(PL[[#This Row],[ESTADO]]="PTE Validar Enel","Pendiente cierre ENEL",IF(ISNUMBER(SEARCH("suministro",PL[[#This Row],[SUPPLIER NOTES]])),"Suministros",IF(PL[[#This Row],[SC]]="SOCIAL","Social",IF(ISNUMBER(SEARCH("monolito",PL[[#This Row],[DESCRIPTION]])),"Monolitos","Varios")))))</f>
        <v>Cerrados IUP</v>
      </c>
      <c r="Q3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4" spans="1:17" s="157" customFormat="1" hidden="1" x14ac:dyDescent="0.2">
      <c r="A314" s="151" t="s">
        <v>444</v>
      </c>
      <c r="B314" s="154" t="s">
        <v>8</v>
      </c>
      <c r="C314" s="152">
        <v>5</v>
      </c>
      <c r="D314" s="153" t="s">
        <v>3386</v>
      </c>
      <c r="E314" s="154"/>
      <c r="F314" s="154" t="s">
        <v>445</v>
      </c>
      <c r="G314" s="154" t="s">
        <v>1290</v>
      </c>
      <c r="H314" s="154"/>
      <c r="I314" s="154"/>
      <c r="J314" s="154" t="s">
        <v>74</v>
      </c>
      <c r="K314" s="154" t="s">
        <v>3394</v>
      </c>
      <c r="L314" s="154"/>
      <c r="M314" s="156"/>
      <c r="N314" s="154" t="str">
        <f>IF(ISNUMBER(PL[[#This Row],[CTO]]),"CTO "&amp;PL[[#This Row],[CTO]],"Otros")</f>
        <v>CTO 5</v>
      </c>
      <c r="O314" s="154" t="str">
        <f>IF(PL[[#This Row],[STATUS IUP]]="CERRADO","CERRADO",IF(ISNUMBER(SEARCH("validacion de enel",PL[[#This Row],[SUPPLIER NOTES]])),"PTE Validar Enel","ABIERTO"))</f>
        <v>CERRADO</v>
      </c>
      <c r="P314" s="154" t="str">
        <f>IF(PL[[#This Row],[ESTADO]]="CERRADO","Cerrados IUP",IF(PL[[#This Row],[ESTADO]]="PTE Validar Enel","Pendiente cierre ENEL",IF(ISNUMBER(SEARCH("suministro",PL[[#This Row],[SUPPLIER NOTES]])),"Suministros",IF(PL[[#This Row],[SC]]="SOCIAL","Social",IF(ISNUMBER(SEARCH("monolito",PL[[#This Row],[DESCRIPTION]])),"Monolitos","Varios")))))</f>
        <v>Cerrados IUP</v>
      </c>
      <c r="Q3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5" spans="1:17" s="157" customFormat="1" hidden="1" x14ac:dyDescent="0.2">
      <c r="A315" s="151" t="s">
        <v>446</v>
      </c>
      <c r="B315" s="154" t="s">
        <v>8</v>
      </c>
      <c r="C315" s="152">
        <v>5</v>
      </c>
      <c r="D315" s="153" t="s">
        <v>3386</v>
      </c>
      <c r="E315" s="154"/>
      <c r="F315" s="154" t="s">
        <v>447</v>
      </c>
      <c r="G315" s="154" t="s">
        <v>108</v>
      </c>
      <c r="H315" s="154"/>
      <c r="I315" s="154"/>
      <c r="J315" s="154" t="s">
        <v>74</v>
      </c>
      <c r="K315" s="154" t="s">
        <v>3394</v>
      </c>
      <c r="L315" s="154"/>
      <c r="M315" s="156"/>
      <c r="N315" s="154" t="str">
        <f>IF(ISNUMBER(PL[[#This Row],[CTO]]),"CTO "&amp;PL[[#This Row],[CTO]],"Otros")</f>
        <v>CTO 5</v>
      </c>
      <c r="O315" s="154" t="str">
        <f>IF(PL[[#This Row],[STATUS IUP]]="CERRADO","CERRADO",IF(ISNUMBER(SEARCH("validacion de enel",PL[[#This Row],[SUPPLIER NOTES]])),"PTE Validar Enel","ABIERTO"))</f>
        <v>CERRADO</v>
      </c>
      <c r="P315" s="154" t="str">
        <f>IF(PL[[#This Row],[ESTADO]]="CERRADO","Cerrados IUP",IF(PL[[#This Row],[ESTADO]]="PTE Validar Enel","Pendiente cierre ENEL",IF(ISNUMBER(SEARCH("suministro",PL[[#This Row],[SUPPLIER NOTES]])),"Suministros",IF(PL[[#This Row],[SC]]="SOCIAL","Social",IF(ISNUMBER(SEARCH("monolito",PL[[#This Row],[DESCRIPTION]])),"Monolitos","Varios")))))</f>
        <v>Cerrados IUP</v>
      </c>
      <c r="Q3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6" spans="1:17" s="157" customFormat="1" hidden="1" x14ac:dyDescent="0.2">
      <c r="A316" s="151" t="s">
        <v>452</v>
      </c>
      <c r="B316" s="154" t="s">
        <v>8</v>
      </c>
      <c r="C316" s="152">
        <v>5</v>
      </c>
      <c r="D316" s="153" t="s">
        <v>3386</v>
      </c>
      <c r="E316" s="154"/>
      <c r="F316" s="154" t="s">
        <v>453</v>
      </c>
      <c r="G316" s="154" t="s">
        <v>1289</v>
      </c>
      <c r="H316" s="154"/>
      <c r="I316" s="154"/>
      <c r="J316" s="154" t="s">
        <v>74</v>
      </c>
      <c r="K316" s="154" t="s">
        <v>3394</v>
      </c>
      <c r="L316" s="154"/>
      <c r="M316" s="156"/>
      <c r="N316" s="154" t="str">
        <f>IF(ISNUMBER(PL[[#This Row],[CTO]]),"CTO "&amp;PL[[#This Row],[CTO]],"Otros")</f>
        <v>CTO 5</v>
      </c>
      <c r="O316" s="154" t="str">
        <f>IF(PL[[#This Row],[STATUS IUP]]="CERRADO","CERRADO",IF(ISNUMBER(SEARCH("validacion de enel",PL[[#This Row],[SUPPLIER NOTES]])),"PTE Validar Enel","ABIERTO"))</f>
        <v>CERRADO</v>
      </c>
      <c r="P316" s="154" t="str">
        <f>IF(PL[[#This Row],[ESTADO]]="CERRADO","Cerrados IUP",IF(PL[[#This Row],[ESTADO]]="PTE Validar Enel","Pendiente cierre ENEL",IF(ISNUMBER(SEARCH("suministro",PL[[#This Row],[SUPPLIER NOTES]])),"Suministros",IF(PL[[#This Row],[SC]]="SOCIAL","Social",IF(ISNUMBER(SEARCH("monolito",PL[[#This Row],[DESCRIPTION]])),"Monolitos","Varios")))))</f>
        <v>Cerrados IUP</v>
      </c>
      <c r="Q3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7" spans="1:17" s="157" customFormat="1" hidden="1" x14ac:dyDescent="0.2">
      <c r="A317" s="151" t="s">
        <v>456</v>
      </c>
      <c r="B317" s="154" t="s">
        <v>8</v>
      </c>
      <c r="C317" s="152">
        <v>5</v>
      </c>
      <c r="D317" s="153" t="s">
        <v>3386</v>
      </c>
      <c r="E317" s="154"/>
      <c r="F317" s="154" t="s">
        <v>457</v>
      </c>
      <c r="G317" s="154" t="s">
        <v>1290</v>
      </c>
      <c r="H317" s="154" t="s">
        <v>163</v>
      </c>
      <c r="I317" s="154" t="s">
        <v>163</v>
      </c>
      <c r="J317" s="154" t="s">
        <v>74</v>
      </c>
      <c r="K317" s="154" t="s">
        <v>3394</v>
      </c>
      <c r="L317" s="161">
        <v>46231</v>
      </c>
      <c r="M317" s="160">
        <v>46231</v>
      </c>
      <c r="N317" s="154" t="str">
        <f>IF(ISNUMBER(PL[[#This Row],[CTO]]),"CTO "&amp;PL[[#This Row],[CTO]],"Otros")</f>
        <v>CTO 5</v>
      </c>
      <c r="O317" s="154" t="str">
        <f>IF(PL[[#This Row],[STATUS IUP]]="CERRADO","CERRADO",IF(ISNUMBER(SEARCH("validacion de enel",PL[[#This Row],[SUPPLIER NOTES]])),"PTE Validar Enel","ABIERTO"))</f>
        <v>CERRADO</v>
      </c>
      <c r="P317" s="154" t="str">
        <f>IF(PL[[#This Row],[ESTADO]]="CERRADO","Cerrados IUP",IF(PL[[#This Row],[ESTADO]]="PTE Validar Enel","Pendiente cierre ENEL",IF(ISNUMBER(SEARCH("suministro",PL[[#This Row],[SUPPLIER NOTES]])),"Suministros",IF(PL[[#This Row],[SC]]="SOCIAL","Social",IF(ISNUMBER(SEARCH("monolito",PL[[#This Row],[DESCRIPTION]])),"Monolitos","Varios")))))</f>
        <v>Cerrados IUP</v>
      </c>
      <c r="Q3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8" spans="1:17" s="157" customFormat="1" hidden="1" x14ac:dyDescent="0.2">
      <c r="A318" s="151" t="s">
        <v>106</v>
      </c>
      <c r="B318" s="154" t="s">
        <v>8</v>
      </c>
      <c r="C318" s="152">
        <v>5</v>
      </c>
      <c r="D318" s="153" t="s">
        <v>3386</v>
      </c>
      <c r="E318" s="154"/>
      <c r="F318" s="154" t="s">
        <v>107</v>
      </c>
      <c r="G318" s="154" t="s">
        <v>108</v>
      </c>
      <c r="H318" s="154"/>
      <c r="I318" s="154"/>
      <c r="J318" s="154" t="s">
        <v>74</v>
      </c>
      <c r="K318" s="154" t="s">
        <v>3394</v>
      </c>
      <c r="L318" s="154"/>
      <c r="M318" s="156"/>
      <c r="N318" s="154" t="str">
        <f>IF(ISNUMBER(PL[[#This Row],[CTO]]),"CTO "&amp;PL[[#This Row],[CTO]],"Otros")</f>
        <v>CTO 5</v>
      </c>
      <c r="O318" s="154" t="str">
        <f>IF(PL[[#This Row],[STATUS IUP]]="CERRADO","CERRADO",IF(ISNUMBER(SEARCH("validacion de enel",PL[[#This Row],[SUPPLIER NOTES]])),"PTE Validar Enel","ABIERTO"))</f>
        <v>CERRADO</v>
      </c>
      <c r="P318" s="154" t="str">
        <f>IF(PL[[#This Row],[ESTADO]]="CERRADO","Cerrados IUP",IF(PL[[#This Row],[ESTADO]]="PTE Validar Enel","Pendiente cierre ENEL",IF(ISNUMBER(SEARCH("suministro",PL[[#This Row],[SUPPLIER NOTES]])),"Suministros",IF(PL[[#This Row],[SC]]="SOCIAL","Social",IF(ISNUMBER(SEARCH("monolito",PL[[#This Row],[DESCRIPTION]])),"Monolitos","Varios")))))</f>
        <v>Cerrados IUP</v>
      </c>
      <c r="Q3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19" spans="1:17" s="157" customFormat="1" hidden="1" x14ac:dyDescent="0.2">
      <c r="A319" s="151" t="s">
        <v>109</v>
      </c>
      <c r="B319" s="154" t="s">
        <v>8</v>
      </c>
      <c r="C319" s="152">
        <v>5</v>
      </c>
      <c r="D319" s="153" t="s">
        <v>3386</v>
      </c>
      <c r="E319" s="154"/>
      <c r="F319" s="154" t="s">
        <v>110</v>
      </c>
      <c r="G319" s="154" t="s">
        <v>1290</v>
      </c>
      <c r="H319" s="154"/>
      <c r="I319" s="154"/>
      <c r="J319" s="154" t="s">
        <v>74</v>
      </c>
      <c r="K319" s="154" t="s">
        <v>3394</v>
      </c>
      <c r="L319" s="154"/>
      <c r="M319" s="156"/>
      <c r="N319" s="154" t="str">
        <f>IF(ISNUMBER(PL[[#This Row],[CTO]]),"CTO "&amp;PL[[#This Row],[CTO]],"Otros")</f>
        <v>CTO 5</v>
      </c>
      <c r="O319" s="154" t="str">
        <f>IF(PL[[#This Row],[STATUS IUP]]="CERRADO","CERRADO",IF(ISNUMBER(SEARCH("validacion de enel",PL[[#This Row],[SUPPLIER NOTES]])),"PTE Validar Enel","ABIERTO"))</f>
        <v>CERRADO</v>
      </c>
      <c r="P319" s="154" t="str">
        <f>IF(PL[[#This Row],[ESTADO]]="CERRADO","Cerrados IUP",IF(PL[[#This Row],[ESTADO]]="PTE Validar Enel","Pendiente cierre ENEL",IF(ISNUMBER(SEARCH("suministro",PL[[#This Row],[SUPPLIER NOTES]])),"Suministros",IF(PL[[#This Row],[SC]]="SOCIAL","Social",IF(ISNUMBER(SEARCH("monolito",PL[[#This Row],[DESCRIPTION]])),"Monolitos","Varios")))))</f>
        <v>Cerrados IUP</v>
      </c>
      <c r="Q3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0" spans="1:17" s="157" customFormat="1" hidden="1" x14ac:dyDescent="0.2">
      <c r="A320" s="151" t="s">
        <v>111</v>
      </c>
      <c r="B320" s="154" t="s">
        <v>8</v>
      </c>
      <c r="C320" s="152">
        <v>5</v>
      </c>
      <c r="D320" s="153" t="s">
        <v>3386</v>
      </c>
      <c r="E320" s="154"/>
      <c r="F320" s="154" t="s">
        <v>112</v>
      </c>
      <c r="G320" s="154" t="s">
        <v>1289</v>
      </c>
      <c r="H320" s="154"/>
      <c r="I320" s="154"/>
      <c r="J320" s="154" t="s">
        <v>74</v>
      </c>
      <c r="K320" s="154" t="s">
        <v>3394</v>
      </c>
      <c r="L320" s="154"/>
      <c r="M320" s="156"/>
      <c r="N320" s="154" t="str">
        <f>IF(ISNUMBER(PL[[#This Row],[CTO]]),"CTO "&amp;PL[[#This Row],[CTO]],"Otros")</f>
        <v>CTO 5</v>
      </c>
      <c r="O320" s="154" t="str">
        <f>IF(PL[[#This Row],[STATUS IUP]]="CERRADO","CERRADO",IF(ISNUMBER(SEARCH("validacion de enel",PL[[#This Row],[SUPPLIER NOTES]])),"PTE Validar Enel","ABIERTO"))</f>
        <v>CERRADO</v>
      </c>
      <c r="P320" s="154" t="str">
        <f>IF(PL[[#This Row],[ESTADO]]="CERRADO","Cerrados IUP",IF(PL[[#This Row],[ESTADO]]="PTE Validar Enel","Pendiente cierre ENEL",IF(ISNUMBER(SEARCH("suministro",PL[[#This Row],[SUPPLIER NOTES]])),"Suministros",IF(PL[[#This Row],[SC]]="SOCIAL","Social",IF(ISNUMBER(SEARCH("monolito",PL[[#This Row],[DESCRIPTION]])),"Monolitos","Varios")))))</f>
        <v>Cerrados IUP</v>
      </c>
      <c r="Q3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1" spans="1:17" s="157" customFormat="1" hidden="1" x14ac:dyDescent="0.2">
      <c r="A321" s="151" t="s">
        <v>116</v>
      </c>
      <c r="B321" s="154" t="s">
        <v>8</v>
      </c>
      <c r="C321" s="152">
        <v>5</v>
      </c>
      <c r="D321" s="153" t="s">
        <v>3386</v>
      </c>
      <c r="E321" s="154"/>
      <c r="F321" s="154" t="s">
        <v>117</v>
      </c>
      <c r="G321" s="154" t="s">
        <v>1290</v>
      </c>
      <c r="H321" s="154"/>
      <c r="I321" s="154"/>
      <c r="J321" s="154" t="s">
        <v>74</v>
      </c>
      <c r="K321" s="154" t="s">
        <v>3394</v>
      </c>
      <c r="L321" s="154"/>
      <c r="M321" s="156"/>
      <c r="N321" s="154" t="str">
        <f>IF(ISNUMBER(PL[[#This Row],[CTO]]),"CTO "&amp;PL[[#This Row],[CTO]],"Otros")</f>
        <v>CTO 5</v>
      </c>
      <c r="O321" s="154" t="str">
        <f>IF(PL[[#This Row],[STATUS IUP]]="CERRADO","CERRADO",IF(ISNUMBER(SEARCH("validacion de enel",PL[[#This Row],[SUPPLIER NOTES]])),"PTE Validar Enel","ABIERTO"))</f>
        <v>CERRADO</v>
      </c>
      <c r="P321" s="154" t="str">
        <f>IF(PL[[#This Row],[ESTADO]]="CERRADO","Cerrados IUP",IF(PL[[#This Row],[ESTADO]]="PTE Validar Enel","Pendiente cierre ENEL",IF(ISNUMBER(SEARCH("suministro",PL[[#This Row],[SUPPLIER NOTES]])),"Suministros",IF(PL[[#This Row],[SC]]="SOCIAL","Social",IF(ISNUMBER(SEARCH("monolito",PL[[#This Row],[DESCRIPTION]])),"Monolitos","Varios")))))</f>
        <v>Cerrados IUP</v>
      </c>
      <c r="Q3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2" spans="1:17" s="157" customFormat="1" hidden="1" x14ac:dyDescent="0.2">
      <c r="A322" s="151" t="s">
        <v>120</v>
      </c>
      <c r="B322" s="154" t="s">
        <v>8</v>
      </c>
      <c r="C322" s="152">
        <v>5</v>
      </c>
      <c r="D322" s="153" t="s">
        <v>3386</v>
      </c>
      <c r="E322" s="154"/>
      <c r="F322" s="154" t="s">
        <v>121</v>
      </c>
      <c r="G322" s="154" t="s">
        <v>1289</v>
      </c>
      <c r="H322" s="154"/>
      <c r="I322" s="154"/>
      <c r="J322" s="154" t="s">
        <v>74</v>
      </c>
      <c r="K322" s="154" t="s">
        <v>3394</v>
      </c>
      <c r="L322" s="154"/>
      <c r="M322" s="156"/>
      <c r="N322" s="154" t="str">
        <f>IF(ISNUMBER(PL[[#This Row],[CTO]]),"CTO "&amp;PL[[#This Row],[CTO]],"Otros")</f>
        <v>CTO 5</v>
      </c>
      <c r="O322" s="154" t="str">
        <f>IF(PL[[#This Row],[STATUS IUP]]="CERRADO","CERRADO",IF(ISNUMBER(SEARCH("validacion de enel",PL[[#This Row],[SUPPLIER NOTES]])),"PTE Validar Enel","ABIERTO"))</f>
        <v>CERRADO</v>
      </c>
      <c r="P322" s="154" t="str">
        <f>IF(PL[[#This Row],[ESTADO]]="CERRADO","Cerrados IUP",IF(PL[[#This Row],[ESTADO]]="PTE Validar Enel","Pendiente cierre ENEL",IF(ISNUMBER(SEARCH("suministro",PL[[#This Row],[SUPPLIER NOTES]])),"Suministros",IF(PL[[#This Row],[SC]]="SOCIAL","Social",IF(ISNUMBER(SEARCH("monolito",PL[[#This Row],[DESCRIPTION]])),"Monolitos","Varios")))))</f>
        <v>Cerrados IUP</v>
      </c>
      <c r="Q3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3" spans="1:17" hidden="1" x14ac:dyDescent="0.2">
      <c r="A323" s="75" t="s">
        <v>454</v>
      </c>
      <c r="B323" s="74" t="s">
        <v>8</v>
      </c>
      <c r="C323" s="52">
        <v>5</v>
      </c>
      <c r="D323" s="76" t="s">
        <v>3386</v>
      </c>
      <c r="E323" s="74"/>
      <c r="F323" s="74" t="s">
        <v>455</v>
      </c>
      <c r="G323" s="74" t="s">
        <v>108</v>
      </c>
      <c r="H323" s="74" t="s">
        <v>3462</v>
      </c>
      <c r="I323" s="74"/>
      <c r="J323" s="74" t="s">
        <v>11</v>
      </c>
      <c r="K323" s="74" t="s">
        <v>3393</v>
      </c>
      <c r="L323" s="74"/>
      <c r="M323" s="77"/>
      <c r="N323" s="74" t="str">
        <f>IF(ISNUMBER(PL[[#This Row],[CTO]]),"CTO "&amp;PL[[#This Row],[CTO]],"Otros")</f>
        <v>CTO 5</v>
      </c>
      <c r="O323" s="74" t="str">
        <f>IF(PL[[#This Row],[STATUS IUP]]="CERRADO","CERRADO",IF(ISNUMBER(SEARCH("validacion de enel",PL[[#This Row],[SUPPLIER NOTES]])),"PTE Validar Enel","ABIERTO"))</f>
        <v>ABIERTO</v>
      </c>
      <c r="P323" s="74" t="str">
        <f>IF(PL[[#This Row],[ESTADO]]="CERRADO","Cerrados IUP",IF(PL[[#This Row],[ESTADO]]="PTE Validar Enel","Pendiente cierre ENEL",IF(ISNUMBER(SEARCH("suministro",PL[[#This Row],[SUPPLIER NOTES]])),"Suministros",IF(PL[[#This Row],[SC]]="SOCIAL","Social",IF(ISNUMBER(SEARCH("monolito",PL[[#This Row],[DESCRIPTION]])),"Monolitos","Varios")))))</f>
        <v>Suministros</v>
      </c>
      <c r="Q32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4" spans="1:17" s="157" customFormat="1" hidden="1" x14ac:dyDescent="0.2">
      <c r="A324" s="151" t="s">
        <v>126</v>
      </c>
      <c r="B324" s="154" t="s">
        <v>8</v>
      </c>
      <c r="C324" s="152">
        <v>5</v>
      </c>
      <c r="D324" s="153" t="s">
        <v>3386</v>
      </c>
      <c r="E324" s="154"/>
      <c r="F324" s="154" t="s">
        <v>127</v>
      </c>
      <c r="G324" s="154" t="s">
        <v>128</v>
      </c>
      <c r="H324" s="154"/>
      <c r="I324" s="154"/>
      <c r="J324" s="154" t="s">
        <v>74</v>
      </c>
      <c r="K324" s="154" t="s">
        <v>3394</v>
      </c>
      <c r="L324" s="154"/>
      <c r="M324" s="156"/>
      <c r="N324" s="154" t="str">
        <f>IF(ISNUMBER(PL[[#This Row],[CTO]]),"CTO "&amp;PL[[#This Row],[CTO]],"Otros")</f>
        <v>CTO 5</v>
      </c>
      <c r="O324" s="154" t="str">
        <f>IF(PL[[#This Row],[STATUS IUP]]="CERRADO","CERRADO",IF(ISNUMBER(SEARCH("validacion de enel",PL[[#This Row],[SUPPLIER NOTES]])),"PTE Validar Enel","ABIERTO"))</f>
        <v>CERRADO</v>
      </c>
      <c r="P324" s="154" t="str">
        <f>IF(PL[[#This Row],[ESTADO]]="CERRADO","Cerrados IUP",IF(PL[[#This Row],[ESTADO]]="PTE Validar Enel","Pendiente cierre ENEL",IF(ISNUMBER(SEARCH("suministro",PL[[#This Row],[SUPPLIER NOTES]])),"Suministros",IF(PL[[#This Row],[SC]]="SOCIAL","Social",IF(ISNUMBER(SEARCH("monolito",PL[[#This Row],[DESCRIPTION]])),"Monolitos","Varios")))))</f>
        <v>Cerrados IUP</v>
      </c>
      <c r="Q3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5" spans="1:17" s="157" customFormat="1" hidden="1" x14ac:dyDescent="0.2">
      <c r="A325" s="151" t="s">
        <v>129</v>
      </c>
      <c r="B325" s="154" t="s">
        <v>8</v>
      </c>
      <c r="C325" s="152">
        <v>5</v>
      </c>
      <c r="D325" s="153" t="s">
        <v>3386</v>
      </c>
      <c r="E325" s="154"/>
      <c r="F325" s="154" t="s">
        <v>130</v>
      </c>
      <c r="G325" s="154" t="s">
        <v>128</v>
      </c>
      <c r="H325" s="154"/>
      <c r="I325" s="154"/>
      <c r="J325" s="154" t="s">
        <v>74</v>
      </c>
      <c r="K325" s="154" t="s">
        <v>3394</v>
      </c>
      <c r="L325" s="154"/>
      <c r="M325" s="156"/>
      <c r="N325" s="154" t="str">
        <f>IF(ISNUMBER(PL[[#This Row],[CTO]]),"CTO "&amp;PL[[#This Row],[CTO]],"Otros")</f>
        <v>CTO 5</v>
      </c>
      <c r="O325" s="154" t="str">
        <f>IF(PL[[#This Row],[STATUS IUP]]="CERRADO","CERRADO",IF(ISNUMBER(SEARCH("validacion de enel",PL[[#This Row],[SUPPLIER NOTES]])),"PTE Validar Enel","ABIERTO"))</f>
        <v>CERRADO</v>
      </c>
      <c r="P325" s="154" t="str">
        <f>IF(PL[[#This Row],[ESTADO]]="CERRADO","Cerrados IUP",IF(PL[[#This Row],[ESTADO]]="PTE Validar Enel","Pendiente cierre ENEL",IF(ISNUMBER(SEARCH("suministro",PL[[#This Row],[SUPPLIER NOTES]])),"Suministros",IF(PL[[#This Row],[SC]]="SOCIAL","Social",IF(ISNUMBER(SEARCH("monolito",PL[[#This Row],[DESCRIPTION]])),"Monolitos","Varios")))))</f>
        <v>Cerrados IUP</v>
      </c>
      <c r="Q3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6" spans="1:17" s="157" customFormat="1" hidden="1" x14ac:dyDescent="0.2">
      <c r="A326" s="151" t="s">
        <v>131</v>
      </c>
      <c r="B326" s="154" t="s">
        <v>8</v>
      </c>
      <c r="C326" s="152">
        <v>5</v>
      </c>
      <c r="D326" s="153" t="s">
        <v>3386</v>
      </c>
      <c r="E326" s="154"/>
      <c r="F326" s="154" t="s">
        <v>132</v>
      </c>
      <c r="G326" s="154" t="s">
        <v>128</v>
      </c>
      <c r="H326" s="154"/>
      <c r="I326" s="154"/>
      <c r="J326" s="154" t="s">
        <v>74</v>
      </c>
      <c r="K326" s="154" t="s">
        <v>3394</v>
      </c>
      <c r="L326" s="154"/>
      <c r="M326" s="156"/>
      <c r="N326" s="154" t="str">
        <f>IF(ISNUMBER(PL[[#This Row],[CTO]]),"CTO "&amp;PL[[#This Row],[CTO]],"Otros")</f>
        <v>CTO 5</v>
      </c>
      <c r="O326" s="154" t="str">
        <f>IF(PL[[#This Row],[STATUS IUP]]="CERRADO","CERRADO",IF(ISNUMBER(SEARCH("validacion de enel",PL[[#This Row],[SUPPLIER NOTES]])),"PTE Validar Enel","ABIERTO"))</f>
        <v>CERRADO</v>
      </c>
      <c r="P326" s="154" t="str">
        <f>IF(PL[[#This Row],[ESTADO]]="CERRADO","Cerrados IUP",IF(PL[[#This Row],[ESTADO]]="PTE Validar Enel","Pendiente cierre ENEL",IF(ISNUMBER(SEARCH("suministro",PL[[#This Row],[SUPPLIER NOTES]])),"Suministros",IF(PL[[#This Row],[SC]]="SOCIAL","Social",IF(ISNUMBER(SEARCH("monolito",PL[[#This Row],[DESCRIPTION]])),"Monolitos","Varios")))))</f>
        <v>Cerrados IUP</v>
      </c>
      <c r="Q3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7" spans="1:17" s="157" customFormat="1" hidden="1" x14ac:dyDescent="0.2">
      <c r="A327" s="151" t="s">
        <v>133</v>
      </c>
      <c r="B327" s="154" t="s">
        <v>8</v>
      </c>
      <c r="C327" s="152">
        <v>5</v>
      </c>
      <c r="D327" s="153" t="s">
        <v>3386</v>
      </c>
      <c r="E327" s="154"/>
      <c r="F327" s="154" t="s">
        <v>134</v>
      </c>
      <c r="G327" s="154" t="s">
        <v>128</v>
      </c>
      <c r="H327" s="154"/>
      <c r="I327" s="154"/>
      <c r="J327" s="154" t="s">
        <v>74</v>
      </c>
      <c r="K327" s="154" t="s">
        <v>3394</v>
      </c>
      <c r="L327" s="154"/>
      <c r="M327" s="156"/>
      <c r="N327" s="154" t="str">
        <f>IF(ISNUMBER(PL[[#This Row],[CTO]]),"CTO "&amp;PL[[#This Row],[CTO]],"Otros")</f>
        <v>CTO 5</v>
      </c>
      <c r="O327" s="154" t="str">
        <f>IF(PL[[#This Row],[STATUS IUP]]="CERRADO","CERRADO",IF(ISNUMBER(SEARCH("validacion de enel",PL[[#This Row],[SUPPLIER NOTES]])),"PTE Validar Enel","ABIERTO"))</f>
        <v>CERRADO</v>
      </c>
      <c r="P327" s="154" t="str">
        <f>IF(PL[[#This Row],[ESTADO]]="CERRADO","Cerrados IUP",IF(PL[[#This Row],[ESTADO]]="PTE Validar Enel","Pendiente cierre ENEL",IF(ISNUMBER(SEARCH("suministro",PL[[#This Row],[SUPPLIER NOTES]])),"Suministros",IF(PL[[#This Row],[SC]]="SOCIAL","Social",IF(ISNUMBER(SEARCH("monolito",PL[[#This Row],[DESCRIPTION]])),"Monolitos","Varios")))))</f>
        <v>Cerrados IUP</v>
      </c>
      <c r="Q3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8" spans="1:17" s="157" customFormat="1" hidden="1" x14ac:dyDescent="0.2">
      <c r="A328" s="151" t="s">
        <v>135</v>
      </c>
      <c r="B328" s="154" t="s">
        <v>8</v>
      </c>
      <c r="C328" s="152">
        <v>5</v>
      </c>
      <c r="D328" s="153" t="s">
        <v>3386</v>
      </c>
      <c r="E328" s="154"/>
      <c r="F328" s="154" t="s">
        <v>136</v>
      </c>
      <c r="G328" s="154" t="s">
        <v>128</v>
      </c>
      <c r="H328" s="154" t="s">
        <v>137</v>
      </c>
      <c r="I328" s="154" t="s">
        <v>137</v>
      </c>
      <c r="J328" s="154" t="s">
        <v>74</v>
      </c>
      <c r="K328" s="154" t="s">
        <v>3394</v>
      </c>
      <c r="L328" s="161">
        <v>46219</v>
      </c>
      <c r="M328" s="160">
        <v>46219</v>
      </c>
      <c r="N328" s="154" t="str">
        <f>IF(ISNUMBER(PL[[#This Row],[CTO]]),"CTO "&amp;PL[[#This Row],[CTO]],"Otros")</f>
        <v>CTO 5</v>
      </c>
      <c r="O328" s="154" t="str">
        <f>IF(PL[[#This Row],[STATUS IUP]]="CERRADO","CERRADO",IF(ISNUMBER(SEARCH("validacion de enel",PL[[#This Row],[SUPPLIER NOTES]])),"PTE Validar Enel","ABIERTO"))</f>
        <v>CERRADO</v>
      </c>
      <c r="P328" s="154" t="str">
        <f>IF(PL[[#This Row],[ESTADO]]="CERRADO","Cerrados IUP",IF(PL[[#This Row],[ESTADO]]="PTE Validar Enel","Pendiente cierre ENEL",IF(ISNUMBER(SEARCH("suministro",PL[[#This Row],[SUPPLIER NOTES]])),"Suministros",IF(PL[[#This Row],[SC]]="SOCIAL","Social",IF(ISNUMBER(SEARCH("monolito",PL[[#This Row],[DESCRIPTION]])),"Monolitos","Varios")))))</f>
        <v>Cerrados IUP</v>
      </c>
      <c r="Q3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29" spans="1:17" s="157" customFormat="1" hidden="1" x14ac:dyDescent="0.2">
      <c r="A329" s="151" t="s">
        <v>138</v>
      </c>
      <c r="B329" s="154" t="s">
        <v>8</v>
      </c>
      <c r="C329" s="152">
        <v>5</v>
      </c>
      <c r="D329" s="153" t="s">
        <v>3386</v>
      </c>
      <c r="E329" s="154"/>
      <c r="F329" s="154" t="s">
        <v>139</v>
      </c>
      <c r="G329" s="154" t="s">
        <v>1290</v>
      </c>
      <c r="H329" s="154"/>
      <c r="I329" s="154"/>
      <c r="J329" s="154" t="s">
        <v>74</v>
      </c>
      <c r="K329" s="154" t="s">
        <v>3394</v>
      </c>
      <c r="L329" s="154"/>
      <c r="M329" s="156"/>
      <c r="N329" s="154" t="str">
        <f>IF(ISNUMBER(PL[[#This Row],[CTO]]),"CTO "&amp;PL[[#This Row],[CTO]],"Otros")</f>
        <v>CTO 5</v>
      </c>
      <c r="O329" s="154" t="str">
        <f>IF(PL[[#This Row],[STATUS IUP]]="CERRADO","CERRADO",IF(ISNUMBER(SEARCH("validacion de enel",PL[[#This Row],[SUPPLIER NOTES]])),"PTE Validar Enel","ABIERTO"))</f>
        <v>CERRADO</v>
      </c>
      <c r="P329" s="154" t="str">
        <f>IF(PL[[#This Row],[ESTADO]]="CERRADO","Cerrados IUP",IF(PL[[#This Row],[ESTADO]]="PTE Validar Enel","Pendiente cierre ENEL",IF(ISNUMBER(SEARCH("suministro",PL[[#This Row],[SUPPLIER NOTES]])),"Suministros",IF(PL[[#This Row],[SC]]="SOCIAL","Social",IF(ISNUMBER(SEARCH("monolito",PL[[#This Row],[DESCRIPTION]])),"Monolitos","Varios")))))</f>
        <v>Cerrados IUP</v>
      </c>
      <c r="Q3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30" spans="1:17" s="157" customFormat="1" hidden="1" x14ac:dyDescent="0.2">
      <c r="A330" s="151" t="s">
        <v>140</v>
      </c>
      <c r="B330" s="154" t="s">
        <v>8</v>
      </c>
      <c r="C330" s="152">
        <v>5</v>
      </c>
      <c r="D330" s="153" t="s">
        <v>3386</v>
      </c>
      <c r="E330" s="154"/>
      <c r="F330" s="154" t="s">
        <v>141</v>
      </c>
      <c r="G330" s="154" t="s">
        <v>1290</v>
      </c>
      <c r="H330" s="154"/>
      <c r="I330" s="154"/>
      <c r="J330" s="154" t="s">
        <v>74</v>
      </c>
      <c r="K330" s="154" t="s">
        <v>3394</v>
      </c>
      <c r="L330" s="154"/>
      <c r="M330" s="156"/>
      <c r="N330" s="154" t="str">
        <f>IF(ISNUMBER(PL[[#This Row],[CTO]]),"CTO "&amp;PL[[#This Row],[CTO]],"Otros")</f>
        <v>CTO 5</v>
      </c>
      <c r="O330" s="154" t="str">
        <f>IF(PL[[#This Row],[STATUS IUP]]="CERRADO","CERRADO",IF(ISNUMBER(SEARCH("validacion de enel",PL[[#This Row],[SUPPLIER NOTES]])),"PTE Validar Enel","ABIERTO"))</f>
        <v>CERRADO</v>
      </c>
      <c r="P330" s="154" t="str">
        <f>IF(PL[[#This Row],[ESTADO]]="CERRADO","Cerrados IUP",IF(PL[[#This Row],[ESTADO]]="PTE Validar Enel","Pendiente cierre ENEL",IF(ISNUMBER(SEARCH("suministro",PL[[#This Row],[SUPPLIER NOTES]])),"Suministros",IF(PL[[#This Row],[SC]]="SOCIAL","Social",IF(ISNUMBER(SEARCH("monolito",PL[[#This Row],[DESCRIPTION]])),"Monolitos","Varios")))))</f>
        <v>Cerrados IUP</v>
      </c>
      <c r="Q3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31" spans="1:17" hidden="1" x14ac:dyDescent="0.2">
      <c r="A331" s="66" t="s">
        <v>114</v>
      </c>
      <c r="B331" s="67" t="s">
        <v>8</v>
      </c>
      <c r="C331" s="52">
        <v>5</v>
      </c>
      <c r="D331" s="68" t="s">
        <v>3386</v>
      </c>
      <c r="E331" s="67"/>
      <c r="F331" s="67" t="s">
        <v>115</v>
      </c>
      <c r="G331" s="82" t="s">
        <v>1289</v>
      </c>
      <c r="H331" s="90" t="s">
        <v>3463</v>
      </c>
      <c r="I331" s="67"/>
      <c r="J331" s="67" t="s">
        <v>11</v>
      </c>
      <c r="K331" s="67" t="s">
        <v>3393</v>
      </c>
      <c r="L331" s="67"/>
      <c r="M331" s="69"/>
      <c r="N331" s="67" t="str">
        <f>IF(ISNUMBER(PL[[#This Row],[CTO]]),"CTO "&amp;PL[[#This Row],[CTO]],"Otros")</f>
        <v>CTO 5</v>
      </c>
      <c r="O331" s="67" t="str">
        <f>IF(PL[[#This Row],[STATUS IUP]]="CERRADO","CERRADO",IF(ISNUMBER(SEARCH("validacion de enel",PL[[#This Row],[SUPPLIER NOTES]])),"PTE Validar Enel","ABIERTO"))</f>
        <v>ABIERTO</v>
      </c>
      <c r="P331" s="67" t="str">
        <f>IF(PL[[#This Row],[ESTADO]]="CERRADO","Cerrados IUP",IF(PL[[#This Row],[ESTADO]]="PTE Validar Enel","Pendiente cierre ENEL",IF(ISNUMBER(SEARCH("suministro",PL[[#This Row],[SUPPLIER NOTES]])),"Suministros",IF(PL[[#This Row],[SC]]="SOCIAL","Social",IF(ISNUMBER(SEARCH("monolito",PL[[#This Row],[DESCRIPTION]])),"Monolitos","Varios")))))</f>
        <v>Varios</v>
      </c>
      <c r="Q33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32" spans="1:17" hidden="1" x14ac:dyDescent="0.2">
      <c r="A332" s="66" t="s">
        <v>118</v>
      </c>
      <c r="B332" s="67" t="s">
        <v>8</v>
      </c>
      <c r="C332" s="52">
        <v>5</v>
      </c>
      <c r="D332" s="68" t="s">
        <v>3386</v>
      </c>
      <c r="E332" s="67"/>
      <c r="F332" s="67" t="s">
        <v>119</v>
      </c>
      <c r="G332" s="82" t="s">
        <v>1289</v>
      </c>
      <c r="H332" s="90"/>
      <c r="I332" s="67"/>
      <c r="J332" s="67" t="s">
        <v>11</v>
      </c>
      <c r="K332" s="67" t="s">
        <v>3393</v>
      </c>
      <c r="L332" s="67"/>
      <c r="M332" s="69"/>
      <c r="N332" s="67" t="str">
        <f>IF(ISNUMBER(PL[[#This Row],[CTO]]),"CTO "&amp;PL[[#This Row],[CTO]],"Otros")</f>
        <v>CTO 5</v>
      </c>
      <c r="O332" s="67" t="str">
        <f>IF(PL[[#This Row],[STATUS IUP]]="CERRADO","CERRADO",IF(ISNUMBER(SEARCH("validacion de enel",PL[[#This Row],[SUPPLIER NOTES]])),"PTE Validar Enel","ABIERTO"))</f>
        <v>ABIERTO</v>
      </c>
      <c r="P332" s="67" t="str">
        <f>IF(PL[[#This Row],[ESTADO]]="CERRADO","Cerrados IUP",IF(PL[[#This Row],[ESTADO]]="PTE Validar Enel","Pendiente cierre ENEL",IF(ISNUMBER(SEARCH("suministro",PL[[#This Row],[SUPPLIER NOTES]])),"Suministros",IF(PL[[#This Row],[SC]]="SOCIAL","Social",IF(ISNUMBER(SEARCH("monolito",PL[[#This Row],[DESCRIPTION]])),"Monolitos","Varios")))))</f>
        <v>Varios</v>
      </c>
      <c r="Q33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33" spans="1:17" hidden="1" x14ac:dyDescent="0.2">
      <c r="A333" s="75" t="s">
        <v>1067</v>
      </c>
      <c r="B333" s="74" t="s">
        <v>41</v>
      </c>
      <c r="C333" s="52">
        <v>5</v>
      </c>
      <c r="D333" s="74" t="s">
        <v>3386</v>
      </c>
      <c r="E333" s="76" t="s">
        <v>3392</v>
      </c>
      <c r="F333" s="74" t="s">
        <v>1068</v>
      </c>
      <c r="G333" s="74" t="s">
        <v>49</v>
      </c>
      <c r="H333" s="74" t="s">
        <v>3462</v>
      </c>
      <c r="I333" s="74"/>
      <c r="J333" s="74" t="s">
        <v>11</v>
      </c>
      <c r="K333" s="74" t="s">
        <v>3393</v>
      </c>
      <c r="L333" s="74"/>
      <c r="M333" s="77"/>
      <c r="N333" s="74" t="str">
        <f>IF(ISNUMBER(PL[[#This Row],[CTO]]),"CTO "&amp;PL[[#This Row],[CTO]],"Otros")</f>
        <v>CTO 5</v>
      </c>
      <c r="O333" s="74" t="str">
        <f>IF(PL[[#This Row],[STATUS IUP]]="CERRADO","CERRADO",IF(ISNUMBER(SEARCH("validacion de enel",PL[[#This Row],[SUPPLIER NOTES]])),"PTE Validar Enel","ABIERTO"))</f>
        <v>ABIERTO</v>
      </c>
      <c r="P333" s="74" t="str">
        <f>IF(PL[[#This Row],[ESTADO]]="CERRADO","Cerrados IUP",IF(PL[[#This Row],[ESTADO]]="PTE Validar Enel","Pendiente cierre ENEL",IF(ISNUMBER(SEARCH("suministro",PL[[#This Row],[SUPPLIER NOTES]])),"Suministros",IF(PL[[#This Row],[SC]]="SOCIAL","Social",IF(ISNUMBER(SEARCH("monolito",PL[[#This Row],[DESCRIPTION]])),"Monolitos","Varios")))))</f>
        <v>Suministros</v>
      </c>
      <c r="Q33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4" spans="1:17" hidden="1" x14ac:dyDescent="0.2">
      <c r="A334" s="75" t="s">
        <v>1069</v>
      </c>
      <c r="B334" s="74" t="s">
        <v>41</v>
      </c>
      <c r="C334" s="52">
        <v>5</v>
      </c>
      <c r="D334" s="74" t="s">
        <v>3386</v>
      </c>
      <c r="E334" s="76" t="s">
        <v>3392</v>
      </c>
      <c r="F334" s="74" t="s">
        <v>1070</v>
      </c>
      <c r="G334" s="74" t="s">
        <v>49</v>
      </c>
      <c r="H334" s="74" t="s">
        <v>3462</v>
      </c>
      <c r="I334" s="74"/>
      <c r="J334" s="74" t="s">
        <v>11</v>
      </c>
      <c r="K334" s="74" t="s">
        <v>3393</v>
      </c>
      <c r="L334" s="74"/>
      <c r="M334" s="77"/>
      <c r="N334" s="74" t="str">
        <f>IF(ISNUMBER(PL[[#This Row],[CTO]]),"CTO "&amp;PL[[#This Row],[CTO]],"Otros")</f>
        <v>CTO 5</v>
      </c>
      <c r="O334" s="74" t="str">
        <f>IF(PL[[#This Row],[STATUS IUP]]="CERRADO","CERRADO",IF(ISNUMBER(SEARCH("validacion de enel",PL[[#This Row],[SUPPLIER NOTES]])),"PTE Validar Enel","ABIERTO"))</f>
        <v>ABIERTO</v>
      </c>
      <c r="P334" s="74" t="str">
        <f>IF(PL[[#This Row],[ESTADO]]="CERRADO","Cerrados IUP",IF(PL[[#This Row],[ESTADO]]="PTE Validar Enel","Pendiente cierre ENEL",IF(ISNUMBER(SEARCH("suministro",PL[[#This Row],[SUPPLIER NOTES]])),"Suministros",IF(PL[[#This Row],[SC]]="SOCIAL","Social",IF(ISNUMBER(SEARCH("monolito",PL[[#This Row],[DESCRIPTION]])),"Monolitos","Varios")))))</f>
        <v>Suministros</v>
      </c>
      <c r="Q33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5" spans="1:17" hidden="1" x14ac:dyDescent="0.2">
      <c r="A335" s="75" t="s">
        <v>1071</v>
      </c>
      <c r="B335" s="74" t="s">
        <v>41</v>
      </c>
      <c r="C335" s="52">
        <v>5</v>
      </c>
      <c r="D335" s="74" t="s">
        <v>3386</v>
      </c>
      <c r="E335" s="76" t="s">
        <v>3392</v>
      </c>
      <c r="F335" s="74" t="s">
        <v>1072</v>
      </c>
      <c r="G335" s="74" t="s">
        <v>49</v>
      </c>
      <c r="H335" s="74" t="s">
        <v>3462</v>
      </c>
      <c r="I335" s="74"/>
      <c r="J335" s="74" t="s">
        <v>11</v>
      </c>
      <c r="K335" s="74" t="s">
        <v>3393</v>
      </c>
      <c r="L335" s="74"/>
      <c r="M335" s="77"/>
      <c r="N335" s="74" t="str">
        <f>IF(ISNUMBER(PL[[#This Row],[CTO]]),"CTO "&amp;PL[[#This Row],[CTO]],"Otros")</f>
        <v>CTO 5</v>
      </c>
      <c r="O335" s="74" t="str">
        <f>IF(PL[[#This Row],[STATUS IUP]]="CERRADO","CERRADO",IF(ISNUMBER(SEARCH("validacion de enel",PL[[#This Row],[SUPPLIER NOTES]])),"PTE Validar Enel","ABIERTO"))</f>
        <v>ABIERTO</v>
      </c>
      <c r="P335" s="74" t="str">
        <f>IF(PL[[#This Row],[ESTADO]]="CERRADO","Cerrados IUP",IF(PL[[#This Row],[ESTADO]]="PTE Validar Enel","Pendiente cierre ENEL",IF(ISNUMBER(SEARCH("suministro",PL[[#This Row],[SUPPLIER NOTES]])),"Suministros",IF(PL[[#This Row],[SC]]="SOCIAL","Social",IF(ISNUMBER(SEARCH("monolito",PL[[#This Row],[DESCRIPTION]])),"Monolitos","Varios")))))</f>
        <v>Suministros</v>
      </c>
      <c r="Q33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6" spans="1:17" s="157" customFormat="1" hidden="1" x14ac:dyDescent="0.2">
      <c r="A336" s="151" t="s">
        <v>1073</v>
      </c>
      <c r="B336" s="154" t="s">
        <v>41</v>
      </c>
      <c r="C336" s="152">
        <v>5</v>
      </c>
      <c r="D336" s="154" t="s">
        <v>3386</v>
      </c>
      <c r="E336" s="153" t="s">
        <v>3392</v>
      </c>
      <c r="F336" s="154" t="s">
        <v>1074</v>
      </c>
      <c r="G336" s="154" t="s">
        <v>49</v>
      </c>
      <c r="H336" s="154"/>
      <c r="I336" s="154"/>
      <c r="J336" s="154" t="s">
        <v>74</v>
      </c>
      <c r="K336" s="154" t="s">
        <v>3394</v>
      </c>
      <c r="L336" s="155">
        <v>46300</v>
      </c>
      <c r="M336" s="156"/>
      <c r="N336" s="154" t="str">
        <f>IF(ISNUMBER(PL[[#This Row],[CTO]]),"CTO "&amp;PL[[#This Row],[CTO]],"Otros")</f>
        <v>CTO 5</v>
      </c>
      <c r="O336" s="154" t="str">
        <f>IF(PL[[#This Row],[STATUS IUP]]="CERRADO","CERRADO",IF(ISNUMBER(SEARCH("validacion de enel",PL[[#This Row],[SUPPLIER NOTES]])),"PTE Validar Enel","ABIERTO"))</f>
        <v>CERRADO</v>
      </c>
      <c r="P336" s="154" t="str">
        <f>IF(PL[[#This Row],[ESTADO]]="CERRADO","Cerrados IUP",IF(PL[[#This Row],[ESTADO]]="PTE Validar Enel","Pendiente cierre ENEL",IF(ISNUMBER(SEARCH("suministro",PL[[#This Row],[SUPPLIER NOTES]])),"Suministros",IF(PL[[#This Row],[SC]]="SOCIAL","Social",IF(ISNUMBER(SEARCH("monolito",PL[[#This Row],[DESCRIPTION]])),"Monolitos","Varios")))))</f>
        <v>Cerrados IUP</v>
      </c>
      <c r="Q3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7" spans="1:17" hidden="1" x14ac:dyDescent="0.2">
      <c r="A337" s="75" t="s">
        <v>1075</v>
      </c>
      <c r="B337" s="74" t="s">
        <v>41</v>
      </c>
      <c r="C337" s="52">
        <v>5</v>
      </c>
      <c r="D337" s="74" t="s">
        <v>3386</v>
      </c>
      <c r="E337" s="76" t="s">
        <v>3392</v>
      </c>
      <c r="F337" s="74" t="s">
        <v>1076</v>
      </c>
      <c r="G337" s="74" t="s">
        <v>49</v>
      </c>
      <c r="H337" s="74" t="s">
        <v>3462</v>
      </c>
      <c r="I337" s="74"/>
      <c r="J337" s="74" t="s">
        <v>11</v>
      </c>
      <c r="K337" s="74" t="s">
        <v>3393</v>
      </c>
      <c r="L337" s="74"/>
      <c r="M337" s="77"/>
      <c r="N337" s="74" t="str">
        <f>IF(ISNUMBER(PL[[#This Row],[CTO]]),"CTO "&amp;PL[[#This Row],[CTO]],"Otros")</f>
        <v>CTO 5</v>
      </c>
      <c r="O337" s="74" t="str">
        <f>IF(PL[[#This Row],[STATUS IUP]]="CERRADO","CERRADO",IF(ISNUMBER(SEARCH("validacion de enel",PL[[#This Row],[SUPPLIER NOTES]])),"PTE Validar Enel","ABIERTO"))</f>
        <v>ABIERTO</v>
      </c>
      <c r="P337" s="74" t="str">
        <f>IF(PL[[#This Row],[ESTADO]]="CERRADO","Cerrados IUP",IF(PL[[#This Row],[ESTADO]]="PTE Validar Enel","Pendiente cierre ENEL",IF(ISNUMBER(SEARCH("suministro",PL[[#This Row],[SUPPLIER NOTES]])),"Suministros",IF(PL[[#This Row],[SC]]="SOCIAL","Social",IF(ISNUMBER(SEARCH("monolito",PL[[#This Row],[DESCRIPTION]])),"Monolitos","Varios")))))</f>
        <v>Suministros</v>
      </c>
      <c r="Q33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8" spans="1:17" s="157" customFormat="1" hidden="1" x14ac:dyDescent="0.2">
      <c r="A338" s="151" t="s">
        <v>1077</v>
      </c>
      <c r="B338" s="154" t="s">
        <v>41</v>
      </c>
      <c r="C338" s="152">
        <v>5</v>
      </c>
      <c r="D338" s="154" t="s">
        <v>3386</v>
      </c>
      <c r="E338" s="153" t="s">
        <v>3392</v>
      </c>
      <c r="F338" s="154" t="s">
        <v>1078</v>
      </c>
      <c r="G338" s="154" t="s">
        <v>49</v>
      </c>
      <c r="H338" s="154"/>
      <c r="I338" s="154"/>
      <c r="J338" s="154" t="s">
        <v>74</v>
      </c>
      <c r="K338" s="154" t="s">
        <v>3394</v>
      </c>
      <c r="L338" s="154"/>
      <c r="M338" s="156"/>
      <c r="N338" s="154" t="str">
        <f>IF(ISNUMBER(PL[[#This Row],[CTO]]),"CTO "&amp;PL[[#This Row],[CTO]],"Otros")</f>
        <v>CTO 5</v>
      </c>
      <c r="O338" s="154" t="str">
        <f>IF(PL[[#This Row],[STATUS IUP]]="CERRADO","CERRADO",IF(ISNUMBER(SEARCH("validacion de enel",PL[[#This Row],[SUPPLIER NOTES]])),"PTE Validar Enel","ABIERTO"))</f>
        <v>CERRADO</v>
      </c>
      <c r="P338" s="154" t="str">
        <f>IF(PL[[#This Row],[ESTADO]]="CERRADO","Cerrados IUP",IF(PL[[#This Row],[ESTADO]]="PTE Validar Enel","Pendiente cierre ENEL",IF(ISNUMBER(SEARCH("suministro",PL[[#This Row],[SUPPLIER NOTES]])),"Suministros",IF(PL[[#This Row],[SC]]="SOCIAL","Social",IF(ISNUMBER(SEARCH("monolito",PL[[#This Row],[DESCRIPTION]])),"Monolitos","Varios")))))</f>
        <v>Cerrados IUP</v>
      </c>
      <c r="Q3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39" spans="1:17" hidden="1" x14ac:dyDescent="0.2">
      <c r="A339" s="75" t="s">
        <v>1079</v>
      </c>
      <c r="B339" s="74" t="s">
        <v>41</v>
      </c>
      <c r="C339" s="52">
        <v>5</v>
      </c>
      <c r="D339" s="74" t="s">
        <v>3386</v>
      </c>
      <c r="E339" s="76" t="s">
        <v>3392</v>
      </c>
      <c r="F339" s="74" t="s">
        <v>1080</v>
      </c>
      <c r="G339" s="74" t="s">
        <v>49</v>
      </c>
      <c r="H339" s="74" t="s">
        <v>3462</v>
      </c>
      <c r="I339" s="74"/>
      <c r="J339" s="74" t="s">
        <v>11</v>
      </c>
      <c r="K339" s="74" t="s">
        <v>3393</v>
      </c>
      <c r="L339" s="74"/>
      <c r="M339" s="77"/>
      <c r="N339" s="74" t="str">
        <f>IF(ISNUMBER(PL[[#This Row],[CTO]]),"CTO "&amp;PL[[#This Row],[CTO]],"Otros")</f>
        <v>CTO 5</v>
      </c>
      <c r="O339" s="74" t="str">
        <f>IF(PL[[#This Row],[STATUS IUP]]="CERRADO","CERRADO",IF(ISNUMBER(SEARCH("validacion de enel",PL[[#This Row],[SUPPLIER NOTES]])),"PTE Validar Enel","ABIERTO"))</f>
        <v>ABIERTO</v>
      </c>
      <c r="P339" s="74" t="str">
        <f>IF(PL[[#This Row],[ESTADO]]="CERRADO","Cerrados IUP",IF(PL[[#This Row],[ESTADO]]="PTE Validar Enel","Pendiente cierre ENEL",IF(ISNUMBER(SEARCH("suministro",PL[[#This Row],[SUPPLIER NOTES]])),"Suministros",IF(PL[[#This Row],[SC]]="SOCIAL","Social",IF(ISNUMBER(SEARCH("monolito",PL[[#This Row],[DESCRIPTION]])),"Monolitos","Varios")))))</f>
        <v>Suministros</v>
      </c>
      <c r="Q33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40" spans="1:17" s="157" customFormat="1" hidden="1" x14ac:dyDescent="0.2">
      <c r="A340" s="151" t="s">
        <v>1081</v>
      </c>
      <c r="B340" s="154" t="s">
        <v>41</v>
      </c>
      <c r="C340" s="152">
        <v>5</v>
      </c>
      <c r="D340" s="154" t="s">
        <v>3386</v>
      </c>
      <c r="E340" s="153" t="s">
        <v>3392</v>
      </c>
      <c r="F340" s="154" t="s">
        <v>1082</v>
      </c>
      <c r="G340" s="154" t="s">
        <v>49</v>
      </c>
      <c r="H340" s="154"/>
      <c r="I340" s="154"/>
      <c r="J340" s="154" t="s">
        <v>74</v>
      </c>
      <c r="K340" s="154" t="s">
        <v>3394</v>
      </c>
      <c r="L340" s="154"/>
      <c r="M340" s="156"/>
      <c r="N340" s="154" t="str">
        <f>IF(ISNUMBER(PL[[#This Row],[CTO]]),"CTO "&amp;PL[[#This Row],[CTO]],"Otros")</f>
        <v>CTO 5</v>
      </c>
      <c r="O340" s="154" t="str">
        <f>IF(PL[[#This Row],[STATUS IUP]]="CERRADO","CERRADO",IF(ISNUMBER(SEARCH("validacion de enel",PL[[#This Row],[SUPPLIER NOTES]])),"PTE Validar Enel","ABIERTO"))</f>
        <v>CERRADO</v>
      </c>
      <c r="P340" s="154" t="str">
        <f>IF(PL[[#This Row],[ESTADO]]="CERRADO","Cerrados IUP",IF(PL[[#This Row],[ESTADO]]="PTE Validar Enel","Pendiente cierre ENEL",IF(ISNUMBER(SEARCH("suministro",PL[[#This Row],[SUPPLIER NOTES]])),"Suministros",IF(PL[[#This Row],[SC]]="SOCIAL","Social",IF(ISNUMBER(SEARCH("monolito",PL[[#This Row],[DESCRIPTION]])),"Monolitos","Varios")))))</f>
        <v>Cerrados IUP</v>
      </c>
      <c r="Q3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341" spans="1:17" x14ac:dyDescent="0.2">
      <c r="A341" s="75" t="s">
        <v>1194</v>
      </c>
      <c r="B341" s="74" t="s">
        <v>8</v>
      </c>
      <c r="C341" s="52">
        <v>5</v>
      </c>
      <c r="D341" s="76" t="s">
        <v>3386</v>
      </c>
      <c r="E341" s="74"/>
      <c r="F341" s="74" t="s">
        <v>1195</v>
      </c>
      <c r="G341" s="74" t="s">
        <v>43</v>
      </c>
      <c r="H341" s="74" t="s">
        <v>3460</v>
      </c>
      <c r="I341" s="74"/>
      <c r="J341" s="74" t="s">
        <v>11</v>
      </c>
      <c r="K341" s="74" t="s">
        <v>3393</v>
      </c>
      <c r="L341" s="74"/>
      <c r="M341" s="77"/>
      <c r="N341" s="74" t="str">
        <f>IF(ISNUMBER(PL[[#This Row],[CTO]]),"CTO "&amp;PL[[#This Row],[CTO]],"Otros")</f>
        <v>CTO 5</v>
      </c>
      <c r="O341" s="74" t="str">
        <f>IF(PL[[#This Row],[STATUS IUP]]="CERRADO","CERRADO",IF(ISNUMBER(SEARCH("validacion de enel",PL[[#This Row],[SUPPLIER NOTES]])),"PTE Validar Enel","ABIERTO"))</f>
        <v>ABIERTO</v>
      </c>
      <c r="P341" s="74" t="str">
        <f>IF(PL[[#This Row],[ESTADO]]="CERRADO","Cerrados IUP",IF(PL[[#This Row],[ESTADO]]="PTE Validar Enel","Pendiente cierre ENEL",IF(ISNUMBER(SEARCH("suministro",PL[[#This Row],[SUPPLIER NOTES]])),"Suministros",IF(PL[[#This Row],[SC]]="SOCIAL","Social",IF(ISNUMBER(SEARCH("monolito",PL[[#This Row],[DESCRIPTION]])),"Monolitos","Varios")))))</f>
        <v>Suministros</v>
      </c>
      <c r="Q34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342" spans="1:17" s="157" customFormat="1" hidden="1" x14ac:dyDescent="0.2">
      <c r="A342" s="151" t="s">
        <v>1398</v>
      </c>
      <c r="B342" s="154" t="s">
        <v>929</v>
      </c>
      <c r="C342" s="154">
        <v>8</v>
      </c>
      <c r="D342" s="153" t="s">
        <v>3376</v>
      </c>
      <c r="E342" s="154" t="s">
        <v>1310</v>
      </c>
      <c r="F342" s="154" t="s">
        <v>1399</v>
      </c>
      <c r="G342" s="154" t="s">
        <v>1290</v>
      </c>
      <c r="H342" s="154"/>
      <c r="I342" s="154"/>
      <c r="J342" s="154" t="s">
        <v>74</v>
      </c>
      <c r="K342" s="154" t="s">
        <v>3394</v>
      </c>
      <c r="L342" s="154"/>
      <c r="M342" s="156"/>
      <c r="N342" s="154" t="str">
        <f>IF(ISNUMBER(PL[[#This Row],[CTO]]),"CTO "&amp;PL[[#This Row],[CTO]],"Otros")</f>
        <v>CTO 8</v>
      </c>
      <c r="O342" s="154" t="str">
        <f>IF(PL[[#This Row],[STATUS IUP]]="CERRADO","CERRADO",IF(ISNUMBER(SEARCH("validacion de enel",PL[[#This Row],[SUPPLIER NOTES]])),"PTE Validar Enel","ABIERTO"))</f>
        <v>CERRADO</v>
      </c>
      <c r="P342" s="154" t="str">
        <f>IF(PL[[#This Row],[ESTADO]]="CERRADO","Cerrados IUP",IF(PL[[#This Row],[ESTADO]]="PTE Validar Enel","Pendiente cierre ENEL",IF(ISNUMBER(SEARCH("suministro",PL[[#This Row],[SUPPLIER NOTES]])),"Suministros",IF(PL[[#This Row],[SC]]="SOCIAL","Social",IF(ISNUMBER(SEARCH("monolito",PL[[#This Row],[DESCRIPTION]])),"Monolitos","Varios")))))</f>
        <v>Cerrados IUP</v>
      </c>
      <c r="Q3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3" spans="1:17" s="157" customFormat="1" hidden="1" x14ac:dyDescent="0.2">
      <c r="A343" s="151" t="s">
        <v>1446</v>
      </c>
      <c r="B343" s="154" t="s">
        <v>929</v>
      </c>
      <c r="C343" s="154">
        <v>8</v>
      </c>
      <c r="D343" s="153" t="s">
        <v>3376</v>
      </c>
      <c r="E343" s="154" t="s">
        <v>1402</v>
      </c>
      <c r="F343" s="154" t="s">
        <v>1399</v>
      </c>
      <c r="G343" s="154" t="s">
        <v>1290</v>
      </c>
      <c r="H343" s="154"/>
      <c r="I343" s="154"/>
      <c r="J343" s="154" t="s">
        <v>74</v>
      </c>
      <c r="K343" s="154" t="s">
        <v>3394</v>
      </c>
      <c r="L343" s="154"/>
      <c r="M343" s="156"/>
      <c r="N343" s="154" t="str">
        <f>IF(ISNUMBER(PL[[#This Row],[CTO]]),"CTO "&amp;PL[[#This Row],[CTO]],"Otros")</f>
        <v>CTO 8</v>
      </c>
      <c r="O343" s="154" t="str">
        <f>IF(PL[[#This Row],[STATUS IUP]]="CERRADO","CERRADO",IF(ISNUMBER(SEARCH("validacion de enel",PL[[#This Row],[SUPPLIER NOTES]])),"PTE Validar Enel","ABIERTO"))</f>
        <v>CERRADO</v>
      </c>
      <c r="P343" s="154" t="str">
        <f>IF(PL[[#This Row],[ESTADO]]="CERRADO","Cerrados IUP",IF(PL[[#This Row],[ESTADO]]="PTE Validar Enel","Pendiente cierre ENEL",IF(ISNUMBER(SEARCH("suministro",PL[[#This Row],[SUPPLIER NOTES]])),"Suministros",IF(PL[[#This Row],[SC]]="SOCIAL","Social",IF(ISNUMBER(SEARCH("monolito",PL[[#This Row],[DESCRIPTION]])),"Monolitos","Varios")))))</f>
        <v>Cerrados IUP</v>
      </c>
      <c r="Q3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4" spans="1:17" ht="32" hidden="1" x14ac:dyDescent="0.2">
      <c r="A344" s="86" t="s">
        <v>877</v>
      </c>
      <c r="B344" s="115" t="s">
        <v>8</v>
      </c>
      <c r="C344" s="82">
        <v>8</v>
      </c>
      <c r="D344" s="88" t="s">
        <v>3376</v>
      </c>
      <c r="E344" s="87"/>
      <c r="F344" s="115" t="s">
        <v>878</v>
      </c>
      <c r="G344" s="82" t="s">
        <v>1290</v>
      </c>
      <c r="H344" s="87" t="s">
        <v>3454</v>
      </c>
      <c r="I344" s="87"/>
      <c r="J344" s="87" t="s">
        <v>11</v>
      </c>
      <c r="K344" s="87" t="s">
        <v>3393</v>
      </c>
      <c r="L344" s="87"/>
      <c r="M344" s="89"/>
      <c r="N344" s="87" t="str">
        <f>IF(ISNUMBER(PL[[#This Row],[CTO]]),"CTO "&amp;PL[[#This Row],[CTO]],"Otros")</f>
        <v>CTO 8</v>
      </c>
      <c r="O344" s="87" t="str">
        <f>IF(PL[[#This Row],[STATUS IUP]]="CERRADO","CERRADO",IF(ISNUMBER(SEARCH("validacion de enel",PL[[#This Row],[SUPPLIER NOTES]])),"PTE Validar Enel","ABIERTO"))</f>
        <v>PTE Validar Enel</v>
      </c>
      <c r="P344"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44"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5" spans="1:17" s="157" customFormat="1" ht="16" hidden="1" x14ac:dyDescent="0.2">
      <c r="A345" s="151" t="s">
        <v>881</v>
      </c>
      <c r="B345" s="152" t="s">
        <v>8</v>
      </c>
      <c r="C345" s="154">
        <v>8</v>
      </c>
      <c r="D345" s="153" t="s">
        <v>3376</v>
      </c>
      <c r="E345" s="154"/>
      <c r="F345" s="152" t="s">
        <v>882</v>
      </c>
      <c r="G345" s="154" t="s">
        <v>1289</v>
      </c>
      <c r="H345" s="154" t="s">
        <v>3454</v>
      </c>
      <c r="I345" s="154"/>
      <c r="J345" s="154" t="s">
        <v>74</v>
      </c>
      <c r="K345" s="154" t="s">
        <v>3394</v>
      </c>
      <c r="L345" s="155">
        <v>46304</v>
      </c>
      <c r="M345" s="156"/>
      <c r="N345" s="154" t="str">
        <f>IF(ISNUMBER(PL[[#This Row],[CTO]]),"CTO "&amp;PL[[#This Row],[CTO]],"Otros")</f>
        <v>CTO 8</v>
      </c>
      <c r="O345" s="154" t="str">
        <f>IF(PL[[#This Row],[STATUS IUP]]="CERRADO","CERRADO",IF(ISNUMBER(SEARCH("validacion de enel",PL[[#This Row],[SUPPLIER NOTES]])),"PTE Validar Enel","ABIERTO"))</f>
        <v>CERRADO</v>
      </c>
      <c r="P345" s="154" t="str">
        <f>IF(PL[[#This Row],[ESTADO]]="CERRADO","Cerrados IUP",IF(PL[[#This Row],[ESTADO]]="PTE Validar Enel","Pendiente cierre ENEL",IF(ISNUMBER(SEARCH("suministro",PL[[#This Row],[SUPPLIER NOTES]])),"Suministros",IF(PL[[#This Row],[SC]]="SOCIAL","Social",IF(ISNUMBER(SEARCH("monolito",PL[[#This Row],[DESCRIPTION]])),"Monolitos","Varios")))))</f>
        <v>Cerrados IUP</v>
      </c>
      <c r="Q3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6" spans="1:17" s="157" customFormat="1" hidden="1" x14ac:dyDescent="0.2">
      <c r="A346" s="151" t="s">
        <v>1475</v>
      </c>
      <c r="B346" s="154" t="s">
        <v>929</v>
      </c>
      <c r="C346" s="154">
        <v>8</v>
      </c>
      <c r="D346" s="153" t="s">
        <v>3376</v>
      </c>
      <c r="E346" s="154" t="s">
        <v>1476</v>
      </c>
      <c r="F346" s="154" t="s">
        <v>1399</v>
      </c>
      <c r="G346" s="154" t="s">
        <v>1289</v>
      </c>
      <c r="H346" s="154"/>
      <c r="I346" s="154"/>
      <c r="J346" s="154" t="s">
        <v>74</v>
      </c>
      <c r="K346" s="154" t="s">
        <v>3394</v>
      </c>
      <c r="L346" s="154"/>
      <c r="M346" s="156"/>
      <c r="N346" s="154" t="str">
        <f>IF(ISNUMBER(PL[[#This Row],[CTO]]),"CTO "&amp;PL[[#This Row],[CTO]],"Otros")</f>
        <v>CTO 8</v>
      </c>
      <c r="O346" s="154" t="str">
        <f>IF(PL[[#This Row],[STATUS IUP]]="CERRADO","CERRADO",IF(ISNUMBER(SEARCH("validacion de enel",PL[[#This Row],[SUPPLIER NOTES]])),"PTE Validar Enel","ABIERTO"))</f>
        <v>CERRADO</v>
      </c>
      <c r="P346" s="154" t="str">
        <f>IF(PL[[#This Row],[ESTADO]]="CERRADO","Cerrados IUP",IF(PL[[#This Row],[ESTADO]]="PTE Validar Enel","Pendiente cierre ENEL",IF(ISNUMBER(SEARCH("suministro",PL[[#This Row],[SUPPLIER NOTES]])),"Suministros",IF(PL[[#This Row],[SC]]="SOCIAL","Social",IF(ISNUMBER(SEARCH("monolito",PL[[#This Row],[DESCRIPTION]])),"Monolitos","Varios")))))</f>
        <v>Cerrados IUP</v>
      </c>
      <c r="Q3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7" spans="1:17" s="157" customFormat="1" ht="80" hidden="1" x14ac:dyDescent="0.2">
      <c r="A347" s="151" t="s">
        <v>883</v>
      </c>
      <c r="B347" s="152" t="s">
        <v>8</v>
      </c>
      <c r="C347" s="154">
        <v>8</v>
      </c>
      <c r="D347" s="153" t="s">
        <v>3376</v>
      </c>
      <c r="E347" s="154"/>
      <c r="F347" s="152" t="s">
        <v>884</v>
      </c>
      <c r="G347" s="154" t="s">
        <v>1290</v>
      </c>
      <c r="H347" s="154" t="s">
        <v>3454</v>
      </c>
      <c r="I347" s="154"/>
      <c r="J347" s="154" t="s">
        <v>74</v>
      </c>
      <c r="K347" s="154" t="s">
        <v>3394</v>
      </c>
      <c r="L347" s="155">
        <v>46300</v>
      </c>
      <c r="M347" s="156"/>
      <c r="N347" s="154" t="str">
        <f>IF(ISNUMBER(PL[[#This Row],[CTO]]),"CTO "&amp;PL[[#This Row],[CTO]],"Otros")</f>
        <v>CTO 8</v>
      </c>
      <c r="O347" s="154" t="str">
        <f>IF(PL[[#This Row],[STATUS IUP]]="CERRADO","CERRADO",IF(ISNUMBER(SEARCH("validacion de enel",PL[[#This Row],[SUPPLIER NOTES]])),"PTE Validar Enel","ABIERTO"))</f>
        <v>CERRADO</v>
      </c>
      <c r="P347" s="154" t="str">
        <f>IF(PL[[#This Row],[ESTADO]]="CERRADO","Cerrados IUP",IF(PL[[#This Row],[ESTADO]]="PTE Validar Enel","Pendiente cierre ENEL",IF(ISNUMBER(SEARCH("suministro",PL[[#This Row],[SUPPLIER NOTES]])),"Suministros",IF(PL[[#This Row],[SC]]="SOCIAL","Social",IF(ISNUMBER(SEARCH("monolito",PL[[#This Row],[DESCRIPTION]])),"Monolitos","Varios")))))</f>
        <v>Cerrados IUP</v>
      </c>
      <c r="Q3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8" spans="1:17" ht="32" hidden="1" x14ac:dyDescent="0.2">
      <c r="A348" s="86" t="s">
        <v>498</v>
      </c>
      <c r="B348" s="115" t="s">
        <v>8</v>
      </c>
      <c r="C348" s="82">
        <v>8</v>
      </c>
      <c r="D348" s="88" t="s">
        <v>3376</v>
      </c>
      <c r="E348" s="87"/>
      <c r="F348" s="115" t="s">
        <v>499</v>
      </c>
      <c r="G348" s="82" t="s">
        <v>1289</v>
      </c>
      <c r="H348" s="87" t="s">
        <v>3454</v>
      </c>
      <c r="I348" s="87"/>
      <c r="J348" s="87" t="s">
        <v>11</v>
      </c>
      <c r="K348" s="87" t="s">
        <v>3393</v>
      </c>
      <c r="L348" s="87"/>
      <c r="M348" s="89"/>
      <c r="N348" s="87" t="str">
        <f>IF(ISNUMBER(PL[[#This Row],[CTO]]),"CTO "&amp;PL[[#This Row],[CTO]],"Otros")</f>
        <v>CTO 8</v>
      </c>
      <c r="O348" s="87" t="str">
        <f>IF(PL[[#This Row],[STATUS IUP]]="CERRADO","CERRADO",IF(ISNUMBER(SEARCH("validacion de enel",PL[[#This Row],[SUPPLIER NOTES]])),"PTE Validar Enel","ABIERTO"))</f>
        <v>PTE Validar Enel</v>
      </c>
      <c r="P34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4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49" spans="1:17" s="157" customFormat="1" hidden="1" x14ac:dyDescent="0.2">
      <c r="A349" s="151" t="s">
        <v>1404</v>
      </c>
      <c r="B349" s="154" t="s">
        <v>929</v>
      </c>
      <c r="C349" s="154">
        <v>8</v>
      </c>
      <c r="D349" s="153" t="s">
        <v>3376</v>
      </c>
      <c r="E349" s="154" t="s">
        <v>1405</v>
      </c>
      <c r="F349" s="154" t="s">
        <v>1399</v>
      </c>
      <c r="G349" s="154" t="s">
        <v>1289</v>
      </c>
      <c r="H349" s="154"/>
      <c r="I349" s="154"/>
      <c r="J349" s="154" t="s">
        <v>74</v>
      </c>
      <c r="K349" s="154" t="s">
        <v>3394</v>
      </c>
      <c r="L349" s="154"/>
      <c r="M349" s="156"/>
      <c r="N349" s="154" t="str">
        <f>IF(ISNUMBER(PL[[#This Row],[CTO]]),"CTO "&amp;PL[[#This Row],[CTO]],"Otros")</f>
        <v>CTO 8</v>
      </c>
      <c r="O349" s="154" t="str">
        <f>IF(PL[[#This Row],[STATUS IUP]]="CERRADO","CERRADO",IF(ISNUMBER(SEARCH("validacion de enel",PL[[#This Row],[SUPPLIER NOTES]])),"PTE Validar Enel","ABIERTO"))</f>
        <v>CERRADO</v>
      </c>
      <c r="P349" s="154" t="str">
        <f>IF(PL[[#This Row],[ESTADO]]="CERRADO","Cerrados IUP",IF(PL[[#This Row],[ESTADO]]="PTE Validar Enel","Pendiente cierre ENEL",IF(ISNUMBER(SEARCH("suministro",PL[[#This Row],[SUPPLIER NOTES]])),"Suministros",IF(PL[[#This Row],[SC]]="SOCIAL","Social",IF(ISNUMBER(SEARCH("monolito",PL[[#This Row],[DESCRIPTION]])),"Monolitos","Varios")))))</f>
        <v>Cerrados IUP</v>
      </c>
      <c r="Q3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0" spans="1:17" s="157" customFormat="1" ht="32" hidden="1" x14ac:dyDescent="0.2">
      <c r="A350" s="151" t="s">
        <v>588</v>
      </c>
      <c r="B350" s="152" t="s">
        <v>8</v>
      </c>
      <c r="C350" s="154">
        <v>8</v>
      </c>
      <c r="D350" s="153" t="s">
        <v>3376</v>
      </c>
      <c r="E350" s="154"/>
      <c r="F350" s="152" t="s">
        <v>589</v>
      </c>
      <c r="G350" s="154" t="s">
        <v>1289</v>
      </c>
      <c r="H350" s="154" t="s">
        <v>3454</v>
      </c>
      <c r="I350" s="154"/>
      <c r="J350" s="154" t="s">
        <v>74</v>
      </c>
      <c r="K350" s="154" t="s">
        <v>3394</v>
      </c>
      <c r="L350" s="155">
        <v>46294</v>
      </c>
      <c r="M350" s="156"/>
      <c r="N350" s="154" t="str">
        <f>IF(ISNUMBER(PL[[#This Row],[CTO]]),"CTO "&amp;PL[[#This Row],[CTO]],"Otros")</f>
        <v>CTO 8</v>
      </c>
      <c r="O350" s="154" t="str">
        <f>IF(PL[[#This Row],[STATUS IUP]]="CERRADO","CERRADO",IF(ISNUMBER(SEARCH("validacion de enel",PL[[#This Row],[SUPPLIER NOTES]])),"PTE Validar Enel","ABIERTO"))</f>
        <v>CERRADO</v>
      </c>
      <c r="P350" s="154" t="str">
        <f>IF(PL[[#This Row],[ESTADO]]="CERRADO","Cerrados IUP",IF(PL[[#This Row],[ESTADO]]="PTE Validar Enel","Pendiente cierre ENEL",IF(ISNUMBER(SEARCH("suministro",PL[[#This Row],[SUPPLIER NOTES]])),"Suministros",IF(PL[[#This Row],[SC]]="SOCIAL","Social",IF(ISNUMBER(SEARCH("monolito",PL[[#This Row],[DESCRIPTION]])),"Monolitos","Varios")))))</f>
        <v>Cerrados IUP</v>
      </c>
      <c r="Q3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1" spans="1:17" ht="16" hidden="1" x14ac:dyDescent="0.2">
      <c r="A351" s="86" t="s">
        <v>598</v>
      </c>
      <c r="B351" s="115" t="s">
        <v>8</v>
      </c>
      <c r="C351" s="82">
        <v>8</v>
      </c>
      <c r="D351" s="88" t="s">
        <v>3376</v>
      </c>
      <c r="E351" s="87"/>
      <c r="F351" s="115" t="s">
        <v>599</v>
      </c>
      <c r="G351" s="82" t="s">
        <v>1289</v>
      </c>
      <c r="H351" s="87" t="s">
        <v>3454</v>
      </c>
      <c r="I351" s="87"/>
      <c r="J351" s="87" t="s">
        <v>11</v>
      </c>
      <c r="K351" s="87" t="s">
        <v>3393</v>
      </c>
      <c r="L351" s="87"/>
      <c r="M351" s="89"/>
      <c r="N351" s="87" t="str">
        <f>IF(ISNUMBER(PL[[#This Row],[CTO]]),"CTO "&amp;PL[[#This Row],[CTO]],"Otros")</f>
        <v>CTO 8</v>
      </c>
      <c r="O351" s="87" t="str">
        <f>IF(PL[[#This Row],[STATUS IUP]]="CERRADO","CERRADO",IF(ISNUMBER(SEARCH("validacion de enel",PL[[#This Row],[SUPPLIER NOTES]])),"PTE Validar Enel","ABIERTO"))</f>
        <v>PTE Validar Enel</v>
      </c>
      <c r="P35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35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2" spans="1:17" s="157" customFormat="1" hidden="1" x14ac:dyDescent="0.2">
      <c r="A352" s="151" t="s">
        <v>1360</v>
      </c>
      <c r="B352" s="154" t="s">
        <v>1295</v>
      </c>
      <c r="C352" s="154">
        <v>8</v>
      </c>
      <c r="D352" s="153" t="s">
        <v>3376</v>
      </c>
      <c r="E352" s="154" t="s">
        <v>1361</v>
      </c>
      <c r="F352" s="154" t="s">
        <v>1362</v>
      </c>
      <c r="G352" s="154" t="s">
        <v>1289</v>
      </c>
      <c r="H352" s="154"/>
      <c r="I352" s="154"/>
      <c r="J352" s="154" t="s">
        <v>74</v>
      </c>
      <c r="K352" s="154" t="s">
        <v>3394</v>
      </c>
      <c r="L352" s="154"/>
      <c r="M352" s="156"/>
      <c r="N352" s="154" t="str">
        <f>IF(ISNUMBER(PL[[#This Row],[CTO]]),"CTO "&amp;PL[[#This Row],[CTO]],"Otros")</f>
        <v>CTO 8</v>
      </c>
      <c r="O352" s="154" t="str">
        <f>IF(PL[[#This Row],[STATUS IUP]]="CERRADO","CERRADO",IF(ISNUMBER(SEARCH("validacion de enel",PL[[#This Row],[SUPPLIER NOTES]])),"PTE Validar Enel","ABIERTO"))</f>
        <v>CERRADO</v>
      </c>
      <c r="P352" s="154" t="str">
        <f>IF(PL[[#This Row],[ESTADO]]="CERRADO","Cerrados IUP",IF(PL[[#This Row],[ESTADO]]="PTE Validar Enel","Pendiente cierre ENEL",IF(ISNUMBER(SEARCH("suministro",PL[[#This Row],[SUPPLIER NOTES]])),"Suministros",IF(PL[[#This Row],[SC]]="SOCIAL","Social",IF(ISNUMBER(SEARCH("monolito",PL[[#This Row],[DESCRIPTION]])),"Monolitos","Varios")))))</f>
        <v>Cerrados IUP</v>
      </c>
      <c r="Q3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3" spans="1:17" s="157" customFormat="1" hidden="1" x14ac:dyDescent="0.2">
      <c r="A353" s="151" t="s">
        <v>2971</v>
      </c>
      <c r="B353" s="154" t="s">
        <v>290</v>
      </c>
      <c r="C353" s="154">
        <v>8</v>
      </c>
      <c r="D353" s="153" t="s">
        <v>3376</v>
      </c>
      <c r="E353" s="154" t="s">
        <v>2972</v>
      </c>
      <c r="F353" s="154" t="s">
        <v>2973</v>
      </c>
      <c r="G353" s="154" t="s">
        <v>291</v>
      </c>
      <c r="H353" s="154"/>
      <c r="I353" s="154"/>
      <c r="J353" s="154" t="s">
        <v>74</v>
      </c>
      <c r="K353" s="154" t="s">
        <v>3394</v>
      </c>
      <c r="L353" s="154"/>
      <c r="M353" s="156"/>
      <c r="N353" s="154" t="str">
        <f>IF(ISNUMBER(PL[[#This Row],[CTO]]),"CTO "&amp;PL[[#This Row],[CTO]],"Otros")</f>
        <v>CTO 8</v>
      </c>
      <c r="O353" s="154" t="str">
        <f>IF(PL[[#This Row],[STATUS IUP]]="CERRADO","CERRADO",IF(ISNUMBER(SEARCH("validacion de enel",PL[[#This Row],[SUPPLIER NOTES]])),"PTE Validar Enel","ABIERTO"))</f>
        <v>CERRADO</v>
      </c>
      <c r="P353" s="154" t="str">
        <f>IF(PL[[#This Row],[ESTADO]]="CERRADO","Cerrados IUP",IF(PL[[#This Row],[ESTADO]]="PTE Validar Enel","Pendiente cierre ENEL",IF(ISNUMBER(SEARCH("suministro",PL[[#This Row],[SUPPLIER NOTES]])),"Suministros",IF(PL[[#This Row],[SC]]="SOCIAL","Social",IF(ISNUMBER(SEARCH("monolito",PL[[#This Row],[DESCRIPTION]])),"Monolitos","Varios")))))</f>
        <v>Cerrados IUP</v>
      </c>
      <c r="Q3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4" spans="1:17" s="157" customFormat="1" hidden="1" x14ac:dyDescent="0.2">
      <c r="A354" s="151" t="s">
        <v>46</v>
      </c>
      <c r="B354" s="154" t="s">
        <v>47</v>
      </c>
      <c r="C354" s="154">
        <v>8</v>
      </c>
      <c r="D354" s="153" t="s">
        <v>3376</v>
      </c>
      <c r="E354" s="154"/>
      <c r="F354" s="154" t="s">
        <v>48</v>
      </c>
      <c r="G354" s="154" t="s">
        <v>49</v>
      </c>
      <c r="H354" s="154"/>
      <c r="I354" s="154"/>
      <c r="J354" s="154" t="s">
        <v>74</v>
      </c>
      <c r="K354" s="154" t="s">
        <v>3394</v>
      </c>
      <c r="L354" s="154"/>
      <c r="M354" s="156"/>
      <c r="N354" s="154" t="str">
        <f>IF(ISNUMBER(PL[[#This Row],[CTO]]),"CTO "&amp;PL[[#This Row],[CTO]],"Otros")</f>
        <v>CTO 8</v>
      </c>
      <c r="O354" s="154" t="str">
        <f>IF(PL[[#This Row],[STATUS IUP]]="CERRADO","CERRADO",IF(ISNUMBER(SEARCH("validacion de enel",PL[[#This Row],[SUPPLIER NOTES]])),"PTE Validar Enel","ABIERTO"))</f>
        <v>CERRADO</v>
      </c>
      <c r="P354" s="154" t="str">
        <f>IF(PL[[#This Row],[ESTADO]]="CERRADO","Cerrados IUP",IF(PL[[#This Row],[ESTADO]]="PTE Validar Enel","Pendiente cierre ENEL",IF(ISNUMBER(SEARCH("suministro",PL[[#This Row],[SUPPLIER NOTES]])),"Suministros",IF(PL[[#This Row],[SC]]="SOCIAL","Social",IF(ISNUMBER(SEARCH("monolito",PL[[#This Row],[DESCRIPTION]])),"Monolitos","Varios")))))</f>
        <v>Cerrados IUP</v>
      </c>
      <c r="Q3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5" spans="1:17" s="157" customFormat="1" hidden="1" x14ac:dyDescent="0.2">
      <c r="A355" s="151" t="s">
        <v>839</v>
      </c>
      <c r="B355" s="154" t="s">
        <v>8</v>
      </c>
      <c r="C355" s="154">
        <v>8</v>
      </c>
      <c r="D355" s="153" t="s">
        <v>3376</v>
      </c>
      <c r="E355" s="154"/>
      <c r="F355" s="154" t="s">
        <v>840</v>
      </c>
      <c r="G355" s="154" t="s">
        <v>1289</v>
      </c>
      <c r="H355" s="154"/>
      <c r="I355" s="154"/>
      <c r="J355" s="154" t="s">
        <v>74</v>
      </c>
      <c r="K355" s="154" t="s">
        <v>3394</v>
      </c>
      <c r="L355" s="154"/>
      <c r="M355" s="156"/>
      <c r="N355" s="154" t="str">
        <f>IF(ISNUMBER(PL[[#This Row],[CTO]]),"CTO "&amp;PL[[#This Row],[CTO]],"Otros")</f>
        <v>CTO 8</v>
      </c>
      <c r="O355" s="154" t="str">
        <f>IF(PL[[#This Row],[STATUS IUP]]="CERRADO","CERRADO",IF(ISNUMBER(SEARCH("validacion de enel",PL[[#This Row],[SUPPLIER NOTES]])),"PTE Validar Enel","ABIERTO"))</f>
        <v>CERRADO</v>
      </c>
      <c r="P355" s="154" t="str">
        <f>IF(PL[[#This Row],[ESTADO]]="CERRADO","Cerrados IUP",IF(PL[[#This Row],[ESTADO]]="PTE Validar Enel","Pendiente cierre ENEL",IF(ISNUMBER(SEARCH("suministro",PL[[#This Row],[SUPPLIER NOTES]])),"Suministros",IF(PL[[#This Row],[SC]]="SOCIAL","Social",IF(ISNUMBER(SEARCH("monolito",PL[[#This Row],[DESCRIPTION]])),"Monolitos","Varios")))))</f>
        <v>Cerrados IUP</v>
      </c>
      <c r="Q3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6" spans="1:17" s="157" customFormat="1" hidden="1" x14ac:dyDescent="0.2">
      <c r="A356" s="151" t="s">
        <v>841</v>
      </c>
      <c r="B356" s="154" t="s">
        <v>8</v>
      </c>
      <c r="C356" s="154">
        <v>8</v>
      </c>
      <c r="D356" s="153" t="s">
        <v>3376</v>
      </c>
      <c r="E356" s="154"/>
      <c r="F356" s="154" t="s">
        <v>842</v>
      </c>
      <c r="G356" s="154" t="s">
        <v>1290</v>
      </c>
      <c r="H356" s="154"/>
      <c r="I356" s="154"/>
      <c r="J356" s="154" t="s">
        <v>74</v>
      </c>
      <c r="K356" s="154" t="s">
        <v>3394</v>
      </c>
      <c r="L356" s="154"/>
      <c r="M356" s="156"/>
      <c r="N356" s="154" t="str">
        <f>IF(ISNUMBER(PL[[#This Row],[CTO]]),"CTO "&amp;PL[[#This Row],[CTO]],"Otros")</f>
        <v>CTO 8</v>
      </c>
      <c r="O356" s="154" t="str">
        <f>IF(PL[[#This Row],[STATUS IUP]]="CERRADO","CERRADO",IF(ISNUMBER(SEARCH("validacion de enel",PL[[#This Row],[SUPPLIER NOTES]])),"PTE Validar Enel","ABIERTO"))</f>
        <v>CERRADO</v>
      </c>
      <c r="P356" s="154" t="str">
        <f>IF(PL[[#This Row],[ESTADO]]="CERRADO","Cerrados IUP",IF(PL[[#This Row],[ESTADO]]="PTE Validar Enel","Pendiente cierre ENEL",IF(ISNUMBER(SEARCH("suministro",PL[[#This Row],[SUPPLIER NOTES]])),"Suministros",IF(PL[[#This Row],[SC]]="SOCIAL","Social",IF(ISNUMBER(SEARCH("monolito",PL[[#This Row],[DESCRIPTION]])),"Monolitos","Varios")))))</f>
        <v>Cerrados IUP</v>
      </c>
      <c r="Q3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7" spans="1:17" s="157" customFormat="1" hidden="1" x14ac:dyDescent="0.2">
      <c r="A357" s="151" t="s">
        <v>843</v>
      </c>
      <c r="B357" s="154" t="s">
        <v>8</v>
      </c>
      <c r="C357" s="154">
        <v>8</v>
      </c>
      <c r="D357" s="153" t="s">
        <v>3376</v>
      </c>
      <c r="E357" s="154"/>
      <c r="F357" s="154" t="s">
        <v>844</v>
      </c>
      <c r="G357" s="154" t="s">
        <v>1290</v>
      </c>
      <c r="H357" s="154"/>
      <c r="I357" s="154"/>
      <c r="J357" s="154" t="s">
        <v>74</v>
      </c>
      <c r="K357" s="154" t="s">
        <v>3394</v>
      </c>
      <c r="L357" s="154"/>
      <c r="M357" s="156"/>
      <c r="N357" s="154" t="str">
        <f>IF(ISNUMBER(PL[[#This Row],[CTO]]),"CTO "&amp;PL[[#This Row],[CTO]],"Otros")</f>
        <v>CTO 8</v>
      </c>
      <c r="O357" s="154" t="str">
        <f>IF(PL[[#This Row],[STATUS IUP]]="CERRADO","CERRADO",IF(ISNUMBER(SEARCH("validacion de enel",PL[[#This Row],[SUPPLIER NOTES]])),"PTE Validar Enel","ABIERTO"))</f>
        <v>CERRADO</v>
      </c>
      <c r="P357" s="154" t="str">
        <f>IF(PL[[#This Row],[ESTADO]]="CERRADO","Cerrados IUP",IF(PL[[#This Row],[ESTADO]]="PTE Validar Enel","Pendiente cierre ENEL",IF(ISNUMBER(SEARCH("suministro",PL[[#This Row],[SUPPLIER NOTES]])),"Suministros",IF(PL[[#This Row],[SC]]="SOCIAL","Social",IF(ISNUMBER(SEARCH("monolito",PL[[#This Row],[DESCRIPTION]])),"Monolitos","Varios")))))</f>
        <v>Cerrados IUP</v>
      </c>
      <c r="Q3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8" spans="1:17" s="157" customFormat="1" hidden="1" x14ac:dyDescent="0.2">
      <c r="A358" s="151" t="s">
        <v>845</v>
      </c>
      <c r="B358" s="154" t="s">
        <v>8</v>
      </c>
      <c r="C358" s="154">
        <v>8</v>
      </c>
      <c r="D358" s="153" t="s">
        <v>3376</v>
      </c>
      <c r="E358" s="154"/>
      <c r="F358" s="154" t="s">
        <v>846</v>
      </c>
      <c r="G358" s="154" t="s">
        <v>1290</v>
      </c>
      <c r="H358" s="154"/>
      <c r="I358" s="154"/>
      <c r="J358" s="154" t="s">
        <v>74</v>
      </c>
      <c r="K358" s="154" t="s">
        <v>3394</v>
      </c>
      <c r="L358" s="154"/>
      <c r="M358" s="156"/>
      <c r="N358" s="154" t="str">
        <f>IF(ISNUMBER(PL[[#This Row],[CTO]]),"CTO "&amp;PL[[#This Row],[CTO]],"Otros")</f>
        <v>CTO 8</v>
      </c>
      <c r="O358" s="154" t="str">
        <f>IF(PL[[#This Row],[STATUS IUP]]="CERRADO","CERRADO",IF(ISNUMBER(SEARCH("validacion de enel",PL[[#This Row],[SUPPLIER NOTES]])),"PTE Validar Enel","ABIERTO"))</f>
        <v>CERRADO</v>
      </c>
      <c r="P358" s="154" t="str">
        <f>IF(PL[[#This Row],[ESTADO]]="CERRADO","Cerrados IUP",IF(PL[[#This Row],[ESTADO]]="PTE Validar Enel","Pendiente cierre ENEL",IF(ISNUMBER(SEARCH("suministro",PL[[#This Row],[SUPPLIER NOTES]])),"Suministros",IF(PL[[#This Row],[SC]]="SOCIAL","Social",IF(ISNUMBER(SEARCH("monolito",PL[[#This Row],[DESCRIPTION]])),"Monolitos","Varios")))))</f>
        <v>Cerrados IUP</v>
      </c>
      <c r="Q3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59" spans="1:17" s="157" customFormat="1" hidden="1" x14ac:dyDescent="0.2">
      <c r="A359" s="151" t="s">
        <v>847</v>
      </c>
      <c r="B359" s="154" t="s">
        <v>8</v>
      </c>
      <c r="C359" s="154">
        <v>8</v>
      </c>
      <c r="D359" s="153" t="s">
        <v>3376</v>
      </c>
      <c r="E359" s="154"/>
      <c r="F359" s="154" t="s">
        <v>848</v>
      </c>
      <c r="G359" s="154" t="s">
        <v>1290</v>
      </c>
      <c r="H359" s="154"/>
      <c r="I359" s="154"/>
      <c r="J359" s="154" t="s">
        <v>74</v>
      </c>
      <c r="K359" s="154" t="s">
        <v>3394</v>
      </c>
      <c r="L359" s="154"/>
      <c r="M359" s="156"/>
      <c r="N359" s="154" t="str">
        <f>IF(ISNUMBER(PL[[#This Row],[CTO]]),"CTO "&amp;PL[[#This Row],[CTO]],"Otros")</f>
        <v>CTO 8</v>
      </c>
      <c r="O359" s="154" t="str">
        <f>IF(PL[[#This Row],[STATUS IUP]]="CERRADO","CERRADO",IF(ISNUMBER(SEARCH("validacion de enel",PL[[#This Row],[SUPPLIER NOTES]])),"PTE Validar Enel","ABIERTO"))</f>
        <v>CERRADO</v>
      </c>
      <c r="P359" s="154" t="str">
        <f>IF(PL[[#This Row],[ESTADO]]="CERRADO","Cerrados IUP",IF(PL[[#This Row],[ESTADO]]="PTE Validar Enel","Pendiente cierre ENEL",IF(ISNUMBER(SEARCH("suministro",PL[[#This Row],[SUPPLIER NOTES]])),"Suministros",IF(PL[[#This Row],[SC]]="SOCIAL","Social",IF(ISNUMBER(SEARCH("monolito",PL[[#This Row],[DESCRIPTION]])),"Monolitos","Varios")))))</f>
        <v>Cerrados IUP</v>
      </c>
      <c r="Q3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0" spans="1:17" s="157" customFormat="1" hidden="1" x14ac:dyDescent="0.2">
      <c r="A360" s="151" t="s">
        <v>849</v>
      </c>
      <c r="B360" s="154" t="s">
        <v>8</v>
      </c>
      <c r="C360" s="154">
        <v>8</v>
      </c>
      <c r="D360" s="153" t="s">
        <v>3376</v>
      </c>
      <c r="E360" s="154"/>
      <c r="F360" s="154" t="s">
        <v>850</v>
      </c>
      <c r="G360" s="154" t="s">
        <v>108</v>
      </c>
      <c r="H360" s="154"/>
      <c r="I360" s="154"/>
      <c r="J360" s="154" t="s">
        <v>74</v>
      </c>
      <c r="K360" s="154" t="s">
        <v>3394</v>
      </c>
      <c r="L360" s="154"/>
      <c r="M360" s="156"/>
      <c r="N360" s="154" t="str">
        <f>IF(ISNUMBER(PL[[#This Row],[CTO]]),"CTO "&amp;PL[[#This Row],[CTO]],"Otros")</f>
        <v>CTO 8</v>
      </c>
      <c r="O360" s="154" t="str">
        <f>IF(PL[[#This Row],[STATUS IUP]]="CERRADO","CERRADO",IF(ISNUMBER(SEARCH("validacion de enel",PL[[#This Row],[SUPPLIER NOTES]])),"PTE Validar Enel","ABIERTO"))</f>
        <v>CERRADO</v>
      </c>
      <c r="P360" s="154" t="str">
        <f>IF(PL[[#This Row],[ESTADO]]="CERRADO","Cerrados IUP",IF(PL[[#This Row],[ESTADO]]="PTE Validar Enel","Pendiente cierre ENEL",IF(ISNUMBER(SEARCH("suministro",PL[[#This Row],[SUPPLIER NOTES]])),"Suministros",IF(PL[[#This Row],[SC]]="SOCIAL","Social",IF(ISNUMBER(SEARCH("monolito",PL[[#This Row],[DESCRIPTION]])),"Monolitos","Varios")))))</f>
        <v>Cerrados IUP</v>
      </c>
      <c r="Q3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1" spans="1:17" s="157" customFormat="1" hidden="1" x14ac:dyDescent="0.2">
      <c r="A361" s="151" t="s">
        <v>851</v>
      </c>
      <c r="B361" s="154" t="s">
        <v>8</v>
      </c>
      <c r="C361" s="154">
        <v>8</v>
      </c>
      <c r="D361" s="153" t="s">
        <v>3376</v>
      </c>
      <c r="E361" s="154"/>
      <c r="F361" s="154" t="s">
        <v>852</v>
      </c>
      <c r="G361" s="154" t="s">
        <v>1290</v>
      </c>
      <c r="H361" s="154"/>
      <c r="I361" s="154"/>
      <c r="J361" s="154" t="s">
        <v>74</v>
      </c>
      <c r="K361" s="154" t="s">
        <v>3394</v>
      </c>
      <c r="L361" s="154"/>
      <c r="M361" s="156"/>
      <c r="N361" s="154" t="str">
        <f>IF(ISNUMBER(PL[[#This Row],[CTO]]),"CTO "&amp;PL[[#This Row],[CTO]],"Otros")</f>
        <v>CTO 8</v>
      </c>
      <c r="O361" s="154" t="str">
        <f>IF(PL[[#This Row],[STATUS IUP]]="CERRADO","CERRADO",IF(ISNUMBER(SEARCH("validacion de enel",PL[[#This Row],[SUPPLIER NOTES]])),"PTE Validar Enel","ABIERTO"))</f>
        <v>CERRADO</v>
      </c>
      <c r="P361" s="154" t="str">
        <f>IF(PL[[#This Row],[ESTADO]]="CERRADO","Cerrados IUP",IF(PL[[#This Row],[ESTADO]]="PTE Validar Enel","Pendiente cierre ENEL",IF(ISNUMBER(SEARCH("suministro",PL[[#This Row],[SUPPLIER NOTES]])),"Suministros",IF(PL[[#This Row],[SC]]="SOCIAL","Social",IF(ISNUMBER(SEARCH("monolito",PL[[#This Row],[DESCRIPTION]])),"Monolitos","Varios")))))</f>
        <v>Cerrados IUP</v>
      </c>
      <c r="Q3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2" spans="1:17" s="157" customFormat="1" hidden="1" x14ac:dyDescent="0.2">
      <c r="A362" s="151" t="s">
        <v>853</v>
      </c>
      <c r="B362" s="154" t="s">
        <v>8</v>
      </c>
      <c r="C362" s="154">
        <v>8</v>
      </c>
      <c r="D362" s="153" t="s">
        <v>3376</v>
      </c>
      <c r="E362" s="154"/>
      <c r="F362" s="154" t="s">
        <v>854</v>
      </c>
      <c r="G362" s="154" t="s">
        <v>128</v>
      </c>
      <c r="H362" s="154"/>
      <c r="I362" s="154"/>
      <c r="J362" s="154" t="s">
        <v>74</v>
      </c>
      <c r="K362" s="154" t="s">
        <v>3394</v>
      </c>
      <c r="L362" s="154"/>
      <c r="M362" s="156"/>
      <c r="N362" s="154" t="str">
        <f>IF(ISNUMBER(PL[[#This Row],[CTO]]),"CTO "&amp;PL[[#This Row],[CTO]],"Otros")</f>
        <v>CTO 8</v>
      </c>
      <c r="O362" s="154" t="str">
        <f>IF(PL[[#This Row],[STATUS IUP]]="CERRADO","CERRADO",IF(ISNUMBER(SEARCH("validacion de enel",PL[[#This Row],[SUPPLIER NOTES]])),"PTE Validar Enel","ABIERTO"))</f>
        <v>CERRADO</v>
      </c>
      <c r="P362" s="154" t="str">
        <f>IF(PL[[#This Row],[ESTADO]]="CERRADO","Cerrados IUP",IF(PL[[#This Row],[ESTADO]]="PTE Validar Enel","Pendiente cierre ENEL",IF(ISNUMBER(SEARCH("suministro",PL[[#This Row],[SUPPLIER NOTES]])),"Suministros",IF(PL[[#This Row],[SC]]="SOCIAL","Social",IF(ISNUMBER(SEARCH("monolito",PL[[#This Row],[DESCRIPTION]])),"Monolitos","Varios")))))</f>
        <v>Cerrados IUP</v>
      </c>
      <c r="Q3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3" spans="1:17" s="157" customFormat="1" hidden="1" x14ac:dyDescent="0.2">
      <c r="A363" s="151" t="s">
        <v>855</v>
      </c>
      <c r="B363" s="154" t="s">
        <v>8</v>
      </c>
      <c r="C363" s="154">
        <v>8</v>
      </c>
      <c r="D363" s="153" t="s">
        <v>3376</v>
      </c>
      <c r="E363" s="154"/>
      <c r="F363" s="154" t="s">
        <v>856</v>
      </c>
      <c r="G363" s="154" t="s">
        <v>1289</v>
      </c>
      <c r="H363" s="154"/>
      <c r="I363" s="154"/>
      <c r="J363" s="154" t="s">
        <v>74</v>
      </c>
      <c r="K363" s="154" t="s">
        <v>3394</v>
      </c>
      <c r="L363" s="154"/>
      <c r="M363" s="156"/>
      <c r="N363" s="154" t="str">
        <f>IF(ISNUMBER(PL[[#This Row],[CTO]]),"CTO "&amp;PL[[#This Row],[CTO]],"Otros")</f>
        <v>CTO 8</v>
      </c>
      <c r="O363" s="154" t="str">
        <f>IF(PL[[#This Row],[STATUS IUP]]="CERRADO","CERRADO",IF(ISNUMBER(SEARCH("validacion de enel",PL[[#This Row],[SUPPLIER NOTES]])),"PTE Validar Enel","ABIERTO"))</f>
        <v>CERRADO</v>
      </c>
      <c r="P363" s="154" t="str">
        <f>IF(PL[[#This Row],[ESTADO]]="CERRADO","Cerrados IUP",IF(PL[[#This Row],[ESTADO]]="PTE Validar Enel","Pendiente cierre ENEL",IF(ISNUMBER(SEARCH("suministro",PL[[#This Row],[SUPPLIER NOTES]])),"Suministros",IF(PL[[#This Row],[SC]]="SOCIAL","Social",IF(ISNUMBER(SEARCH("monolito",PL[[#This Row],[DESCRIPTION]])),"Monolitos","Varios")))))</f>
        <v>Cerrados IUP</v>
      </c>
      <c r="Q3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4" spans="1:17" s="157" customFormat="1" hidden="1" x14ac:dyDescent="0.2">
      <c r="A364" s="151" t="s">
        <v>857</v>
      </c>
      <c r="B364" s="154" t="s">
        <v>8</v>
      </c>
      <c r="C364" s="154">
        <v>8</v>
      </c>
      <c r="D364" s="153" t="s">
        <v>3376</v>
      </c>
      <c r="E364" s="154"/>
      <c r="F364" s="154" t="s">
        <v>858</v>
      </c>
      <c r="G364" s="154" t="s">
        <v>43</v>
      </c>
      <c r="H364" s="154" t="s">
        <v>73</v>
      </c>
      <c r="I364" s="154" t="s">
        <v>73</v>
      </c>
      <c r="J364" s="154" t="s">
        <v>74</v>
      </c>
      <c r="K364" s="154" t="s">
        <v>3394</v>
      </c>
      <c r="L364" s="161">
        <v>46226</v>
      </c>
      <c r="M364" s="160">
        <v>46226</v>
      </c>
      <c r="N364" s="154" t="str">
        <f>IF(ISNUMBER(PL[[#This Row],[CTO]]),"CTO "&amp;PL[[#This Row],[CTO]],"Otros")</f>
        <v>CTO 8</v>
      </c>
      <c r="O364" s="154" t="str">
        <f>IF(PL[[#This Row],[STATUS IUP]]="CERRADO","CERRADO",IF(ISNUMBER(SEARCH("validacion de enel",PL[[#This Row],[SUPPLIER NOTES]])),"PTE Validar Enel","ABIERTO"))</f>
        <v>CERRADO</v>
      </c>
      <c r="P364" s="154" t="str">
        <f>IF(PL[[#This Row],[ESTADO]]="CERRADO","Cerrados IUP",IF(PL[[#This Row],[ESTADO]]="PTE Validar Enel","Pendiente cierre ENEL",IF(ISNUMBER(SEARCH("suministro",PL[[#This Row],[SUPPLIER NOTES]])),"Suministros",IF(PL[[#This Row],[SC]]="SOCIAL","Social",IF(ISNUMBER(SEARCH("monolito",PL[[#This Row],[DESCRIPTION]])),"Monolitos","Varios")))))</f>
        <v>Cerrados IUP</v>
      </c>
      <c r="Q3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5" spans="1:17" s="157" customFormat="1" hidden="1" x14ac:dyDescent="0.2">
      <c r="A365" s="151" t="s">
        <v>859</v>
      </c>
      <c r="B365" s="154" t="s">
        <v>8</v>
      </c>
      <c r="C365" s="154">
        <v>8</v>
      </c>
      <c r="D365" s="153" t="s">
        <v>3376</v>
      </c>
      <c r="E365" s="154"/>
      <c r="F365" s="154" t="s">
        <v>860</v>
      </c>
      <c r="G365" s="154" t="s">
        <v>1289</v>
      </c>
      <c r="H365" s="154"/>
      <c r="I365" s="154"/>
      <c r="J365" s="154" t="s">
        <v>74</v>
      </c>
      <c r="K365" s="154" t="s">
        <v>3394</v>
      </c>
      <c r="L365" s="154"/>
      <c r="M365" s="156"/>
      <c r="N365" s="154" t="str">
        <f>IF(ISNUMBER(PL[[#This Row],[CTO]]),"CTO "&amp;PL[[#This Row],[CTO]],"Otros")</f>
        <v>CTO 8</v>
      </c>
      <c r="O365" s="154" t="str">
        <f>IF(PL[[#This Row],[STATUS IUP]]="CERRADO","CERRADO",IF(ISNUMBER(SEARCH("validacion de enel",PL[[#This Row],[SUPPLIER NOTES]])),"PTE Validar Enel","ABIERTO"))</f>
        <v>CERRADO</v>
      </c>
      <c r="P365" s="154" t="str">
        <f>IF(PL[[#This Row],[ESTADO]]="CERRADO","Cerrados IUP",IF(PL[[#This Row],[ESTADO]]="PTE Validar Enel","Pendiente cierre ENEL",IF(ISNUMBER(SEARCH("suministro",PL[[#This Row],[SUPPLIER NOTES]])),"Suministros",IF(PL[[#This Row],[SC]]="SOCIAL","Social",IF(ISNUMBER(SEARCH("monolito",PL[[#This Row],[DESCRIPTION]])),"Monolitos","Varios")))))</f>
        <v>Cerrados IUP</v>
      </c>
      <c r="Q3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6" spans="1:17" s="157" customFormat="1" hidden="1" x14ac:dyDescent="0.2">
      <c r="A366" s="151" t="s">
        <v>861</v>
      </c>
      <c r="B366" s="154" t="s">
        <v>8</v>
      </c>
      <c r="C366" s="154">
        <v>8</v>
      </c>
      <c r="D366" s="153" t="s">
        <v>3376</v>
      </c>
      <c r="E366" s="154"/>
      <c r="F366" s="154" t="s">
        <v>862</v>
      </c>
      <c r="G366" s="154" t="s">
        <v>1290</v>
      </c>
      <c r="H366" s="154"/>
      <c r="I366" s="154"/>
      <c r="J366" s="154" t="s">
        <v>74</v>
      </c>
      <c r="K366" s="154" t="s">
        <v>3394</v>
      </c>
      <c r="L366" s="154"/>
      <c r="M366" s="156"/>
      <c r="N366" s="154" t="str">
        <f>IF(ISNUMBER(PL[[#This Row],[CTO]]),"CTO "&amp;PL[[#This Row],[CTO]],"Otros")</f>
        <v>CTO 8</v>
      </c>
      <c r="O366" s="154" t="str">
        <f>IF(PL[[#This Row],[STATUS IUP]]="CERRADO","CERRADO",IF(ISNUMBER(SEARCH("validacion de enel",PL[[#This Row],[SUPPLIER NOTES]])),"PTE Validar Enel","ABIERTO"))</f>
        <v>CERRADO</v>
      </c>
      <c r="P366" s="154" t="str">
        <f>IF(PL[[#This Row],[ESTADO]]="CERRADO","Cerrados IUP",IF(PL[[#This Row],[ESTADO]]="PTE Validar Enel","Pendiente cierre ENEL",IF(ISNUMBER(SEARCH("suministro",PL[[#This Row],[SUPPLIER NOTES]])),"Suministros",IF(PL[[#This Row],[SC]]="SOCIAL","Social",IF(ISNUMBER(SEARCH("monolito",PL[[#This Row],[DESCRIPTION]])),"Monolitos","Varios")))))</f>
        <v>Cerrados IUP</v>
      </c>
      <c r="Q3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7" spans="1:17" s="157" customFormat="1" hidden="1" x14ac:dyDescent="0.2">
      <c r="A367" s="151" t="s">
        <v>885</v>
      </c>
      <c r="B367" s="154" t="s">
        <v>8</v>
      </c>
      <c r="C367" s="154">
        <v>8</v>
      </c>
      <c r="D367" s="153" t="s">
        <v>3376</v>
      </c>
      <c r="E367" s="154"/>
      <c r="F367" s="154" t="s">
        <v>886</v>
      </c>
      <c r="G367" s="154" t="s">
        <v>1289</v>
      </c>
      <c r="H367" s="154"/>
      <c r="I367" s="154"/>
      <c r="J367" s="154" t="s">
        <v>74</v>
      </c>
      <c r="K367" s="154" t="s">
        <v>3394</v>
      </c>
      <c r="L367" s="154"/>
      <c r="M367" s="156"/>
      <c r="N367" s="154" t="str">
        <f>IF(ISNUMBER(PL[[#This Row],[CTO]]),"CTO "&amp;PL[[#This Row],[CTO]],"Otros")</f>
        <v>CTO 8</v>
      </c>
      <c r="O367" s="154" t="str">
        <f>IF(PL[[#This Row],[STATUS IUP]]="CERRADO","CERRADO",IF(ISNUMBER(SEARCH("validacion de enel",PL[[#This Row],[SUPPLIER NOTES]])),"PTE Validar Enel","ABIERTO"))</f>
        <v>CERRADO</v>
      </c>
      <c r="P367" s="154" t="str">
        <f>IF(PL[[#This Row],[ESTADO]]="CERRADO","Cerrados IUP",IF(PL[[#This Row],[ESTADO]]="PTE Validar Enel","Pendiente cierre ENEL",IF(ISNUMBER(SEARCH("suministro",PL[[#This Row],[SUPPLIER NOTES]])),"Suministros",IF(PL[[#This Row],[SC]]="SOCIAL","Social",IF(ISNUMBER(SEARCH("monolito",PL[[#This Row],[DESCRIPTION]])),"Monolitos","Varios")))))</f>
        <v>Cerrados IUP</v>
      </c>
      <c r="Q3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8" spans="1:17" s="157" customFormat="1" hidden="1" x14ac:dyDescent="0.2">
      <c r="A368" s="151" t="s">
        <v>887</v>
      </c>
      <c r="B368" s="154" t="s">
        <v>8</v>
      </c>
      <c r="C368" s="154">
        <v>8</v>
      </c>
      <c r="D368" s="153" t="s">
        <v>3376</v>
      </c>
      <c r="E368" s="154"/>
      <c r="F368" s="154" t="s">
        <v>888</v>
      </c>
      <c r="G368" s="154" t="s">
        <v>1289</v>
      </c>
      <c r="H368" s="154"/>
      <c r="I368" s="154"/>
      <c r="J368" s="154" t="s">
        <v>74</v>
      </c>
      <c r="K368" s="154" t="s">
        <v>3394</v>
      </c>
      <c r="L368" s="154"/>
      <c r="M368" s="156"/>
      <c r="N368" s="154" t="str">
        <f>IF(ISNUMBER(PL[[#This Row],[CTO]]),"CTO "&amp;PL[[#This Row],[CTO]],"Otros")</f>
        <v>CTO 8</v>
      </c>
      <c r="O368" s="154" t="str">
        <f>IF(PL[[#This Row],[STATUS IUP]]="CERRADO","CERRADO",IF(ISNUMBER(SEARCH("validacion de enel",PL[[#This Row],[SUPPLIER NOTES]])),"PTE Validar Enel","ABIERTO"))</f>
        <v>CERRADO</v>
      </c>
      <c r="P368" s="154" t="str">
        <f>IF(PL[[#This Row],[ESTADO]]="CERRADO","Cerrados IUP",IF(PL[[#This Row],[ESTADO]]="PTE Validar Enel","Pendiente cierre ENEL",IF(ISNUMBER(SEARCH("suministro",PL[[#This Row],[SUPPLIER NOTES]])),"Suministros",IF(PL[[#This Row],[SC]]="SOCIAL","Social",IF(ISNUMBER(SEARCH("monolito",PL[[#This Row],[DESCRIPTION]])),"Monolitos","Varios")))))</f>
        <v>Cerrados IUP</v>
      </c>
      <c r="Q3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69" spans="1:17" s="157" customFormat="1" hidden="1" x14ac:dyDescent="0.2">
      <c r="A369" s="151" t="s">
        <v>889</v>
      </c>
      <c r="B369" s="154" t="s">
        <v>8</v>
      </c>
      <c r="C369" s="154">
        <v>8</v>
      </c>
      <c r="D369" s="153" t="s">
        <v>3376</v>
      </c>
      <c r="E369" s="154"/>
      <c r="F369" s="154" t="s">
        <v>890</v>
      </c>
      <c r="G369" s="154" t="s">
        <v>1290</v>
      </c>
      <c r="H369" s="154"/>
      <c r="I369" s="154"/>
      <c r="J369" s="154" t="s">
        <v>74</v>
      </c>
      <c r="K369" s="154" t="s">
        <v>3394</v>
      </c>
      <c r="L369" s="154"/>
      <c r="M369" s="156"/>
      <c r="N369" s="154" t="str">
        <f>IF(ISNUMBER(PL[[#This Row],[CTO]]),"CTO "&amp;PL[[#This Row],[CTO]],"Otros")</f>
        <v>CTO 8</v>
      </c>
      <c r="O369" s="154" t="str">
        <f>IF(PL[[#This Row],[STATUS IUP]]="CERRADO","CERRADO",IF(ISNUMBER(SEARCH("validacion de enel",PL[[#This Row],[SUPPLIER NOTES]])),"PTE Validar Enel","ABIERTO"))</f>
        <v>CERRADO</v>
      </c>
      <c r="P369" s="154" t="str">
        <f>IF(PL[[#This Row],[ESTADO]]="CERRADO","Cerrados IUP",IF(PL[[#This Row],[ESTADO]]="PTE Validar Enel","Pendiente cierre ENEL",IF(ISNUMBER(SEARCH("suministro",PL[[#This Row],[SUPPLIER NOTES]])),"Suministros",IF(PL[[#This Row],[SC]]="SOCIAL","Social",IF(ISNUMBER(SEARCH("monolito",PL[[#This Row],[DESCRIPTION]])),"Monolitos","Varios")))))</f>
        <v>Cerrados IUP</v>
      </c>
      <c r="Q3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0" spans="1:17" s="157" customFormat="1" hidden="1" x14ac:dyDescent="0.2">
      <c r="A370" s="151" t="s">
        <v>891</v>
      </c>
      <c r="B370" s="154" t="s">
        <v>8</v>
      </c>
      <c r="C370" s="154">
        <v>8</v>
      </c>
      <c r="D370" s="153" t="s">
        <v>3376</v>
      </c>
      <c r="E370" s="154"/>
      <c r="F370" s="154" t="s">
        <v>892</v>
      </c>
      <c r="G370" s="154" t="s">
        <v>1289</v>
      </c>
      <c r="H370" s="154"/>
      <c r="I370" s="154"/>
      <c r="J370" s="154" t="s">
        <v>74</v>
      </c>
      <c r="K370" s="154" t="s">
        <v>3394</v>
      </c>
      <c r="L370" s="154"/>
      <c r="M370" s="156"/>
      <c r="N370" s="154" t="str">
        <f>IF(ISNUMBER(PL[[#This Row],[CTO]]),"CTO "&amp;PL[[#This Row],[CTO]],"Otros")</f>
        <v>CTO 8</v>
      </c>
      <c r="O370" s="154" t="str">
        <f>IF(PL[[#This Row],[STATUS IUP]]="CERRADO","CERRADO",IF(ISNUMBER(SEARCH("validacion de enel",PL[[#This Row],[SUPPLIER NOTES]])),"PTE Validar Enel","ABIERTO"))</f>
        <v>CERRADO</v>
      </c>
      <c r="P370" s="154" t="str">
        <f>IF(PL[[#This Row],[ESTADO]]="CERRADO","Cerrados IUP",IF(PL[[#This Row],[ESTADO]]="PTE Validar Enel","Pendiente cierre ENEL",IF(ISNUMBER(SEARCH("suministro",PL[[#This Row],[SUPPLIER NOTES]])),"Suministros",IF(PL[[#This Row],[SC]]="SOCIAL","Social",IF(ISNUMBER(SEARCH("monolito",PL[[#This Row],[DESCRIPTION]])),"Monolitos","Varios")))))</f>
        <v>Cerrados IUP</v>
      </c>
      <c r="Q3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1" spans="1:17" s="157" customFormat="1" hidden="1" x14ac:dyDescent="0.2">
      <c r="A371" s="151" t="s">
        <v>895</v>
      </c>
      <c r="B371" s="154" t="s">
        <v>8</v>
      </c>
      <c r="C371" s="154">
        <v>8</v>
      </c>
      <c r="D371" s="153" t="s">
        <v>3376</v>
      </c>
      <c r="E371" s="154"/>
      <c r="F371" s="154" t="s">
        <v>896</v>
      </c>
      <c r="G371" s="154" t="s">
        <v>1290</v>
      </c>
      <c r="H371" s="154"/>
      <c r="I371" s="154"/>
      <c r="J371" s="154" t="s">
        <v>74</v>
      </c>
      <c r="K371" s="154" t="s">
        <v>3394</v>
      </c>
      <c r="L371" s="154"/>
      <c r="M371" s="156"/>
      <c r="N371" s="154" t="str">
        <f>IF(ISNUMBER(PL[[#This Row],[CTO]]),"CTO "&amp;PL[[#This Row],[CTO]],"Otros")</f>
        <v>CTO 8</v>
      </c>
      <c r="O371" s="154" t="str">
        <f>IF(PL[[#This Row],[STATUS IUP]]="CERRADO","CERRADO",IF(ISNUMBER(SEARCH("validacion de enel",PL[[#This Row],[SUPPLIER NOTES]])),"PTE Validar Enel","ABIERTO"))</f>
        <v>CERRADO</v>
      </c>
      <c r="P371" s="154" t="str">
        <f>IF(PL[[#This Row],[ESTADO]]="CERRADO","Cerrados IUP",IF(PL[[#This Row],[ESTADO]]="PTE Validar Enel","Pendiente cierre ENEL",IF(ISNUMBER(SEARCH("suministro",PL[[#This Row],[SUPPLIER NOTES]])),"Suministros",IF(PL[[#This Row],[SC]]="SOCIAL","Social",IF(ISNUMBER(SEARCH("monolito",PL[[#This Row],[DESCRIPTION]])),"Monolitos","Varios")))))</f>
        <v>Cerrados IUP</v>
      </c>
      <c r="Q3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2" spans="1:17" s="157" customFormat="1" hidden="1" x14ac:dyDescent="0.2">
      <c r="A372" s="151" t="s">
        <v>899</v>
      </c>
      <c r="B372" s="154" t="s">
        <v>8</v>
      </c>
      <c r="C372" s="154">
        <v>8</v>
      </c>
      <c r="D372" s="153" t="s">
        <v>3376</v>
      </c>
      <c r="E372" s="154"/>
      <c r="F372" s="154" t="s">
        <v>900</v>
      </c>
      <c r="G372" s="154" t="s">
        <v>1290</v>
      </c>
      <c r="H372" s="154"/>
      <c r="I372" s="154"/>
      <c r="J372" s="154" t="s">
        <v>74</v>
      </c>
      <c r="K372" s="154" t="s">
        <v>3394</v>
      </c>
      <c r="L372" s="154"/>
      <c r="M372" s="156"/>
      <c r="N372" s="154" t="str">
        <f>IF(ISNUMBER(PL[[#This Row],[CTO]]),"CTO "&amp;PL[[#This Row],[CTO]],"Otros")</f>
        <v>CTO 8</v>
      </c>
      <c r="O372" s="154" t="str">
        <f>IF(PL[[#This Row],[STATUS IUP]]="CERRADO","CERRADO",IF(ISNUMBER(SEARCH("validacion de enel",PL[[#This Row],[SUPPLIER NOTES]])),"PTE Validar Enel","ABIERTO"))</f>
        <v>CERRADO</v>
      </c>
      <c r="P372" s="154" t="str">
        <f>IF(PL[[#This Row],[ESTADO]]="CERRADO","Cerrados IUP",IF(PL[[#This Row],[ESTADO]]="PTE Validar Enel","Pendiente cierre ENEL",IF(ISNUMBER(SEARCH("suministro",PL[[#This Row],[SUPPLIER NOTES]])),"Suministros",IF(PL[[#This Row],[SC]]="SOCIAL","Social",IF(ISNUMBER(SEARCH("monolito",PL[[#This Row],[DESCRIPTION]])),"Monolitos","Varios")))))</f>
        <v>Cerrados IUP</v>
      </c>
      <c r="Q3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3" spans="1:17" s="157" customFormat="1" hidden="1" x14ac:dyDescent="0.2">
      <c r="A373" s="151" t="s">
        <v>488</v>
      </c>
      <c r="B373" s="154" t="s">
        <v>8</v>
      </c>
      <c r="C373" s="154">
        <v>8</v>
      </c>
      <c r="D373" s="153" t="s">
        <v>3376</v>
      </c>
      <c r="E373" s="154"/>
      <c r="F373" s="154" t="s">
        <v>489</v>
      </c>
      <c r="G373" s="154" t="s">
        <v>1290</v>
      </c>
      <c r="H373" s="154"/>
      <c r="I373" s="154"/>
      <c r="J373" s="154" t="s">
        <v>74</v>
      </c>
      <c r="K373" s="154" t="s">
        <v>3394</v>
      </c>
      <c r="L373" s="154"/>
      <c r="M373" s="156"/>
      <c r="N373" s="154" t="str">
        <f>IF(ISNUMBER(PL[[#This Row],[CTO]]),"CTO "&amp;PL[[#This Row],[CTO]],"Otros")</f>
        <v>CTO 8</v>
      </c>
      <c r="O373" s="154" t="str">
        <f>IF(PL[[#This Row],[STATUS IUP]]="CERRADO","CERRADO",IF(ISNUMBER(SEARCH("validacion de enel",PL[[#This Row],[SUPPLIER NOTES]])),"PTE Validar Enel","ABIERTO"))</f>
        <v>CERRADO</v>
      </c>
      <c r="P373" s="154" t="str">
        <f>IF(PL[[#This Row],[ESTADO]]="CERRADO","Cerrados IUP",IF(PL[[#This Row],[ESTADO]]="PTE Validar Enel","Pendiente cierre ENEL",IF(ISNUMBER(SEARCH("suministro",PL[[#This Row],[SUPPLIER NOTES]])),"Suministros",IF(PL[[#This Row],[SC]]="SOCIAL","Social",IF(ISNUMBER(SEARCH("monolito",PL[[#This Row],[DESCRIPTION]])),"Monolitos","Varios")))))</f>
        <v>Cerrados IUP</v>
      </c>
      <c r="Q3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4" spans="1:17" s="157" customFormat="1" hidden="1" x14ac:dyDescent="0.2">
      <c r="A374" s="151" t="s">
        <v>490</v>
      </c>
      <c r="B374" s="154" t="s">
        <v>8</v>
      </c>
      <c r="C374" s="154">
        <v>8</v>
      </c>
      <c r="D374" s="153" t="s">
        <v>3376</v>
      </c>
      <c r="E374" s="154"/>
      <c r="F374" s="154" t="s">
        <v>491</v>
      </c>
      <c r="G374" s="154" t="s">
        <v>1290</v>
      </c>
      <c r="H374" s="154"/>
      <c r="I374" s="154"/>
      <c r="J374" s="154" t="s">
        <v>74</v>
      </c>
      <c r="K374" s="154" t="s">
        <v>3394</v>
      </c>
      <c r="L374" s="154"/>
      <c r="M374" s="156"/>
      <c r="N374" s="154" t="str">
        <f>IF(ISNUMBER(PL[[#This Row],[CTO]]),"CTO "&amp;PL[[#This Row],[CTO]],"Otros")</f>
        <v>CTO 8</v>
      </c>
      <c r="O374" s="154" t="str">
        <f>IF(PL[[#This Row],[STATUS IUP]]="CERRADO","CERRADO",IF(ISNUMBER(SEARCH("validacion de enel",PL[[#This Row],[SUPPLIER NOTES]])),"PTE Validar Enel","ABIERTO"))</f>
        <v>CERRADO</v>
      </c>
      <c r="P374" s="154" t="str">
        <f>IF(PL[[#This Row],[ESTADO]]="CERRADO","Cerrados IUP",IF(PL[[#This Row],[ESTADO]]="PTE Validar Enel","Pendiente cierre ENEL",IF(ISNUMBER(SEARCH("suministro",PL[[#This Row],[SUPPLIER NOTES]])),"Suministros",IF(PL[[#This Row],[SC]]="SOCIAL","Social",IF(ISNUMBER(SEARCH("monolito",PL[[#This Row],[DESCRIPTION]])),"Monolitos","Varios")))))</f>
        <v>Cerrados IUP</v>
      </c>
      <c r="Q3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5" spans="1:17" s="157" customFormat="1" hidden="1" x14ac:dyDescent="0.2">
      <c r="A375" s="151" t="s">
        <v>492</v>
      </c>
      <c r="B375" s="154" t="s">
        <v>8</v>
      </c>
      <c r="C375" s="154">
        <v>8</v>
      </c>
      <c r="D375" s="153" t="s">
        <v>3376</v>
      </c>
      <c r="E375" s="154"/>
      <c r="F375" s="154" t="s">
        <v>493</v>
      </c>
      <c r="G375" s="154" t="s">
        <v>1290</v>
      </c>
      <c r="H375" s="154"/>
      <c r="I375" s="154"/>
      <c r="J375" s="154" t="s">
        <v>74</v>
      </c>
      <c r="K375" s="154" t="s">
        <v>3394</v>
      </c>
      <c r="L375" s="154"/>
      <c r="M375" s="156"/>
      <c r="N375" s="154" t="str">
        <f>IF(ISNUMBER(PL[[#This Row],[CTO]]),"CTO "&amp;PL[[#This Row],[CTO]],"Otros")</f>
        <v>CTO 8</v>
      </c>
      <c r="O375" s="154" t="str">
        <f>IF(PL[[#This Row],[STATUS IUP]]="CERRADO","CERRADO",IF(ISNUMBER(SEARCH("validacion de enel",PL[[#This Row],[SUPPLIER NOTES]])),"PTE Validar Enel","ABIERTO"))</f>
        <v>CERRADO</v>
      </c>
      <c r="P375" s="154" t="str">
        <f>IF(PL[[#This Row],[ESTADO]]="CERRADO","Cerrados IUP",IF(PL[[#This Row],[ESTADO]]="PTE Validar Enel","Pendiente cierre ENEL",IF(ISNUMBER(SEARCH("suministro",PL[[#This Row],[SUPPLIER NOTES]])),"Suministros",IF(PL[[#This Row],[SC]]="SOCIAL","Social",IF(ISNUMBER(SEARCH("monolito",PL[[#This Row],[DESCRIPTION]])),"Monolitos","Varios")))))</f>
        <v>Cerrados IUP</v>
      </c>
      <c r="Q3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6" spans="1:17" s="157" customFormat="1" hidden="1" x14ac:dyDescent="0.2">
      <c r="A376" s="151" t="s">
        <v>494</v>
      </c>
      <c r="B376" s="154" t="s">
        <v>8</v>
      </c>
      <c r="C376" s="154">
        <v>8</v>
      </c>
      <c r="D376" s="153" t="s">
        <v>3376</v>
      </c>
      <c r="E376" s="154"/>
      <c r="F376" s="154" t="s">
        <v>495</v>
      </c>
      <c r="G376" s="154" t="s">
        <v>1290</v>
      </c>
      <c r="H376" s="154"/>
      <c r="I376" s="154"/>
      <c r="J376" s="154" t="s">
        <v>74</v>
      </c>
      <c r="K376" s="154" t="s">
        <v>3394</v>
      </c>
      <c r="L376" s="154"/>
      <c r="M376" s="156"/>
      <c r="N376" s="154" t="str">
        <f>IF(ISNUMBER(PL[[#This Row],[CTO]]),"CTO "&amp;PL[[#This Row],[CTO]],"Otros")</f>
        <v>CTO 8</v>
      </c>
      <c r="O376" s="154" t="str">
        <f>IF(PL[[#This Row],[STATUS IUP]]="CERRADO","CERRADO",IF(ISNUMBER(SEARCH("validacion de enel",PL[[#This Row],[SUPPLIER NOTES]])),"PTE Validar Enel","ABIERTO"))</f>
        <v>CERRADO</v>
      </c>
      <c r="P376" s="154" t="str">
        <f>IF(PL[[#This Row],[ESTADO]]="CERRADO","Cerrados IUP",IF(PL[[#This Row],[ESTADO]]="PTE Validar Enel","Pendiente cierre ENEL",IF(ISNUMBER(SEARCH("suministro",PL[[#This Row],[SUPPLIER NOTES]])),"Suministros",IF(PL[[#This Row],[SC]]="SOCIAL","Social",IF(ISNUMBER(SEARCH("monolito",PL[[#This Row],[DESCRIPTION]])),"Monolitos","Varios")))))</f>
        <v>Cerrados IUP</v>
      </c>
      <c r="Q3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7" spans="1:17" s="157" customFormat="1" hidden="1" x14ac:dyDescent="0.2">
      <c r="A377" s="151" t="s">
        <v>500</v>
      </c>
      <c r="B377" s="154" t="s">
        <v>8</v>
      </c>
      <c r="C377" s="154">
        <v>8</v>
      </c>
      <c r="D377" s="153" t="s">
        <v>3376</v>
      </c>
      <c r="E377" s="154"/>
      <c r="F377" s="154" t="s">
        <v>501</v>
      </c>
      <c r="G377" s="154" t="s">
        <v>1290</v>
      </c>
      <c r="H377" s="154"/>
      <c r="I377" s="154"/>
      <c r="J377" s="154" t="s">
        <v>74</v>
      </c>
      <c r="K377" s="154" t="s">
        <v>3394</v>
      </c>
      <c r="L377" s="154"/>
      <c r="M377" s="156"/>
      <c r="N377" s="154" t="str">
        <f>IF(ISNUMBER(PL[[#This Row],[CTO]]),"CTO "&amp;PL[[#This Row],[CTO]],"Otros")</f>
        <v>CTO 8</v>
      </c>
      <c r="O377" s="154" t="str">
        <f>IF(PL[[#This Row],[STATUS IUP]]="CERRADO","CERRADO",IF(ISNUMBER(SEARCH("validacion de enel",PL[[#This Row],[SUPPLIER NOTES]])),"PTE Validar Enel","ABIERTO"))</f>
        <v>CERRADO</v>
      </c>
      <c r="P377" s="154" t="str">
        <f>IF(PL[[#This Row],[ESTADO]]="CERRADO","Cerrados IUP",IF(PL[[#This Row],[ESTADO]]="PTE Validar Enel","Pendiente cierre ENEL",IF(ISNUMBER(SEARCH("suministro",PL[[#This Row],[SUPPLIER NOTES]])),"Suministros",IF(PL[[#This Row],[SC]]="SOCIAL","Social",IF(ISNUMBER(SEARCH("monolito",PL[[#This Row],[DESCRIPTION]])),"Monolitos","Varios")))))</f>
        <v>Cerrados IUP</v>
      </c>
      <c r="Q3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8" spans="1:17" s="157" customFormat="1" hidden="1" x14ac:dyDescent="0.2">
      <c r="A378" s="151" t="s">
        <v>502</v>
      </c>
      <c r="B378" s="154" t="s">
        <v>8</v>
      </c>
      <c r="C378" s="154">
        <v>8</v>
      </c>
      <c r="D378" s="153" t="s">
        <v>3376</v>
      </c>
      <c r="E378" s="154"/>
      <c r="F378" s="154" t="s">
        <v>503</v>
      </c>
      <c r="G378" s="154" t="s">
        <v>1290</v>
      </c>
      <c r="H378" s="154"/>
      <c r="I378" s="154"/>
      <c r="J378" s="154" t="s">
        <v>74</v>
      </c>
      <c r="K378" s="154" t="s">
        <v>3394</v>
      </c>
      <c r="L378" s="154"/>
      <c r="M378" s="156"/>
      <c r="N378" s="154" t="str">
        <f>IF(ISNUMBER(PL[[#This Row],[CTO]]),"CTO "&amp;PL[[#This Row],[CTO]],"Otros")</f>
        <v>CTO 8</v>
      </c>
      <c r="O378" s="154" t="str">
        <f>IF(PL[[#This Row],[STATUS IUP]]="CERRADO","CERRADO",IF(ISNUMBER(SEARCH("validacion de enel",PL[[#This Row],[SUPPLIER NOTES]])),"PTE Validar Enel","ABIERTO"))</f>
        <v>CERRADO</v>
      </c>
      <c r="P378" s="154" t="str">
        <f>IF(PL[[#This Row],[ESTADO]]="CERRADO","Cerrados IUP",IF(PL[[#This Row],[ESTADO]]="PTE Validar Enel","Pendiente cierre ENEL",IF(ISNUMBER(SEARCH("suministro",PL[[#This Row],[SUPPLIER NOTES]])),"Suministros",IF(PL[[#This Row],[SC]]="SOCIAL","Social",IF(ISNUMBER(SEARCH("monolito",PL[[#This Row],[DESCRIPTION]])),"Monolitos","Varios")))))</f>
        <v>Cerrados IUP</v>
      </c>
      <c r="Q3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79" spans="1:17" s="157" customFormat="1" ht="16" hidden="1" x14ac:dyDescent="0.2">
      <c r="A379" s="151" t="s">
        <v>506</v>
      </c>
      <c r="B379" s="152" t="s">
        <v>8</v>
      </c>
      <c r="C379" s="154">
        <v>8</v>
      </c>
      <c r="D379" s="153" t="s">
        <v>3376</v>
      </c>
      <c r="E379" s="154"/>
      <c r="F379" s="152" t="s">
        <v>507</v>
      </c>
      <c r="G379" s="154" t="s">
        <v>1290</v>
      </c>
      <c r="H379" s="154"/>
      <c r="I379" s="154"/>
      <c r="J379" s="154" t="s">
        <v>74</v>
      </c>
      <c r="K379" s="154" t="s">
        <v>3394</v>
      </c>
      <c r="L379" s="155">
        <v>46293</v>
      </c>
      <c r="M379" s="156"/>
      <c r="N379" s="154" t="str">
        <f>IF(ISNUMBER(PL[[#This Row],[CTO]]),"CTO "&amp;PL[[#This Row],[CTO]],"Otros")</f>
        <v>CTO 8</v>
      </c>
      <c r="O379" s="154" t="str">
        <f>IF(PL[[#This Row],[STATUS IUP]]="CERRADO","CERRADO",IF(ISNUMBER(SEARCH("validacion de enel",PL[[#This Row],[SUPPLIER NOTES]])),"PTE Validar Enel","ABIERTO"))</f>
        <v>CERRADO</v>
      </c>
      <c r="P379" s="154" t="str">
        <f>IF(PL[[#This Row],[ESTADO]]="CERRADO","Cerrados IUP",IF(PL[[#This Row],[ESTADO]]="PTE Validar Enel","Pendiente cierre ENEL",IF(ISNUMBER(SEARCH("suministro",PL[[#This Row],[SUPPLIER NOTES]])),"Suministros",IF(PL[[#This Row],[SC]]="SOCIAL","Social",IF(ISNUMBER(SEARCH("monolito",PL[[#This Row],[DESCRIPTION]])),"Monolitos","Varios")))))</f>
        <v>Cerrados IUP</v>
      </c>
      <c r="Q3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0" spans="1:17" s="157" customFormat="1" hidden="1" x14ac:dyDescent="0.2">
      <c r="A380" s="151" t="s">
        <v>508</v>
      </c>
      <c r="B380" s="154" t="s">
        <v>8</v>
      </c>
      <c r="C380" s="154">
        <v>8</v>
      </c>
      <c r="D380" s="153" t="s">
        <v>3376</v>
      </c>
      <c r="E380" s="154"/>
      <c r="F380" s="154" t="s">
        <v>509</v>
      </c>
      <c r="G380" s="154" t="s">
        <v>1290</v>
      </c>
      <c r="H380" s="154"/>
      <c r="I380" s="154"/>
      <c r="J380" s="154" t="s">
        <v>74</v>
      </c>
      <c r="K380" s="154" t="s">
        <v>3394</v>
      </c>
      <c r="L380" s="154"/>
      <c r="M380" s="156"/>
      <c r="N380" s="154" t="str">
        <f>IF(ISNUMBER(PL[[#This Row],[CTO]]),"CTO "&amp;PL[[#This Row],[CTO]],"Otros")</f>
        <v>CTO 8</v>
      </c>
      <c r="O380" s="154" t="str">
        <f>IF(PL[[#This Row],[STATUS IUP]]="CERRADO","CERRADO",IF(ISNUMBER(SEARCH("validacion de enel",PL[[#This Row],[SUPPLIER NOTES]])),"PTE Validar Enel","ABIERTO"))</f>
        <v>CERRADO</v>
      </c>
      <c r="P380" s="154" t="str">
        <f>IF(PL[[#This Row],[ESTADO]]="CERRADO","Cerrados IUP",IF(PL[[#This Row],[ESTADO]]="PTE Validar Enel","Pendiente cierre ENEL",IF(ISNUMBER(SEARCH("suministro",PL[[#This Row],[SUPPLIER NOTES]])),"Suministros",IF(PL[[#This Row],[SC]]="SOCIAL","Social",IF(ISNUMBER(SEARCH("monolito",PL[[#This Row],[DESCRIPTION]])),"Monolitos","Varios")))))</f>
        <v>Cerrados IUP</v>
      </c>
      <c r="Q3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1" spans="1:17" s="157" customFormat="1" hidden="1" x14ac:dyDescent="0.2">
      <c r="A381" s="151" t="s">
        <v>510</v>
      </c>
      <c r="B381" s="154" t="s">
        <v>8</v>
      </c>
      <c r="C381" s="154">
        <v>8</v>
      </c>
      <c r="D381" s="153" t="s">
        <v>3376</v>
      </c>
      <c r="E381" s="154"/>
      <c r="F381" s="154" t="s">
        <v>511</v>
      </c>
      <c r="G381" s="154" t="s">
        <v>1290</v>
      </c>
      <c r="H381" s="154"/>
      <c r="I381" s="154"/>
      <c r="J381" s="154" t="s">
        <v>74</v>
      </c>
      <c r="K381" s="154" t="s">
        <v>3394</v>
      </c>
      <c r="L381" s="154"/>
      <c r="M381" s="156"/>
      <c r="N381" s="154" t="str">
        <f>IF(ISNUMBER(PL[[#This Row],[CTO]]),"CTO "&amp;PL[[#This Row],[CTO]],"Otros")</f>
        <v>CTO 8</v>
      </c>
      <c r="O381" s="154" t="str">
        <f>IF(PL[[#This Row],[STATUS IUP]]="CERRADO","CERRADO",IF(ISNUMBER(SEARCH("validacion de enel",PL[[#This Row],[SUPPLIER NOTES]])),"PTE Validar Enel","ABIERTO"))</f>
        <v>CERRADO</v>
      </c>
      <c r="P381" s="154" t="str">
        <f>IF(PL[[#This Row],[ESTADO]]="CERRADO","Cerrados IUP",IF(PL[[#This Row],[ESTADO]]="PTE Validar Enel","Pendiente cierre ENEL",IF(ISNUMBER(SEARCH("suministro",PL[[#This Row],[SUPPLIER NOTES]])),"Suministros",IF(PL[[#This Row],[SC]]="SOCIAL","Social",IF(ISNUMBER(SEARCH("monolito",PL[[#This Row],[DESCRIPTION]])),"Monolitos","Varios")))))</f>
        <v>Cerrados IUP</v>
      </c>
      <c r="Q3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2" spans="1:17" s="157" customFormat="1" hidden="1" x14ac:dyDescent="0.2">
      <c r="A382" s="151" t="s">
        <v>534</v>
      </c>
      <c r="B382" s="154" t="s">
        <v>8</v>
      </c>
      <c r="C382" s="154">
        <v>8</v>
      </c>
      <c r="D382" s="153" t="s">
        <v>3376</v>
      </c>
      <c r="E382" s="154"/>
      <c r="F382" s="154" t="s">
        <v>535</v>
      </c>
      <c r="G382" s="154" t="s">
        <v>1289</v>
      </c>
      <c r="H382" s="154"/>
      <c r="I382" s="154"/>
      <c r="J382" s="154" t="s">
        <v>74</v>
      </c>
      <c r="K382" s="154" t="s">
        <v>3394</v>
      </c>
      <c r="L382" s="154"/>
      <c r="M382" s="156"/>
      <c r="N382" s="154" t="str">
        <f>IF(ISNUMBER(PL[[#This Row],[CTO]]),"CTO "&amp;PL[[#This Row],[CTO]],"Otros")</f>
        <v>CTO 8</v>
      </c>
      <c r="O382" s="154" t="str">
        <f>IF(PL[[#This Row],[STATUS IUP]]="CERRADO","CERRADO",IF(ISNUMBER(SEARCH("validacion de enel",PL[[#This Row],[SUPPLIER NOTES]])),"PTE Validar Enel","ABIERTO"))</f>
        <v>CERRADO</v>
      </c>
      <c r="P382" s="154" t="str">
        <f>IF(PL[[#This Row],[ESTADO]]="CERRADO","Cerrados IUP",IF(PL[[#This Row],[ESTADO]]="PTE Validar Enel","Pendiente cierre ENEL",IF(ISNUMBER(SEARCH("suministro",PL[[#This Row],[SUPPLIER NOTES]])),"Suministros",IF(PL[[#This Row],[SC]]="SOCIAL","Social",IF(ISNUMBER(SEARCH("monolito",PL[[#This Row],[DESCRIPTION]])),"Monolitos","Varios")))))</f>
        <v>Cerrados IUP</v>
      </c>
      <c r="Q3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3" spans="1:17" s="157" customFormat="1" hidden="1" x14ac:dyDescent="0.2">
      <c r="A383" s="151" t="s">
        <v>536</v>
      </c>
      <c r="B383" s="154" t="s">
        <v>8</v>
      </c>
      <c r="C383" s="154">
        <v>8</v>
      </c>
      <c r="D383" s="153" t="s">
        <v>3376</v>
      </c>
      <c r="E383" s="154"/>
      <c r="F383" s="154" t="s">
        <v>537</v>
      </c>
      <c r="G383" s="154" t="s">
        <v>1290</v>
      </c>
      <c r="H383" s="154"/>
      <c r="I383" s="154"/>
      <c r="J383" s="154" t="s">
        <v>74</v>
      </c>
      <c r="K383" s="154" t="s">
        <v>3394</v>
      </c>
      <c r="L383" s="154"/>
      <c r="M383" s="156"/>
      <c r="N383" s="154" t="str">
        <f>IF(ISNUMBER(PL[[#This Row],[CTO]]),"CTO "&amp;PL[[#This Row],[CTO]],"Otros")</f>
        <v>CTO 8</v>
      </c>
      <c r="O383" s="154" t="str">
        <f>IF(PL[[#This Row],[STATUS IUP]]="CERRADO","CERRADO",IF(ISNUMBER(SEARCH("validacion de enel",PL[[#This Row],[SUPPLIER NOTES]])),"PTE Validar Enel","ABIERTO"))</f>
        <v>CERRADO</v>
      </c>
      <c r="P383" s="154" t="str">
        <f>IF(PL[[#This Row],[ESTADO]]="CERRADO","Cerrados IUP",IF(PL[[#This Row],[ESTADO]]="PTE Validar Enel","Pendiente cierre ENEL",IF(ISNUMBER(SEARCH("suministro",PL[[#This Row],[SUPPLIER NOTES]])),"Suministros",IF(PL[[#This Row],[SC]]="SOCIAL","Social",IF(ISNUMBER(SEARCH("monolito",PL[[#This Row],[DESCRIPTION]])),"Monolitos","Varios")))))</f>
        <v>Cerrados IUP</v>
      </c>
      <c r="Q3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4" spans="1:17" s="157" customFormat="1" hidden="1" x14ac:dyDescent="0.2">
      <c r="A384" s="151" t="s">
        <v>538</v>
      </c>
      <c r="B384" s="154" t="s">
        <v>8</v>
      </c>
      <c r="C384" s="154">
        <v>8</v>
      </c>
      <c r="D384" s="153" t="s">
        <v>3376</v>
      </c>
      <c r="E384" s="154"/>
      <c r="F384" s="154" t="s">
        <v>539</v>
      </c>
      <c r="G384" s="154" t="s">
        <v>1289</v>
      </c>
      <c r="H384" s="154"/>
      <c r="I384" s="154"/>
      <c r="J384" s="154" t="s">
        <v>74</v>
      </c>
      <c r="K384" s="154" t="s">
        <v>3394</v>
      </c>
      <c r="L384" s="154"/>
      <c r="M384" s="156"/>
      <c r="N384" s="154" t="str">
        <f>IF(ISNUMBER(PL[[#This Row],[CTO]]),"CTO "&amp;PL[[#This Row],[CTO]],"Otros")</f>
        <v>CTO 8</v>
      </c>
      <c r="O384" s="154" t="str">
        <f>IF(PL[[#This Row],[STATUS IUP]]="CERRADO","CERRADO",IF(ISNUMBER(SEARCH("validacion de enel",PL[[#This Row],[SUPPLIER NOTES]])),"PTE Validar Enel","ABIERTO"))</f>
        <v>CERRADO</v>
      </c>
      <c r="P384" s="154" t="str">
        <f>IF(PL[[#This Row],[ESTADO]]="CERRADO","Cerrados IUP",IF(PL[[#This Row],[ESTADO]]="PTE Validar Enel","Pendiente cierre ENEL",IF(ISNUMBER(SEARCH("suministro",PL[[#This Row],[SUPPLIER NOTES]])),"Suministros",IF(PL[[#This Row],[SC]]="SOCIAL","Social",IF(ISNUMBER(SEARCH("monolito",PL[[#This Row],[DESCRIPTION]])),"Monolitos","Varios")))))</f>
        <v>Cerrados IUP</v>
      </c>
      <c r="Q3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5" spans="1:17" s="157" customFormat="1" hidden="1" x14ac:dyDescent="0.2">
      <c r="A385" s="151" t="s">
        <v>540</v>
      </c>
      <c r="B385" s="154" t="s">
        <v>8</v>
      </c>
      <c r="C385" s="154">
        <v>8</v>
      </c>
      <c r="D385" s="153" t="s">
        <v>3376</v>
      </c>
      <c r="E385" s="154"/>
      <c r="F385" s="154" t="s">
        <v>541</v>
      </c>
      <c r="G385" s="154" t="s">
        <v>1290</v>
      </c>
      <c r="H385" s="154"/>
      <c r="I385" s="154"/>
      <c r="J385" s="154" t="s">
        <v>74</v>
      </c>
      <c r="K385" s="154" t="s">
        <v>3394</v>
      </c>
      <c r="L385" s="154"/>
      <c r="M385" s="156"/>
      <c r="N385" s="154" t="str">
        <f>IF(ISNUMBER(PL[[#This Row],[CTO]]),"CTO "&amp;PL[[#This Row],[CTO]],"Otros")</f>
        <v>CTO 8</v>
      </c>
      <c r="O385" s="154" t="str">
        <f>IF(PL[[#This Row],[STATUS IUP]]="CERRADO","CERRADO",IF(ISNUMBER(SEARCH("validacion de enel",PL[[#This Row],[SUPPLIER NOTES]])),"PTE Validar Enel","ABIERTO"))</f>
        <v>CERRADO</v>
      </c>
      <c r="P385" s="154" t="str">
        <f>IF(PL[[#This Row],[ESTADO]]="CERRADO","Cerrados IUP",IF(PL[[#This Row],[ESTADO]]="PTE Validar Enel","Pendiente cierre ENEL",IF(ISNUMBER(SEARCH("suministro",PL[[#This Row],[SUPPLIER NOTES]])),"Suministros",IF(PL[[#This Row],[SC]]="SOCIAL","Social",IF(ISNUMBER(SEARCH("monolito",PL[[#This Row],[DESCRIPTION]])),"Monolitos","Varios")))))</f>
        <v>Cerrados IUP</v>
      </c>
      <c r="Q3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6" spans="1:17" s="157" customFormat="1" hidden="1" x14ac:dyDescent="0.2">
      <c r="A386" s="151" t="s">
        <v>542</v>
      </c>
      <c r="B386" s="154" t="s">
        <v>8</v>
      </c>
      <c r="C386" s="154">
        <v>8</v>
      </c>
      <c r="D386" s="153" t="s">
        <v>3376</v>
      </c>
      <c r="E386" s="154"/>
      <c r="F386" s="154" t="s">
        <v>543</v>
      </c>
      <c r="G386" s="154" t="s">
        <v>1290</v>
      </c>
      <c r="H386" s="154"/>
      <c r="I386" s="154"/>
      <c r="J386" s="154" t="s">
        <v>74</v>
      </c>
      <c r="K386" s="154" t="s">
        <v>3394</v>
      </c>
      <c r="L386" s="154"/>
      <c r="M386" s="156"/>
      <c r="N386" s="154" t="str">
        <f>IF(ISNUMBER(PL[[#This Row],[CTO]]),"CTO "&amp;PL[[#This Row],[CTO]],"Otros")</f>
        <v>CTO 8</v>
      </c>
      <c r="O386" s="154" t="str">
        <f>IF(PL[[#This Row],[STATUS IUP]]="CERRADO","CERRADO",IF(ISNUMBER(SEARCH("validacion de enel",PL[[#This Row],[SUPPLIER NOTES]])),"PTE Validar Enel","ABIERTO"))</f>
        <v>CERRADO</v>
      </c>
      <c r="P386" s="154" t="str">
        <f>IF(PL[[#This Row],[ESTADO]]="CERRADO","Cerrados IUP",IF(PL[[#This Row],[ESTADO]]="PTE Validar Enel","Pendiente cierre ENEL",IF(ISNUMBER(SEARCH("suministro",PL[[#This Row],[SUPPLIER NOTES]])),"Suministros",IF(PL[[#This Row],[SC]]="SOCIAL","Social",IF(ISNUMBER(SEARCH("monolito",PL[[#This Row],[DESCRIPTION]])),"Monolitos","Varios")))))</f>
        <v>Cerrados IUP</v>
      </c>
      <c r="Q3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7" spans="1:17" s="157" customFormat="1" hidden="1" x14ac:dyDescent="0.2">
      <c r="A387" s="151" t="s">
        <v>544</v>
      </c>
      <c r="B387" s="154" t="s">
        <v>8</v>
      </c>
      <c r="C387" s="154">
        <v>8</v>
      </c>
      <c r="D387" s="153" t="s">
        <v>3376</v>
      </c>
      <c r="E387" s="154"/>
      <c r="F387" s="154" t="s">
        <v>545</v>
      </c>
      <c r="G387" s="154" t="s">
        <v>128</v>
      </c>
      <c r="H387" s="154" t="s">
        <v>163</v>
      </c>
      <c r="I387" s="154" t="s">
        <v>163</v>
      </c>
      <c r="J387" s="154" t="s">
        <v>74</v>
      </c>
      <c r="K387" s="154" t="s">
        <v>3394</v>
      </c>
      <c r="L387" s="161">
        <v>46219</v>
      </c>
      <c r="M387" s="160">
        <v>46219</v>
      </c>
      <c r="N387" s="154" t="str">
        <f>IF(ISNUMBER(PL[[#This Row],[CTO]]),"CTO "&amp;PL[[#This Row],[CTO]],"Otros")</f>
        <v>CTO 8</v>
      </c>
      <c r="O387" s="154" t="str">
        <f>IF(PL[[#This Row],[STATUS IUP]]="CERRADO","CERRADO",IF(ISNUMBER(SEARCH("validacion de enel",PL[[#This Row],[SUPPLIER NOTES]])),"PTE Validar Enel","ABIERTO"))</f>
        <v>CERRADO</v>
      </c>
      <c r="P387" s="154" t="str">
        <f>IF(PL[[#This Row],[ESTADO]]="CERRADO","Cerrados IUP",IF(PL[[#This Row],[ESTADO]]="PTE Validar Enel","Pendiente cierre ENEL",IF(ISNUMBER(SEARCH("suministro",PL[[#This Row],[SUPPLIER NOTES]])),"Suministros",IF(PL[[#This Row],[SC]]="SOCIAL","Social",IF(ISNUMBER(SEARCH("monolito",PL[[#This Row],[DESCRIPTION]])),"Monolitos","Varios")))))</f>
        <v>Cerrados IUP</v>
      </c>
      <c r="Q3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8" spans="1:17" s="157" customFormat="1" hidden="1" x14ac:dyDescent="0.2">
      <c r="A388" s="151" t="s">
        <v>546</v>
      </c>
      <c r="B388" s="154" t="s">
        <v>8</v>
      </c>
      <c r="C388" s="154">
        <v>8</v>
      </c>
      <c r="D388" s="153" t="s">
        <v>3376</v>
      </c>
      <c r="E388" s="154"/>
      <c r="F388" s="154" t="s">
        <v>547</v>
      </c>
      <c r="G388" s="154" t="s">
        <v>1290</v>
      </c>
      <c r="H388" s="154"/>
      <c r="I388" s="154"/>
      <c r="J388" s="154" t="s">
        <v>74</v>
      </c>
      <c r="K388" s="154" t="s">
        <v>3394</v>
      </c>
      <c r="L388" s="154"/>
      <c r="M388" s="156"/>
      <c r="N388" s="154" t="str">
        <f>IF(ISNUMBER(PL[[#This Row],[CTO]]),"CTO "&amp;PL[[#This Row],[CTO]],"Otros")</f>
        <v>CTO 8</v>
      </c>
      <c r="O388" s="154" t="str">
        <f>IF(PL[[#This Row],[STATUS IUP]]="CERRADO","CERRADO",IF(ISNUMBER(SEARCH("validacion de enel",PL[[#This Row],[SUPPLIER NOTES]])),"PTE Validar Enel","ABIERTO"))</f>
        <v>CERRADO</v>
      </c>
      <c r="P388" s="154" t="str">
        <f>IF(PL[[#This Row],[ESTADO]]="CERRADO","Cerrados IUP",IF(PL[[#This Row],[ESTADO]]="PTE Validar Enel","Pendiente cierre ENEL",IF(ISNUMBER(SEARCH("suministro",PL[[#This Row],[SUPPLIER NOTES]])),"Suministros",IF(PL[[#This Row],[SC]]="SOCIAL","Social",IF(ISNUMBER(SEARCH("monolito",PL[[#This Row],[DESCRIPTION]])),"Monolitos","Varios")))))</f>
        <v>Cerrados IUP</v>
      </c>
      <c r="Q3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89" spans="1:17" s="157" customFormat="1" hidden="1" x14ac:dyDescent="0.2">
      <c r="A389" s="151" t="s">
        <v>548</v>
      </c>
      <c r="B389" s="154" t="s">
        <v>8</v>
      </c>
      <c r="C389" s="154">
        <v>8</v>
      </c>
      <c r="D389" s="153" t="s">
        <v>3376</v>
      </c>
      <c r="E389" s="154"/>
      <c r="F389" s="154" t="s">
        <v>549</v>
      </c>
      <c r="G389" s="154" t="s">
        <v>1290</v>
      </c>
      <c r="H389" s="154"/>
      <c r="I389" s="154"/>
      <c r="J389" s="154" t="s">
        <v>74</v>
      </c>
      <c r="K389" s="154" t="s">
        <v>3394</v>
      </c>
      <c r="L389" s="154"/>
      <c r="M389" s="156"/>
      <c r="N389" s="154" t="str">
        <f>IF(ISNUMBER(PL[[#This Row],[CTO]]),"CTO "&amp;PL[[#This Row],[CTO]],"Otros")</f>
        <v>CTO 8</v>
      </c>
      <c r="O389" s="154" t="str">
        <f>IF(PL[[#This Row],[STATUS IUP]]="CERRADO","CERRADO",IF(ISNUMBER(SEARCH("validacion de enel",PL[[#This Row],[SUPPLIER NOTES]])),"PTE Validar Enel","ABIERTO"))</f>
        <v>CERRADO</v>
      </c>
      <c r="P389" s="154" t="str">
        <f>IF(PL[[#This Row],[ESTADO]]="CERRADO","Cerrados IUP",IF(PL[[#This Row],[ESTADO]]="PTE Validar Enel","Pendiente cierre ENEL",IF(ISNUMBER(SEARCH("suministro",PL[[#This Row],[SUPPLIER NOTES]])),"Suministros",IF(PL[[#This Row],[SC]]="SOCIAL","Social",IF(ISNUMBER(SEARCH("monolito",PL[[#This Row],[DESCRIPTION]])),"Monolitos","Varios")))))</f>
        <v>Cerrados IUP</v>
      </c>
      <c r="Q3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0" spans="1:17" s="157" customFormat="1" hidden="1" x14ac:dyDescent="0.2">
      <c r="A390" s="151" t="s">
        <v>550</v>
      </c>
      <c r="B390" s="154" t="s">
        <v>8</v>
      </c>
      <c r="C390" s="154">
        <v>8</v>
      </c>
      <c r="D390" s="153" t="s">
        <v>3376</v>
      </c>
      <c r="E390" s="154"/>
      <c r="F390" s="154" t="s">
        <v>551</v>
      </c>
      <c r="G390" s="154" t="s">
        <v>1290</v>
      </c>
      <c r="H390" s="154"/>
      <c r="I390" s="154"/>
      <c r="J390" s="154" t="s">
        <v>74</v>
      </c>
      <c r="K390" s="154" t="s">
        <v>3394</v>
      </c>
      <c r="L390" s="154"/>
      <c r="M390" s="156"/>
      <c r="N390" s="154" t="str">
        <f>IF(ISNUMBER(PL[[#This Row],[CTO]]),"CTO "&amp;PL[[#This Row],[CTO]],"Otros")</f>
        <v>CTO 8</v>
      </c>
      <c r="O390" s="154" t="str">
        <f>IF(PL[[#This Row],[STATUS IUP]]="CERRADO","CERRADO",IF(ISNUMBER(SEARCH("validacion de enel",PL[[#This Row],[SUPPLIER NOTES]])),"PTE Validar Enel","ABIERTO"))</f>
        <v>CERRADO</v>
      </c>
      <c r="P390" s="154" t="str">
        <f>IF(PL[[#This Row],[ESTADO]]="CERRADO","Cerrados IUP",IF(PL[[#This Row],[ESTADO]]="PTE Validar Enel","Pendiente cierre ENEL",IF(ISNUMBER(SEARCH("suministro",PL[[#This Row],[SUPPLIER NOTES]])),"Suministros",IF(PL[[#This Row],[SC]]="SOCIAL","Social",IF(ISNUMBER(SEARCH("monolito",PL[[#This Row],[DESCRIPTION]])),"Monolitos","Varios")))))</f>
        <v>Cerrados IUP</v>
      </c>
      <c r="Q3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1" spans="1:17" s="157" customFormat="1" hidden="1" x14ac:dyDescent="0.2">
      <c r="A391" s="151" t="s">
        <v>552</v>
      </c>
      <c r="B391" s="154" t="s">
        <v>8</v>
      </c>
      <c r="C391" s="154">
        <v>8</v>
      </c>
      <c r="D391" s="153" t="s">
        <v>3376</v>
      </c>
      <c r="E391" s="154"/>
      <c r="F391" s="154" t="s">
        <v>553</v>
      </c>
      <c r="G391" s="154" t="s">
        <v>1289</v>
      </c>
      <c r="H391" s="154"/>
      <c r="I391" s="154"/>
      <c r="J391" s="154" t="s">
        <v>74</v>
      </c>
      <c r="K391" s="154" t="s">
        <v>3394</v>
      </c>
      <c r="L391" s="154"/>
      <c r="M391" s="156"/>
      <c r="N391" s="154" t="str">
        <f>IF(ISNUMBER(PL[[#This Row],[CTO]]),"CTO "&amp;PL[[#This Row],[CTO]],"Otros")</f>
        <v>CTO 8</v>
      </c>
      <c r="O391" s="154" t="str">
        <f>IF(PL[[#This Row],[STATUS IUP]]="CERRADO","CERRADO",IF(ISNUMBER(SEARCH("validacion de enel",PL[[#This Row],[SUPPLIER NOTES]])),"PTE Validar Enel","ABIERTO"))</f>
        <v>CERRADO</v>
      </c>
      <c r="P391" s="154" t="str">
        <f>IF(PL[[#This Row],[ESTADO]]="CERRADO","Cerrados IUP",IF(PL[[#This Row],[ESTADO]]="PTE Validar Enel","Pendiente cierre ENEL",IF(ISNUMBER(SEARCH("suministro",PL[[#This Row],[SUPPLIER NOTES]])),"Suministros",IF(PL[[#This Row],[SC]]="SOCIAL","Social",IF(ISNUMBER(SEARCH("monolito",PL[[#This Row],[DESCRIPTION]])),"Monolitos","Varios")))))</f>
        <v>Cerrados IUP</v>
      </c>
      <c r="Q3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2" spans="1:17" s="157" customFormat="1" hidden="1" x14ac:dyDescent="0.2">
      <c r="A392" s="151" t="s">
        <v>554</v>
      </c>
      <c r="B392" s="154" t="s">
        <v>8</v>
      </c>
      <c r="C392" s="154">
        <v>8</v>
      </c>
      <c r="D392" s="153" t="s">
        <v>3376</v>
      </c>
      <c r="E392" s="154"/>
      <c r="F392" s="154" t="s">
        <v>555</v>
      </c>
      <c r="G392" s="154" t="s">
        <v>1290</v>
      </c>
      <c r="H392" s="154"/>
      <c r="I392" s="154"/>
      <c r="J392" s="154" t="s">
        <v>74</v>
      </c>
      <c r="K392" s="154" t="s">
        <v>3394</v>
      </c>
      <c r="L392" s="154"/>
      <c r="M392" s="156"/>
      <c r="N392" s="154" t="str">
        <f>IF(ISNUMBER(PL[[#This Row],[CTO]]),"CTO "&amp;PL[[#This Row],[CTO]],"Otros")</f>
        <v>CTO 8</v>
      </c>
      <c r="O392" s="154" t="str">
        <f>IF(PL[[#This Row],[STATUS IUP]]="CERRADO","CERRADO",IF(ISNUMBER(SEARCH("validacion de enel",PL[[#This Row],[SUPPLIER NOTES]])),"PTE Validar Enel","ABIERTO"))</f>
        <v>CERRADO</v>
      </c>
      <c r="P392" s="154" t="str">
        <f>IF(PL[[#This Row],[ESTADO]]="CERRADO","Cerrados IUP",IF(PL[[#This Row],[ESTADO]]="PTE Validar Enel","Pendiente cierre ENEL",IF(ISNUMBER(SEARCH("suministro",PL[[#This Row],[SUPPLIER NOTES]])),"Suministros",IF(PL[[#This Row],[SC]]="SOCIAL","Social",IF(ISNUMBER(SEARCH("monolito",PL[[#This Row],[DESCRIPTION]])),"Monolitos","Varios")))))</f>
        <v>Cerrados IUP</v>
      </c>
      <c r="Q3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3" spans="1:17" s="157" customFormat="1" hidden="1" x14ac:dyDescent="0.2">
      <c r="A393" s="151" t="s">
        <v>556</v>
      </c>
      <c r="B393" s="154" t="s">
        <v>8</v>
      </c>
      <c r="C393" s="154">
        <v>8</v>
      </c>
      <c r="D393" s="153" t="s">
        <v>3376</v>
      </c>
      <c r="E393" s="154"/>
      <c r="F393" s="154" t="s">
        <v>557</v>
      </c>
      <c r="G393" s="154" t="s">
        <v>1290</v>
      </c>
      <c r="H393" s="154"/>
      <c r="I393" s="154"/>
      <c r="J393" s="154" t="s">
        <v>74</v>
      </c>
      <c r="K393" s="154" t="s">
        <v>3394</v>
      </c>
      <c r="L393" s="154"/>
      <c r="M393" s="156"/>
      <c r="N393" s="154" t="str">
        <f>IF(ISNUMBER(PL[[#This Row],[CTO]]),"CTO "&amp;PL[[#This Row],[CTO]],"Otros")</f>
        <v>CTO 8</v>
      </c>
      <c r="O393" s="154" t="str">
        <f>IF(PL[[#This Row],[STATUS IUP]]="CERRADO","CERRADO",IF(ISNUMBER(SEARCH("validacion de enel",PL[[#This Row],[SUPPLIER NOTES]])),"PTE Validar Enel","ABIERTO"))</f>
        <v>CERRADO</v>
      </c>
      <c r="P393" s="154" t="str">
        <f>IF(PL[[#This Row],[ESTADO]]="CERRADO","Cerrados IUP",IF(PL[[#This Row],[ESTADO]]="PTE Validar Enel","Pendiente cierre ENEL",IF(ISNUMBER(SEARCH("suministro",PL[[#This Row],[SUPPLIER NOTES]])),"Suministros",IF(PL[[#This Row],[SC]]="SOCIAL","Social",IF(ISNUMBER(SEARCH("monolito",PL[[#This Row],[DESCRIPTION]])),"Monolitos","Varios")))))</f>
        <v>Cerrados IUP</v>
      </c>
      <c r="Q3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4" spans="1:17" s="157" customFormat="1" hidden="1" x14ac:dyDescent="0.2">
      <c r="A394" s="151" t="s">
        <v>580</v>
      </c>
      <c r="B394" s="154" t="s">
        <v>8</v>
      </c>
      <c r="C394" s="154">
        <v>8</v>
      </c>
      <c r="D394" s="153" t="s">
        <v>3376</v>
      </c>
      <c r="E394" s="154"/>
      <c r="F394" s="154" t="s">
        <v>581</v>
      </c>
      <c r="G394" s="154" t="s">
        <v>1289</v>
      </c>
      <c r="H394" s="154"/>
      <c r="I394" s="154"/>
      <c r="J394" s="154" t="s">
        <v>74</v>
      </c>
      <c r="K394" s="154" t="s">
        <v>3394</v>
      </c>
      <c r="L394" s="154"/>
      <c r="M394" s="156"/>
      <c r="N394" s="154" t="str">
        <f>IF(ISNUMBER(PL[[#This Row],[CTO]]),"CTO "&amp;PL[[#This Row],[CTO]],"Otros")</f>
        <v>CTO 8</v>
      </c>
      <c r="O394" s="154" t="str">
        <f>IF(PL[[#This Row],[STATUS IUP]]="CERRADO","CERRADO",IF(ISNUMBER(SEARCH("validacion de enel",PL[[#This Row],[SUPPLIER NOTES]])),"PTE Validar Enel","ABIERTO"))</f>
        <v>CERRADO</v>
      </c>
      <c r="P394" s="154" t="str">
        <f>IF(PL[[#This Row],[ESTADO]]="CERRADO","Cerrados IUP",IF(PL[[#This Row],[ESTADO]]="PTE Validar Enel","Pendiente cierre ENEL",IF(ISNUMBER(SEARCH("suministro",PL[[#This Row],[SUPPLIER NOTES]])),"Suministros",IF(PL[[#This Row],[SC]]="SOCIAL","Social",IF(ISNUMBER(SEARCH("monolito",PL[[#This Row],[DESCRIPTION]])),"Monolitos","Varios")))))</f>
        <v>Cerrados IUP</v>
      </c>
      <c r="Q3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5" spans="1:17" s="157" customFormat="1" hidden="1" x14ac:dyDescent="0.2">
      <c r="A395" s="151" t="s">
        <v>582</v>
      </c>
      <c r="B395" s="154" t="s">
        <v>8</v>
      </c>
      <c r="C395" s="154">
        <v>8</v>
      </c>
      <c r="D395" s="153" t="s">
        <v>3376</v>
      </c>
      <c r="E395" s="154"/>
      <c r="F395" s="154" t="s">
        <v>583</v>
      </c>
      <c r="G395" s="154" t="s">
        <v>1289</v>
      </c>
      <c r="H395" s="154"/>
      <c r="I395" s="154"/>
      <c r="J395" s="154" t="s">
        <v>74</v>
      </c>
      <c r="K395" s="154" t="s">
        <v>3394</v>
      </c>
      <c r="L395" s="154"/>
      <c r="M395" s="156"/>
      <c r="N395" s="154" t="str">
        <f>IF(ISNUMBER(PL[[#This Row],[CTO]]),"CTO "&amp;PL[[#This Row],[CTO]],"Otros")</f>
        <v>CTO 8</v>
      </c>
      <c r="O395" s="154" t="str">
        <f>IF(PL[[#This Row],[STATUS IUP]]="CERRADO","CERRADO",IF(ISNUMBER(SEARCH("validacion de enel",PL[[#This Row],[SUPPLIER NOTES]])),"PTE Validar Enel","ABIERTO"))</f>
        <v>CERRADO</v>
      </c>
      <c r="P395" s="154" t="str">
        <f>IF(PL[[#This Row],[ESTADO]]="CERRADO","Cerrados IUP",IF(PL[[#This Row],[ESTADO]]="PTE Validar Enel","Pendiente cierre ENEL",IF(ISNUMBER(SEARCH("suministro",PL[[#This Row],[SUPPLIER NOTES]])),"Suministros",IF(PL[[#This Row],[SC]]="SOCIAL","Social",IF(ISNUMBER(SEARCH("monolito",PL[[#This Row],[DESCRIPTION]])),"Monolitos","Varios")))))</f>
        <v>Cerrados IUP</v>
      </c>
      <c r="Q3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6" spans="1:17" s="157" customFormat="1" hidden="1" x14ac:dyDescent="0.2">
      <c r="A396" s="151" t="s">
        <v>584</v>
      </c>
      <c r="B396" s="154" t="s">
        <v>8</v>
      </c>
      <c r="C396" s="154">
        <v>8</v>
      </c>
      <c r="D396" s="153" t="s">
        <v>3376</v>
      </c>
      <c r="E396" s="154"/>
      <c r="F396" s="154" t="s">
        <v>585</v>
      </c>
      <c r="G396" s="154" t="s">
        <v>1290</v>
      </c>
      <c r="H396" s="154"/>
      <c r="I396" s="154"/>
      <c r="J396" s="154" t="s">
        <v>74</v>
      </c>
      <c r="K396" s="154" t="s">
        <v>3394</v>
      </c>
      <c r="L396" s="154"/>
      <c r="M396" s="156"/>
      <c r="N396" s="154" t="str">
        <f>IF(ISNUMBER(PL[[#This Row],[CTO]]),"CTO "&amp;PL[[#This Row],[CTO]],"Otros")</f>
        <v>CTO 8</v>
      </c>
      <c r="O396" s="154" t="str">
        <f>IF(PL[[#This Row],[STATUS IUP]]="CERRADO","CERRADO",IF(ISNUMBER(SEARCH("validacion de enel",PL[[#This Row],[SUPPLIER NOTES]])),"PTE Validar Enel","ABIERTO"))</f>
        <v>CERRADO</v>
      </c>
      <c r="P396" s="154" t="str">
        <f>IF(PL[[#This Row],[ESTADO]]="CERRADO","Cerrados IUP",IF(PL[[#This Row],[ESTADO]]="PTE Validar Enel","Pendiente cierre ENEL",IF(ISNUMBER(SEARCH("suministro",PL[[#This Row],[SUPPLIER NOTES]])),"Suministros",IF(PL[[#This Row],[SC]]="SOCIAL","Social",IF(ISNUMBER(SEARCH("monolito",PL[[#This Row],[DESCRIPTION]])),"Monolitos","Varios")))))</f>
        <v>Cerrados IUP</v>
      </c>
      <c r="Q3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7" spans="1:17" s="157" customFormat="1" hidden="1" x14ac:dyDescent="0.2">
      <c r="A397" s="151" t="s">
        <v>586</v>
      </c>
      <c r="B397" s="154" t="s">
        <v>8</v>
      </c>
      <c r="C397" s="154">
        <v>8</v>
      </c>
      <c r="D397" s="153" t="s">
        <v>3376</v>
      </c>
      <c r="E397" s="154"/>
      <c r="F397" s="154" t="s">
        <v>587</v>
      </c>
      <c r="G397" s="154" t="s">
        <v>1290</v>
      </c>
      <c r="H397" s="154"/>
      <c r="I397" s="154"/>
      <c r="J397" s="154" t="s">
        <v>74</v>
      </c>
      <c r="K397" s="154" t="s">
        <v>3394</v>
      </c>
      <c r="L397" s="154"/>
      <c r="M397" s="156"/>
      <c r="N397" s="154" t="str">
        <f>IF(ISNUMBER(PL[[#This Row],[CTO]]),"CTO "&amp;PL[[#This Row],[CTO]],"Otros")</f>
        <v>CTO 8</v>
      </c>
      <c r="O397" s="154" t="str">
        <f>IF(PL[[#This Row],[STATUS IUP]]="CERRADO","CERRADO",IF(ISNUMBER(SEARCH("validacion de enel",PL[[#This Row],[SUPPLIER NOTES]])),"PTE Validar Enel","ABIERTO"))</f>
        <v>CERRADO</v>
      </c>
      <c r="P397" s="154" t="str">
        <f>IF(PL[[#This Row],[ESTADO]]="CERRADO","Cerrados IUP",IF(PL[[#This Row],[ESTADO]]="PTE Validar Enel","Pendiente cierre ENEL",IF(ISNUMBER(SEARCH("suministro",PL[[#This Row],[SUPPLIER NOTES]])),"Suministros",IF(PL[[#This Row],[SC]]="SOCIAL","Social",IF(ISNUMBER(SEARCH("monolito",PL[[#This Row],[DESCRIPTION]])),"Monolitos","Varios")))))</f>
        <v>Cerrados IUP</v>
      </c>
      <c r="Q3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8" spans="1:17" s="157" customFormat="1" hidden="1" x14ac:dyDescent="0.2">
      <c r="A398" s="151" t="s">
        <v>590</v>
      </c>
      <c r="B398" s="154" t="s">
        <v>8</v>
      </c>
      <c r="C398" s="154">
        <v>8</v>
      </c>
      <c r="D398" s="153" t="s">
        <v>3376</v>
      </c>
      <c r="E398" s="154"/>
      <c r="F398" s="154" t="s">
        <v>591</v>
      </c>
      <c r="G398" s="154" t="s">
        <v>1289</v>
      </c>
      <c r="H398" s="154"/>
      <c r="I398" s="154"/>
      <c r="J398" s="154" t="s">
        <v>74</v>
      </c>
      <c r="K398" s="154" t="s">
        <v>3394</v>
      </c>
      <c r="L398" s="154"/>
      <c r="M398" s="156"/>
      <c r="N398" s="154" t="str">
        <f>IF(ISNUMBER(PL[[#This Row],[CTO]]),"CTO "&amp;PL[[#This Row],[CTO]],"Otros")</f>
        <v>CTO 8</v>
      </c>
      <c r="O398" s="154" t="str">
        <f>IF(PL[[#This Row],[STATUS IUP]]="CERRADO","CERRADO",IF(ISNUMBER(SEARCH("validacion de enel",PL[[#This Row],[SUPPLIER NOTES]])),"PTE Validar Enel","ABIERTO"))</f>
        <v>CERRADO</v>
      </c>
      <c r="P398" s="154" t="str">
        <f>IF(PL[[#This Row],[ESTADO]]="CERRADO","Cerrados IUP",IF(PL[[#This Row],[ESTADO]]="PTE Validar Enel","Pendiente cierre ENEL",IF(ISNUMBER(SEARCH("suministro",PL[[#This Row],[SUPPLIER NOTES]])),"Suministros",IF(PL[[#This Row],[SC]]="SOCIAL","Social",IF(ISNUMBER(SEARCH("monolito",PL[[#This Row],[DESCRIPTION]])),"Monolitos","Varios")))))</f>
        <v>Cerrados IUP</v>
      </c>
      <c r="Q3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399" spans="1:17" s="157" customFormat="1" hidden="1" x14ac:dyDescent="0.2">
      <c r="A399" s="151" t="s">
        <v>592</v>
      </c>
      <c r="B399" s="154" t="s">
        <v>8</v>
      </c>
      <c r="C399" s="154">
        <v>8</v>
      </c>
      <c r="D399" s="153" t="s">
        <v>3376</v>
      </c>
      <c r="E399" s="154"/>
      <c r="F399" s="154" t="s">
        <v>593</v>
      </c>
      <c r="G399" s="154" t="s">
        <v>1289</v>
      </c>
      <c r="H399" s="154"/>
      <c r="I399" s="154"/>
      <c r="J399" s="154" t="s">
        <v>74</v>
      </c>
      <c r="K399" s="154" t="s">
        <v>3394</v>
      </c>
      <c r="L399" s="154"/>
      <c r="M399" s="156"/>
      <c r="N399" s="154" t="str">
        <f>IF(ISNUMBER(PL[[#This Row],[CTO]]),"CTO "&amp;PL[[#This Row],[CTO]],"Otros")</f>
        <v>CTO 8</v>
      </c>
      <c r="O399" s="154" t="str">
        <f>IF(PL[[#This Row],[STATUS IUP]]="CERRADO","CERRADO",IF(ISNUMBER(SEARCH("validacion de enel",PL[[#This Row],[SUPPLIER NOTES]])),"PTE Validar Enel","ABIERTO"))</f>
        <v>CERRADO</v>
      </c>
      <c r="P399" s="154" t="str">
        <f>IF(PL[[#This Row],[ESTADO]]="CERRADO","Cerrados IUP",IF(PL[[#This Row],[ESTADO]]="PTE Validar Enel","Pendiente cierre ENEL",IF(ISNUMBER(SEARCH("suministro",PL[[#This Row],[SUPPLIER NOTES]])),"Suministros",IF(PL[[#This Row],[SC]]="SOCIAL","Social",IF(ISNUMBER(SEARCH("monolito",PL[[#This Row],[DESCRIPTION]])),"Monolitos","Varios")))))</f>
        <v>Cerrados IUP</v>
      </c>
      <c r="Q3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0" spans="1:17" s="157" customFormat="1" hidden="1" x14ac:dyDescent="0.2">
      <c r="A400" s="151" t="s">
        <v>594</v>
      </c>
      <c r="B400" s="154" t="s">
        <v>8</v>
      </c>
      <c r="C400" s="154">
        <v>8</v>
      </c>
      <c r="D400" s="153" t="s">
        <v>3376</v>
      </c>
      <c r="E400" s="154"/>
      <c r="F400" s="154" t="s">
        <v>595</v>
      </c>
      <c r="G400" s="154" t="s">
        <v>1289</v>
      </c>
      <c r="H400" s="154" t="s">
        <v>163</v>
      </c>
      <c r="I400" s="154" t="s">
        <v>163</v>
      </c>
      <c r="J400" s="154" t="s">
        <v>74</v>
      </c>
      <c r="K400" s="154" t="s">
        <v>3394</v>
      </c>
      <c r="L400" s="161">
        <v>46219</v>
      </c>
      <c r="M400" s="160">
        <v>46219</v>
      </c>
      <c r="N400" s="154" t="str">
        <f>IF(ISNUMBER(PL[[#This Row],[CTO]]),"CTO "&amp;PL[[#This Row],[CTO]],"Otros")</f>
        <v>CTO 8</v>
      </c>
      <c r="O400" s="154" t="str">
        <f>IF(PL[[#This Row],[STATUS IUP]]="CERRADO","CERRADO",IF(ISNUMBER(SEARCH("validacion de enel",PL[[#This Row],[SUPPLIER NOTES]])),"PTE Validar Enel","ABIERTO"))</f>
        <v>CERRADO</v>
      </c>
      <c r="P400" s="154" t="str">
        <f>IF(PL[[#This Row],[ESTADO]]="CERRADO","Cerrados IUP",IF(PL[[#This Row],[ESTADO]]="PTE Validar Enel","Pendiente cierre ENEL",IF(ISNUMBER(SEARCH("suministro",PL[[#This Row],[SUPPLIER NOTES]])),"Suministros",IF(PL[[#This Row],[SC]]="SOCIAL","Social",IF(ISNUMBER(SEARCH("monolito",PL[[#This Row],[DESCRIPTION]])),"Monolitos","Varios")))))</f>
        <v>Cerrados IUP</v>
      </c>
      <c r="Q4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1" spans="1:17" s="157" customFormat="1" hidden="1" x14ac:dyDescent="0.2">
      <c r="A401" s="151" t="s">
        <v>596</v>
      </c>
      <c r="B401" s="154" t="s">
        <v>8</v>
      </c>
      <c r="C401" s="154">
        <v>8</v>
      </c>
      <c r="D401" s="153" t="s">
        <v>3376</v>
      </c>
      <c r="E401" s="154"/>
      <c r="F401" s="154" t="s">
        <v>597</v>
      </c>
      <c r="G401" s="154" t="s">
        <v>1290</v>
      </c>
      <c r="H401" s="154"/>
      <c r="I401" s="154"/>
      <c r="J401" s="154" t="s">
        <v>74</v>
      </c>
      <c r="K401" s="154" t="s">
        <v>3394</v>
      </c>
      <c r="L401" s="154"/>
      <c r="M401" s="156"/>
      <c r="N401" s="154" t="str">
        <f>IF(ISNUMBER(PL[[#This Row],[CTO]]),"CTO "&amp;PL[[#This Row],[CTO]],"Otros")</f>
        <v>CTO 8</v>
      </c>
      <c r="O401" s="154" t="str">
        <f>IF(PL[[#This Row],[STATUS IUP]]="CERRADO","CERRADO",IF(ISNUMBER(SEARCH("validacion de enel",PL[[#This Row],[SUPPLIER NOTES]])),"PTE Validar Enel","ABIERTO"))</f>
        <v>CERRADO</v>
      </c>
      <c r="P401" s="154" t="str">
        <f>IF(PL[[#This Row],[ESTADO]]="CERRADO","Cerrados IUP",IF(PL[[#This Row],[ESTADO]]="PTE Validar Enel","Pendiente cierre ENEL",IF(ISNUMBER(SEARCH("suministro",PL[[#This Row],[SUPPLIER NOTES]])),"Suministros",IF(PL[[#This Row],[SC]]="SOCIAL","Social",IF(ISNUMBER(SEARCH("monolito",PL[[#This Row],[DESCRIPTION]])),"Monolitos","Varios")))))</f>
        <v>Cerrados IUP</v>
      </c>
      <c r="Q4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2" spans="1:17" s="157" customFormat="1" hidden="1" x14ac:dyDescent="0.2">
      <c r="A402" s="151" t="s">
        <v>600</v>
      </c>
      <c r="B402" s="154" t="s">
        <v>8</v>
      </c>
      <c r="C402" s="154">
        <v>8</v>
      </c>
      <c r="D402" s="153" t="s">
        <v>3376</v>
      </c>
      <c r="E402" s="154"/>
      <c r="F402" s="154" t="s">
        <v>601</v>
      </c>
      <c r="G402" s="154" t="s">
        <v>128</v>
      </c>
      <c r="H402" s="154" t="s">
        <v>163</v>
      </c>
      <c r="I402" s="154" t="s">
        <v>163</v>
      </c>
      <c r="J402" s="154" t="s">
        <v>74</v>
      </c>
      <c r="K402" s="154" t="s">
        <v>3394</v>
      </c>
      <c r="L402" s="161">
        <v>46219</v>
      </c>
      <c r="M402" s="160">
        <v>46219</v>
      </c>
      <c r="N402" s="154" t="str">
        <f>IF(ISNUMBER(PL[[#This Row],[CTO]]),"CTO "&amp;PL[[#This Row],[CTO]],"Otros")</f>
        <v>CTO 8</v>
      </c>
      <c r="O402" s="154" t="str">
        <f>IF(PL[[#This Row],[STATUS IUP]]="CERRADO","CERRADO",IF(ISNUMBER(SEARCH("validacion de enel",PL[[#This Row],[SUPPLIER NOTES]])),"PTE Validar Enel","ABIERTO"))</f>
        <v>CERRADO</v>
      </c>
      <c r="P402" s="154" t="str">
        <f>IF(PL[[#This Row],[ESTADO]]="CERRADO","Cerrados IUP",IF(PL[[#This Row],[ESTADO]]="PTE Validar Enel","Pendiente cierre ENEL",IF(ISNUMBER(SEARCH("suministro",PL[[#This Row],[SUPPLIER NOTES]])),"Suministros",IF(PL[[#This Row],[SC]]="SOCIAL","Social",IF(ISNUMBER(SEARCH("monolito",PL[[#This Row],[DESCRIPTION]])),"Monolitos","Varios")))))</f>
        <v>Cerrados IUP</v>
      </c>
      <c r="Q4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3" spans="1:17" s="157" customFormat="1" hidden="1" x14ac:dyDescent="0.2">
      <c r="A403" s="151" t="s">
        <v>602</v>
      </c>
      <c r="B403" s="154" t="s">
        <v>8</v>
      </c>
      <c r="C403" s="154">
        <v>8</v>
      </c>
      <c r="D403" s="153" t="s">
        <v>3376</v>
      </c>
      <c r="E403" s="154"/>
      <c r="F403" s="154" t="s">
        <v>603</v>
      </c>
      <c r="G403" s="154" t="s">
        <v>1289</v>
      </c>
      <c r="H403" s="154"/>
      <c r="I403" s="154"/>
      <c r="J403" s="154" t="s">
        <v>74</v>
      </c>
      <c r="K403" s="154" t="s">
        <v>3394</v>
      </c>
      <c r="L403" s="154"/>
      <c r="M403" s="156"/>
      <c r="N403" s="154" t="str">
        <f>IF(ISNUMBER(PL[[#This Row],[CTO]]),"CTO "&amp;PL[[#This Row],[CTO]],"Otros")</f>
        <v>CTO 8</v>
      </c>
      <c r="O403" s="154" t="str">
        <f>IF(PL[[#This Row],[STATUS IUP]]="CERRADO","CERRADO",IF(ISNUMBER(SEARCH("validacion de enel",PL[[#This Row],[SUPPLIER NOTES]])),"PTE Validar Enel","ABIERTO"))</f>
        <v>CERRADO</v>
      </c>
      <c r="P403" s="154" t="str">
        <f>IF(PL[[#This Row],[ESTADO]]="CERRADO","Cerrados IUP",IF(PL[[#This Row],[ESTADO]]="PTE Validar Enel","Pendiente cierre ENEL",IF(ISNUMBER(SEARCH("suministro",PL[[#This Row],[SUPPLIER NOTES]])),"Suministros",IF(PL[[#This Row],[SC]]="SOCIAL","Social",IF(ISNUMBER(SEARCH("monolito",PL[[#This Row],[DESCRIPTION]])),"Monolitos","Varios")))))</f>
        <v>Cerrados IUP</v>
      </c>
      <c r="Q4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4" spans="1:17" s="157" customFormat="1" hidden="1" x14ac:dyDescent="0.2">
      <c r="A404" s="151" t="s">
        <v>604</v>
      </c>
      <c r="B404" s="154" t="s">
        <v>8</v>
      </c>
      <c r="C404" s="154">
        <v>8</v>
      </c>
      <c r="D404" s="153" t="s">
        <v>3376</v>
      </c>
      <c r="E404" s="154"/>
      <c r="F404" s="154" t="s">
        <v>605</v>
      </c>
      <c r="G404" s="154" t="s">
        <v>128</v>
      </c>
      <c r="H404" s="154"/>
      <c r="I404" s="154"/>
      <c r="J404" s="154" t="s">
        <v>74</v>
      </c>
      <c r="K404" s="154" t="s">
        <v>3394</v>
      </c>
      <c r="L404" s="154"/>
      <c r="M404" s="156"/>
      <c r="N404" s="154" t="str">
        <f>IF(ISNUMBER(PL[[#This Row],[CTO]]),"CTO "&amp;PL[[#This Row],[CTO]],"Otros")</f>
        <v>CTO 8</v>
      </c>
      <c r="O404" s="154" t="str">
        <f>IF(PL[[#This Row],[STATUS IUP]]="CERRADO","CERRADO",IF(ISNUMBER(SEARCH("validacion de enel",PL[[#This Row],[SUPPLIER NOTES]])),"PTE Validar Enel","ABIERTO"))</f>
        <v>CERRADO</v>
      </c>
      <c r="P404" s="154" t="str">
        <f>IF(PL[[#This Row],[ESTADO]]="CERRADO","Cerrados IUP",IF(PL[[#This Row],[ESTADO]]="PTE Validar Enel","Pendiente cierre ENEL",IF(ISNUMBER(SEARCH("suministro",PL[[#This Row],[SUPPLIER NOTES]])),"Suministros",IF(PL[[#This Row],[SC]]="SOCIAL","Social",IF(ISNUMBER(SEARCH("monolito",PL[[#This Row],[DESCRIPTION]])),"Monolitos","Varios")))))</f>
        <v>Cerrados IUP</v>
      </c>
      <c r="Q4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5" spans="1:17" s="157" customFormat="1" hidden="1" x14ac:dyDescent="0.2">
      <c r="A405" s="151" t="s">
        <v>606</v>
      </c>
      <c r="B405" s="154" t="s">
        <v>8</v>
      </c>
      <c r="C405" s="154">
        <v>8</v>
      </c>
      <c r="D405" s="153" t="s">
        <v>3376</v>
      </c>
      <c r="E405" s="154"/>
      <c r="F405" s="154" t="s">
        <v>607</v>
      </c>
      <c r="G405" s="154" t="s">
        <v>43</v>
      </c>
      <c r="H405" s="154" t="s">
        <v>73</v>
      </c>
      <c r="I405" s="154" t="s">
        <v>73</v>
      </c>
      <c r="J405" s="154" t="s">
        <v>74</v>
      </c>
      <c r="K405" s="154" t="s">
        <v>3394</v>
      </c>
      <c r="L405" s="161">
        <v>46226</v>
      </c>
      <c r="M405" s="160">
        <v>46226</v>
      </c>
      <c r="N405" s="154" t="str">
        <f>IF(ISNUMBER(PL[[#This Row],[CTO]]),"CTO "&amp;PL[[#This Row],[CTO]],"Otros")</f>
        <v>CTO 8</v>
      </c>
      <c r="O405" s="154" t="str">
        <f>IF(PL[[#This Row],[STATUS IUP]]="CERRADO","CERRADO",IF(ISNUMBER(SEARCH("validacion de enel",PL[[#This Row],[SUPPLIER NOTES]])),"PTE Validar Enel","ABIERTO"))</f>
        <v>CERRADO</v>
      </c>
      <c r="P405" s="154" t="str">
        <f>IF(PL[[#This Row],[ESTADO]]="CERRADO","Cerrados IUP",IF(PL[[#This Row],[ESTADO]]="PTE Validar Enel","Pendiente cierre ENEL",IF(ISNUMBER(SEARCH("suministro",PL[[#This Row],[SUPPLIER NOTES]])),"Suministros",IF(PL[[#This Row],[SC]]="SOCIAL","Social",IF(ISNUMBER(SEARCH("monolito",PL[[#This Row],[DESCRIPTION]])),"Monolitos","Varios")))))</f>
        <v>Cerrados IUP</v>
      </c>
      <c r="Q4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6" spans="1:17" s="157" customFormat="1" hidden="1" x14ac:dyDescent="0.2">
      <c r="A406" s="151" t="s">
        <v>608</v>
      </c>
      <c r="B406" s="154" t="s">
        <v>8</v>
      </c>
      <c r="C406" s="154">
        <v>8</v>
      </c>
      <c r="D406" s="153" t="s">
        <v>3376</v>
      </c>
      <c r="E406" s="154"/>
      <c r="F406" s="154" t="s">
        <v>609</v>
      </c>
      <c r="G406" s="154" t="s">
        <v>1290</v>
      </c>
      <c r="H406" s="154"/>
      <c r="I406" s="154"/>
      <c r="J406" s="154" t="s">
        <v>74</v>
      </c>
      <c r="K406" s="154" t="s">
        <v>3394</v>
      </c>
      <c r="L406" s="154"/>
      <c r="M406" s="156"/>
      <c r="N406" s="154" t="str">
        <f>IF(ISNUMBER(PL[[#This Row],[CTO]]),"CTO "&amp;PL[[#This Row],[CTO]],"Otros")</f>
        <v>CTO 8</v>
      </c>
      <c r="O406" s="154" t="str">
        <f>IF(PL[[#This Row],[STATUS IUP]]="CERRADO","CERRADO",IF(ISNUMBER(SEARCH("validacion de enel",PL[[#This Row],[SUPPLIER NOTES]])),"PTE Validar Enel","ABIERTO"))</f>
        <v>CERRADO</v>
      </c>
      <c r="P406" s="154" t="str">
        <f>IF(PL[[#This Row],[ESTADO]]="CERRADO","Cerrados IUP",IF(PL[[#This Row],[ESTADO]]="PTE Validar Enel","Pendiente cierre ENEL",IF(ISNUMBER(SEARCH("suministro",PL[[#This Row],[SUPPLIER NOTES]])),"Suministros",IF(PL[[#This Row],[SC]]="SOCIAL","Social",IF(ISNUMBER(SEARCH("monolito",PL[[#This Row],[DESCRIPTION]])),"Monolitos","Varios")))))</f>
        <v>Cerrados IUP</v>
      </c>
      <c r="Q4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7" spans="1:17" s="157" customFormat="1" hidden="1" x14ac:dyDescent="0.2">
      <c r="A407" s="151" t="s">
        <v>610</v>
      </c>
      <c r="B407" s="154" t="s">
        <v>8</v>
      </c>
      <c r="C407" s="154">
        <v>8</v>
      </c>
      <c r="D407" s="153" t="s">
        <v>3376</v>
      </c>
      <c r="E407" s="154"/>
      <c r="F407" s="154" t="s">
        <v>611</v>
      </c>
      <c r="G407" s="154" t="s">
        <v>43</v>
      </c>
      <c r="H407" s="154" t="s">
        <v>73</v>
      </c>
      <c r="I407" s="154" t="s">
        <v>73</v>
      </c>
      <c r="J407" s="154" t="s">
        <v>74</v>
      </c>
      <c r="K407" s="154" t="s">
        <v>3394</v>
      </c>
      <c r="L407" s="161">
        <v>46226</v>
      </c>
      <c r="M407" s="160">
        <v>46226</v>
      </c>
      <c r="N407" s="154" t="str">
        <f>IF(ISNUMBER(PL[[#This Row],[CTO]]),"CTO "&amp;PL[[#This Row],[CTO]],"Otros")</f>
        <v>CTO 8</v>
      </c>
      <c r="O407" s="154" t="str">
        <f>IF(PL[[#This Row],[STATUS IUP]]="CERRADO","CERRADO",IF(ISNUMBER(SEARCH("validacion de enel",PL[[#This Row],[SUPPLIER NOTES]])),"PTE Validar Enel","ABIERTO"))</f>
        <v>CERRADO</v>
      </c>
      <c r="P407" s="154" t="str">
        <f>IF(PL[[#This Row],[ESTADO]]="CERRADO","Cerrados IUP",IF(PL[[#This Row],[ESTADO]]="PTE Validar Enel","Pendiente cierre ENEL",IF(ISNUMBER(SEARCH("suministro",PL[[#This Row],[SUPPLIER NOTES]])),"Suministros",IF(PL[[#This Row],[SC]]="SOCIAL","Social",IF(ISNUMBER(SEARCH("monolito",PL[[#This Row],[DESCRIPTION]])),"Monolitos","Varios")))))</f>
        <v>Cerrados IUP</v>
      </c>
      <c r="Q4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8" spans="1:17" s="157" customFormat="1" hidden="1" x14ac:dyDescent="0.2">
      <c r="A408" s="151" t="s">
        <v>612</v>
      </c>
      <c r="B408" s="154" t="s">
        <v>8</v>
      </c>
      <c r="C408" s="154">
        <v>8</v>
      </c>
      <c r="D408" s="153" t="s">
        <v>3376</v>
      </c>
      <c r="E408" s="154"/>
      <c r="F408" s="154" t="s">
        <v>613</v>
      </c>
      <c r="G408" s="154" t="s">
        <v>1290</v>
      </c>
      <c r="H408" s="154"/>
      <c r="I408" s="154"/>
      <c r="J408" s="154" t="s">
        <v>74</v>
      </c>
      <c r="K408" s="154" t="s">
        <v>3394</v>
      </c>
      <c r="L408" s="154"/>
      <c r="M408" s="156"/>
      <c r="N408" s="154" t="str">
        <f>IF(ISNUMBER(PL[[#This Row],[CTO]]),"CTO "&amp;PL[[#This Row],[CTO]],"Otros")</f>
        <v>CTO 8</v>
      </c>
      <c r="O408" s="154" t="str">
        <f>IF(PL[[#This Row],[STATUS IUP]]="CERRADO","CERRADO",IF(ISNUMBER(SEARCH("validacion de enel",PL[[#This Row],[SUPPLIER NOTES]])),"PTE Validar Enel","ABIERTO"))</f>
        <v>CERRADO</v>
      </c>
      <c r="P408" s="154" t="str">
        <f>IF(PL[[#This Row],[ESTADO]]="CERRADO","Cerrados IUP",IF(PL[[#This Row],[ESTADO]]="PTE Validar Enel","Pendiente cierre ENEL",IF(ISNUMBER(SEARCH("suministro",PL[[#This Row],[SUPPLIER NOTES]])),"Suministros",IF(PL[[#This Row],[SC]]="SOCIAL","Social",IF(ISNUMBER(SEARCH("monolito",PL[[#This Row],[DESCRIPTION]])),"Monolitos","Varios")))))</f>
        <v>Cerrados IUP</v>
      </c>
      <c r="Q4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09" spans="1:17" s="157" customFormat="1" hidden="1" x14ac:dyDescent="0.2">
      <c r="A409" s="151" t="s">
        <v>614</v>
      </c>
      <c r="B409" s="154" t="s">
        <v>8</v>
      </c>
      <c r="C409" s="154">
        <v>8</v>
      </c>
      <c r="D409" s="153" t="s">
        <v>3376</v>
      </c>
      <c r="E409" s="154"/>
      <c r="F409" s="154" t="s">
        <v>615</v>
      </c>
      <c r="G409" s="154" t="s">
        <v>43</v>
      </c>
      <c r="H409" s="154"/>
      <c r="I409" s="154"/>
      <c r="J409" s="154" t="s">
        <v>74</v>
      </c>
      <c r="K409" s="154" t="s">
        <v>3394</v>
      </c>
      <c r="L409" s="154"/>
      <c r="M409" s="156"/>
      <c r="N409" s="154" t="str">
        <f>IF(ISNUMBER(PL[[#This Row],[CTO]]),"CTO "&amp;PL[[#This Row],[CTO]],"Otros")</f>
        <v>CTO 8</v>
      </c>
      <c r="O409" s="154" t="str">
        <f>IF(PL[[#This Row],[STATUS IUP]]="CERRADO","CERRADO",IF(ISNUMBER(SEARCH("validacion de enel",PL[[#This Row],[SUPPLIER NOTES]])),"PTE Validar Enel","ABIERTO"))</f>
        <v>CERRADO</v>
      </c>
      <c r="P409" s="154" t="str">
        <f>IF(PL[[#This Row],[ESTADO]]="CERRADO","Cerrados IUP",IF(PL[[#This Row],[ESTADO]]="PTE Validar Enel","Pendiente cierre ENEL",IF(ISNUMBER(SEARCH("suministro",PL[[#This Row],[SUPPLIER NOTES]])),"Suministros",IF(PL[[#This Row],[SC]]="SOCIAL","Social",IF(ISNUMBER(SEARCH("monolito",PL[[#This Row],[DESCRIPTION]])),"Monolitos","Varios")))))</f>
        <v>Cerrados IUP</v>
      </c>
      <c r="Q4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0" spans="1:17" s="157" customFormat="1" hidden="1" x14ac:dyDescent="0.2">
      <c r="A410" s="151" t="s">
        <v>616</v>
      </c>
      <c r="B410" s="154" t="s">
        <v>8</v>
      </c>
      <c r="C410" s="154">
        <v>8</v>
      </c>
      <c r="D410" s="153" t="s">
        <v>3376</v>
      </c>
      <c r="E410" s="154"/>
      <c r="F410" s="154" t="s">
        <v>617</v>
      </c>
      <c r="G410" s="154" t="s">
        <v>397</v>
      </c>
      <c r="H410" s="154"/>
      <c r="I410" s="154"/>
      <c r="J410" s="154" t="s">
        <v>74</v>
      </c>
      <c r="K410" s="154" t="s">
        <v>3394</v>
      </c>
      <c r="L410" s="154"/>
      <c r="M410" s="156"/>
      <c r="N410" s="154" t="str">
        <f>IF(ISNUMBER(PL[[#This Row],[CTO]]),"CTO "&amp;PL[[#This Row],[CTO]],"Otros")</f>
        <v>CTO 8</v>
      </c>
      <c r="O410" s="154" t="str">
        <f>IF(PL[[#This Row],[STATUS IUP]]="CERRADO","CERRADO",IF(ISNUMBER(SEARCH("validacion de enel",PL[[#This Row],[SUPPLIER NOTES]])),"PTE Validar Enel","ABIERTO"))</f>
        <v>CERRADO</v>
      </c>
      <c r="P410" s="154" t="str">
        <f>IF(PL[[#This Row],[ESTADO]]="CERRADO","Cerrados IUP",IF(PL[[#This Row],[ESTADO]]="PTE Validar Enel","Pendiente cierre ENEL",IF(ISNUMBER(SEARCH("suministro",PL[[#This Row],[SUPPLIER NOTES]])),"Suministros",IF(PL[[#This Row],[SC]]="SOCIAL","Social",IF(ISNUMBER(SEARCH("monolito",PL[[#This Row],[DESCRIPTION]])),"Monolitos","Varios")))))</f>
        <v>Cerrados IUP</v>
      </c>
      <c r="Q4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1" spans="1:17" s="157" customFormat="1" hidden="1" x14ac:dyDescent="0.2">
      <c r="A411" s="151" t="s">
        <v>618</v>
      </c>
      <c r="B411" s="154" t="s">
        <v>8</v>
      </c>
      <c r="C411" s="154">
        <v>8</v>
      </c>
      <c r="D411" s="153" t="s">
        <v>3376</v>
      </c>
      <c r="E411" s="154"/>
      <c r="F411" s="154" t="s">
        <v>619</v>
      </c>
      <c r="G411" s="154" t="s">
        <v>397</v>
      </c>
      <c r="H411" s="154"/>
      <c r="I411" s="154"/>
      <c r="J411" s="154" t="s">
        <v>74</v>
      </c>
      <c r="K411" s="154" t="s">
        <v>3394</v>
      </c>
      <c r="L411" s="154"/>
      <c r="M411" s="156"/>
      <c r="N411" s="154" t="str">
        <f>IF(ISNUMBER(PL[[#This Row],[CTO]]),"CTO "&amp;PL[[#This Row],[CTO]],"Otros")</f>
        <v>CTO 8</v>
      </c>
      <c r="O411" s="154" t="str">
        <f>IF(PL[[#This Row],[STATUS IUP]]="CERRADO","CERRADO",IF(ISNUMBER(SEARCH("validacion de enel",PL[[#This Row],[SUPPLIER NOTES]])),"PTE Validar Enel","ABIERTO"))</f>
        <v>CERRADO</v>
      </c>
      <c r="P411" s="154" t="str">
        <f>IF(PL[[#This Row],[ESTADO]]="CERRADO","Cerrados IUP",IF(PL[[#This Row],[ESTADO]]="PTE Validar Enel","Pendiente cierre ENEL",IF(ISNUMBER(SEARCH("suministro",PL[[#This Row],[SUPPLIER NOTES]])),"Suministros",IF(PL[[#This Row],[SC]]="SOCIAL","Social",IF(ISNUMBER(SEARCH("monolito",PL[[#This Row],[DESCRIPTION]])),"Monolitos","Varios")))))</f>
        <v>Cerrados IUP</v>
      </c>
      <c r="Q4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2" spans="1:17" hidden="1" x14ac:dyDescent="0.2">
      <c r="A412" s="66" t="s">
        <v>879</v>
      </c>
      <c r="B412" s="67" t="s">
        <v>8</v>
      </c>
      <c r="C412" s="82">
        <v>8</v>
      </c>
      <c r="D412" s="68" t="s">
        <v>3376</v>
      </c>
      <c r="E412" s="67"/>
      <c r="F412" s="67" t="s">
        <v>880</v>
      </c>
      <c r="G412" s="90" t="s">
        <v>108</v>
      </c>
      <c r="H412" s="90" t="s">
        <v>3459</v>
      </c>
      <c r="I412" s="67"/>
      <c r="J412" s="67" t="s">
        <v>11</v>
      </c>
      <c r="K412" s="67" t="s">
        <v>3393</v>
      </c>
      <c r="L412" s="67"/>
      <c r="M412" s="69"/>
      <c r="N412" s="67" t="str">
        <f>IF(ISNUMBER(PL[[#This Row],[CTO]]),"CTO "&amp;PL[[#This Row],[CTO]],"Otros")</f>
        <v>CTO 8</v>
      </c>
      <c r="O412" s="67" t="str">
        <f>IF(PL[[#This Row],[STATUS IUP]]="CERRADO","CERRADO",IF(ISNUMBER(SEARCH("validacion de enel",PL[[#This Row],[SUPPLIER NOTES]])),"PTE Validar Enel","ABIERTO"))</f>
        <v>ABIERTO</v>
      </c>
      <c r="P412" s="67" t="str">
        <f>IF(PL[[#This Row],[ESTADO]]="CERRADO","Cerrados IUP",IF(PL[[#This Row],[ESTADO]]="PTE Validar Enel","Pendiente cierre ENEL",IF(ISNUMBER(SEARCH("suministro",PL[[#This Row],[SUPPLIER NOTES]])),"Suministros",IF(PL[[#This Row],[SC]]="SOCIAL","Social",IF(ISNUMBER(SEARCH("monolito",PL[[#This Row],[DESCRIPTION]])),"Monolitos","Varios")))))</f>
        <v>Varios</v>
      </c>
      <c r="Q41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3" spans="1:17" hidden="1" x14ac:dyDescent="0.2">
      <c r="A413" s="78" t="s">
        <v>893</v>
      </c>
      <c r="B413" s="79" t="s">
        <v>8</v>
      </c>
      <c r="C413" s="82">
        <v>8</v>
      </c>
      <c r="D413" s="80" t="s">
        <v>3376</v>
      </c>
      <c r="E413" s="79"/>
      <c r="F413" s="79" t="s">
        <v>894</v>
      </c>
      <c r="G413" s="82" t="s">
        <v>1289</v>
      </c>
      <c r="H413" s="79" t="s">
        <v>3457</v>
      </c>
      <c r="I413" s="79"/>
      <c r="J413" s="79" t="s">
        <v>11</v>
      </c>
      <c r="K413" s="79" t="s">
        <v>3393</v>
      </c>
      <c r="L413" s="79"/>
      <c r="M413" s="81"/>
      <c r="N413" s="79" t="str">
        <f>IF(ISNUMBER(PL[[#This Row],[CTO]]),"CTO "&amp;PL[[#This Row],[CTO]],"Otros")</f>
        <v>CTO 8</v>
      </c>
      <c r="O413" s="79" t="str">
        <f>IF(PL[[#This Row],[STATUS IUP]]="CERRADO","CERRADO",IF(ISNUMBER(SEARCH("validacion de enel",PL[[#This Row],[SUPPLIER NOTES]])),"PTE Validar Enel","ABIERTO"))</f>
        <v>ABIERTO</v>
      </c>
      <c r="P413" s="79" t="str">
        <f>IF(PL[[#This Row],[ESTADO]]="CERRADO","Cerrados IUP",IF(PL[[#This Row],[ESTADO]]="PTE Validar Enel","Pendiente cierre ENEL",IF(ISNUMBER(SEARCH("suministro",PL[[#This Row],[SUPPLIER NOTES]])),"Suministros",IF(PL[[#This Row],[SC]]="SOCIAL","Social",IF(ISNUMBER(SEARCH("monolito",PL[[#This Row],[DESCRIPTION]])),"Monolitos","Varios")))))</f>
        <v>Monolitos</v>
      </c>
      <c r="Q413"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4" spans="1:17" hidden="1" x14ac:dyDescent="0.2">
      <c r="A414" s="66" t="s">
        <v>897</v>
      </c>
      <c r="B414" s="67" t="s">
        <v>8</v>
      </c>
      <c r="C414" s="82">
        <v>8</v>
      </c>
      <c r="D414" s="68" t="s">
        <v>3376</v>
      </c>
      <c r="E414" s="67"/>
      <c r="F414" s="67" t="s">
        <v>898</v>
      </c>
      <c r="G414" s="90" t="s">
        <v>108</v>
      </c>
      <c r="H414" s="90" t="s">
        <v>3458</v>
      </c>
      <c r="I414" s="67"/>
      <c r="J414" s="67" t="s">
        <v>11</v>
      </c>
      <c r="K414" s="67" t="s">
        <v>3393</v>
      </c>
      <c r="L414" s="67"/>
      <c r="M414" s="69"/>
      <c r="N414" s="67" t="str">
        <f>IF(ISNUMBER(PL[[#This Row],[CTO]]),"CTO "&amp;PL[[#This Row],[CTO]],"Otros")</f>
        <v>CTO 8</v>
      </c>
      <c r="O414" s="67" t="str">
        <f>IF(PL[[#This Row],[STATUS IUP]]="CERRADO","CERRADO",IF(ISNUMBER(SEARCH("validacion de enel",PL[[#This Row],[SUPPLIER NOTES]])),"PTE Validar Enel","ABIERTO"))</f>
        <v>ABIERTO</v>
      </c>
      <c r="P414" s="67" t="str">
        <f>IF(PL[[#This Row],[ESTADO]]="CERRADO","Cerrados IUP",IF(PL[[#This Row],[ESTADO]]="PTE Validar Enel","Pendiente cierre ENEL",IF(ISNUMBER(SEARCH("suministro",PL[[#This Row],[SUPPLIER NOTES]])),"Suministros",IF(PL[[#This Row],[SC]]="SOCIAL","Social",IF(ISNUMBER(SEARCH("monolito",PL[[#This Row],[DESCRIPTION]])),"Monolitos","Varios")))))</f>
        <v>Varios</v>
      </c>
      <c r="Q41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5" spans="1:17" hidden="1" x14ac:dyDescent="0.2">
      <c r="A415" s="66" t="s">
        <v>901</v>
      </c>
      <c r="B415" s="67" t="s">
        <v>8</v>
      </c>
      <c r="C415" s="82">
        <v>8</v>
      </c>
      <c r="D415" s="68" t="s">
        <v>3376</v>
      </c>
      <c r="E415" s="67"/>
      <c r="F415" s="67" t="s">
        <v>902</v>
      </c>
      <c r="G415" s="82" t="s">
        <v>1290</v>
      </c>
      <c r="H415" s="90" t="s">
        <v>3458</v>
      </c>
      <c r="I415" s="67"/>
      <c r="J415" s="67" t="s">
        <v>11</v>
      </c>
      <c r="K415" s="67" t="s">
        <v>3393</v>
      </c>
      <c r="L415" s="67"/>
      <c r="M415" s="69"/>
      <c r="N415" s="67" t="str">
        <f>IF(ISNUMBER(PL[[#This Row],[CTO]]),"CTO "&amp;PL[[#This Row],[CTO]],"Otros")</f>
        <v>CTO 8</v>
      </c>
      <c r="O415" s="67" t="str">
        <f>IF(PL[[#This Row],[STATUS IUP]]="CERRADO","CERRADO",IF(ISNUMBER(SEARCH("validacion de enel",PL[[#This Row],[SUPPLIER NOTES]])),"PTE Validar Enel","ABIERTO"))</f>
        <v>ABIERTO</v>
      </c>
      <c r="P415" s="67" t="str">
        <f>IF(PL[[#This Row],[ESTADO]]="CERRADO","Cerrados IUP",IF(PL[[#This Row],[ESTADO]]="PTE Validar Enel","Pendiente cierre ENEL",IF(ISNUMBER(SEARCH("suministro",PL[[#This Row],[SUPPLIER NOTES]])),"Suministros",IF(PL[[#This Row],[SC]]="SOCIAL","Social",IF(ISNUMBER(SEARCH("monolito",PL[[#This Row],[DESCRIPTION]])),"Monolitos","Varios")))))</f>
        <v>Varios</v>
      </c>
      <c r="Q41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6" spans="1:17" hidden="1" x14ac:dyDescent="0.2">
      <c r="A416" s="66" t="s">
        <v>496</v>
      </c>
      <c r="B416" s="67" t="s">
        <v>8</v>
      </c>
      <c r="C416" s="82">
        <v>8</v>
      </c>
      <c r="D416" s="68" t="s">
        <v>3376</v>
      </c>
      <c r="E416" s="67"/>
      <c r="F416" s="67" t="s">
        <v>497</v>
      </c>
      <c r="G416" s="90" t="s">
        <v>108</v>
      </c>
      <c r="H416" s="90" t="s">
        <v>3458</v>
      </c>
      <c r="I416" s="67"/>
      <c r="J416" s="67" t="s">
        <v>11</v>
      </c>
      <c r="K416" s="67" t="s">
        <v>3393</v>
      </c>
      <c r="L416" s="67"/>
      <c r="M416" s="69"/>
      <c r="N416" s="67" t="str">
        <f>IF(ISNUMBER(PL[[#This Row],[CTO]]),"CTO "&amp;PL[[#This Row],[CTO]],"Otros")</f>
        <v>CTO 8</v>
      </c>
      <c r="O416" s="67" t="str">
        <f>IF(PL[[#This Row],[STATUS IUP]]="CERRADO","CERRADO",IF(ISNUMBER(SEARCH("validacion de enel",PL[[#This Row],[SUPPLIER NOTES]])),"PTE Validar Enel","ABIERTO"))</f>
        <v>ABIERTO</v>
      </c>
      <c r="P416" s="67" t="str">
        <f>IF(PL[[#This Row],[ESTADO]]="CERRADO","Cerrados IUP",IF(PL[[#This Row],[ESTADO]]="PTE Validar Enel","Pendiente cierre ENEL",IF(ISNUMBER(SEARCH("suministro",PL[[#This Row],[SUPPLIER NOTES]])),"Suministros",IF(PL[[#This Row],[SC]]="SOCIAL","Social",IF(ISNUMBER(SEARCH("monolito",PL[[#This Row],[DESCRIPTION]])),"Monolitos","Varios")))))</f>
        <v>Varios</v>
      </c>
      <c r="Q41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7" spans="1:17" ht="32" hidden="1" x14ac:dyDescent="0.2">
      <c r="A417" s="116" t="s">
        <v>504</v>
      </c>
      <c r="B417" s="52" t="s">
        <v>8</v>
      </c>
      <c r="C417" s="82">
        <v>8</v>
      </c>
      <c r="D417" s="118" t="s">
        <v>3376</v>
      </c>
      <c r="E417" s="117"/>
      <c r="F417" s="52" t="s">
        <v>505</v>
      </c>
      <c r="G417" s="117" t="s">
        <v>128</v>
      </c>
      <c r="H417" s="87" t="s">
        <v>3454</v>
      </c>
      <c r="I417" s="87"/>
      <c r="J417" s="87" t="s">
        <v>11</v>
      </c>
      <c r="K417" s="87" t="s">
        <v>3393</v>
      </c>
      <c r="L417" s="87"/>
      <c r="M417" s="89"/>
      <c r="N417" s="87" t="str">
        <f>IF(ISNUMBER(PL[[#This Row],[CTO]]),"CTO "&amp;PL[[#This Row],[CTO]],"Otros")</f>
        <v>CTO 8</v>
      </c>
      <c r="O417" s="87" t="str">
        <f>IF(PL[[#This Row],[STATUS IUP]]="CERRADO","CERRADO",IF(ISNUMBER(SEARCH("validacion de enel",PL[[#This Row],[SUPPLIER NOTES]])),"PTE Validar Enel","ABIERTO"))</f>
        <v>PTE Validar Enel</v>
      </c>
      <c r="P41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1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18" spans="1:17" x14ac:dyDescent="0.2">
      <c r="A418" s="75" t="s">
        <v>1107</v>
      </c>
      <c r="B418" s="74" t="s">
        <v>41</v>
      </c>
      <c r="C418" s="82">
        <v>8</v>
      </c>
      <c r="D418" s="74" t="s">
        <v>3376</v>
      </c>
      <c r="E418" s="76" t="s">
        <v>3392</v>
      </c>
      <c r="F418" s="74" t="s">
        <v>1108</v>
      </c>
      <c r="G418" s="74" t="s">
        <v>43</v>
      </c>
      <c r="H418" s="74" t="s">
        <v>3460</v>
      </c>
      <c r="I418" s="74"/>
      <c r="J418" s="74" t="s">
        <v>11</v>
      </c>
      <c r="K418" s="74" t="s">
        <v>3393</v>
      </c>
      <c r="L418" s="74"/>
      <c r="M418" s="77"/>
      <c r="N418" s="74" t="str">
        <f>IF(ISNUMBER(PL[[#This Row],[CTO]]),"CTO "&amp;PL[[#This Row],[CTO]],"Otros")</f>
        <v>CTO 8</v>
      </c>
      <c r="O418" s="74" t="str">
        <f>IF(PL[[#This Row],[STATUS IUP]]="CERRADO","CERRADO",IF(ISNUMBER(SEARCH("validacion de enel",PL[[#This Row],[SUPPLIER NOTES]])),"PTE Validar Enel","ABIERTO"))</f>
        <v>ABIERTO</v>
      </c>
      <c r="P418" s="74" t="str">
        <f>IF(PL[[#This Row],[ESTADO]]="CERRADO","Cerrados IUP",IF(PL[[#This Row],[ESTADO]]="PTE Validar Enel","Pendiente cierre ENEL",IF(ISNUMBER(SEARCH("suministro",PL[[#This Row],[SUPPLIER NOTES]])),"Suministros",IF(PL[[#This Row],[SC]]="SOCIAL","Social",IF(ISNUMBER(SEARCH("monolito",PL[[#This Row],[DESCRIPTION]])),"Monolitos","Varios")))))</f>
        <v>Suministros</v>
      </c>
      <c r="Q41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19" spans="1:17" x14ac:dyDescent="0.2">
      <c r="A419" s="75" t="s">
        <v>1109</v>
      </c>
      <c r="B419" s="74" t="s">
        <v>41</v>
      </c>
      <c r="C419" s="82">
        <v>8</v>
      </c>
      <c r="D419" s="74" t="s">
        <v>3376</v>
      </c>
      <c r="E419" s="76" t="s">
        <v>3392</v>
      </c>
      <c r="F419" s="74" t="s">
        <v>1110</v>
      </c>
      <c r="G419" s="74" t="s">
        <v>43</v>
      </c>
      <c r="H419" s="74" t="s">
        <v>3460</v>
      </c>
      <c r="I419" s="74"/>
      <c r="J419" s="74" t="s">
        <v>11</v>
      </c>
      <c r="K419" s="74" t="s">
        <v>3393</v>
      </c>
      <c r="L419" s="74"/>
      <c r="M419" s="77"/>
      <c r="N419" s="74" t="str">
        <f>IF(ISNUMBER(PL[[#This Row],[CTO]]),"CTO "&amp;PL[[#This Row],[CTO]],"Otros")</f>
        <v>CTO 8</v>
      </c>
      <c r="O419" s="74" t="str">
        <f>IF(PL[[#This Row],[STATUS IUP]]="CERRADO","CERRADO",IF(ISNUMBER(SEARCH("validacion de enel",PL[[#This Row],[SUPPLIER NOTES]])),"PTE Validar Enel","ABIERTO"))</f>
        <v>ABIERTO</v>
      </c>
      <c r="P419" s="74" t="str">
        <f>IF(PL[[#This Row],[ESTADO]]="CERRADO","Cerrados IUP",IF(PL[[#This Row],[ESTADO]]="PTE Validar Enel","Pendiente cierre ENEL",IF(ISNUMBER(SEARCH("suministro",PL[[#This Row],[SUPPLIER NOTES]])),"Suministros",IF(PL[[#This Row],[SC]]="SOCIAL","Social",IF(ISNUMBER(SEARCH("monolito",PL[[#This Row],[DESCRIPTION]])),"Monolitos","Varios")))))</f>
        <v>Suministros</v>
      </c>
      <c r="Q41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20" spans="1:17" x14ac:dyDescent="0.2">
      <c r="A420" s="75" t="s">
        <v>1111</v>
      </c>
      <c r="B420" s="74" t="s">
        <v>41</v>
      </c>
      <c r="C420" s="82">
        <v>8</v>
      </c>
      <c r="D420" s="74" t="s">
        <v>3376</v>
      </c>
      <c r="E420" s="76" t="s">
        <v>3392</v>
      </c>
      <c r="F420" s="74" t="s">
        <v>1112</v>
      </c>
      <c r="G420" s="74" t="s">
        <v>43</v>
      </c>
      <c r="H420" s="74" t="s">
        <v>3460</v>
      </c>
      <c r="I420" s="74"/>
      <c r="J420" s="74" t="s">
        <v>11</v>
      </c>
      <c r="K420" s="74" t="s">
        <v>3393</v>
      </c>
      <c r="L420" s="74"/>
      <c r="M420" s="77"/>
      <c r="N420" s="74" t="str">
        <f>IF(ISNUMBER(PL[[#This Row],[CTO]]),"CTO "&amp;PL[[#This Row],[CTO]],"Otros")</f>
        <v>CTO 8</v>
      </c>
      <c r="O420" s="74" t="str">
        <f>IF(PL[[#This Row],[STATUS IUP]]="CERRADO","CERRADO",IF(ISNUMBER(SEARCH("validacion de enel",PL[[#This Row],[SUPPLIER NOTES]])),"PTE Validar Enel","ABIERTO"))</f>
        <v>ABIERTO</v>
      </c>
      <c r="P420" s="74" t="str">
        <f>IF(PL[[#This Row],[ESTADO]]="CERRADO","Cerrados IUP",IF(PL[[#This Row],[ESTADO]]="PTE Validar Enel","Pendiente cierre ENEL",IF(ISNUMBER(SEARCH("suministro",PL[[#This Row],[SUPPLIER NOTES]])),"Suministros",IF(PL[[#This Row],[SC]]="SOCIAL","Social",IF(ISNUMBER(SEARCH("monolito",PL[[#This Row],[DESCRIPTION]])),"Monolitos","Varios")))))</f>
        <v>Suministros</v>
      </c>
      <c r="Q42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21" spans="1:17" s="157" customFormat="1" hidden="1" x14ac:dyDescent="0.2">
      <c r="A421" s="151" t="s">
        <v>1083</v>
      </c>
      <c r="B421" s="154" t="s">
        <v>41</v>
      </c>
      <c r="C421" s="154">
        <v>8</v>
      </c>
      <c r="D421" s="154" t="s">
        <v>3376</v>
      </c>
      <c r="E421" s="153" t="s">
        <v>3392</v>
      </c>
      <c r="F421" s="154" t="s">
        <v>1084</v>
      </c>
      <c r="G421" s="154" t="s">
        <v>49</v>
      </c>
      <c r="H421" s="154"/>
      <c r="I421" s="154"/>
      <c r="J421" s="154" t="s">
        <v>74</v>
      </c>
      <c r="K421" s="154" t="s">
        <v>3394</v>
      </c>
      <c r="L421" s="154"/>
      <c r="M421" s="156"/>
      <c r="N421" s="154" t="str">
        <f>IF(ISNUMBER(PL[[#This Row],[CTO]]),"CTO "&amp;PL[[#This Row],[CTO]],"Otros")</f>
        <v>CTO 8</v>
      </c>
      <c r="O421" s="154" t="str">
        <f>IF(PL[[#This Row],[STATUS IUP]]="CERRADO","CERRADO",IF(ISNUMBER(SEARCH("validacion de enel",PL[[#This Row],[SUPPLIER NOTES]])),"PTE Validar Enel","ABIERTO"))</f>
        <v>CERRADO</v>
      </c>
      <c r="P421" s="154" t="str">
        <f>IF(PL[[#This Row],[ESTADO]]="CERRADO","Cerrados IUP",IF(PL[[#This Row],[ESTADO]]="PTE Validar Enel","Pendiente cierre ENEL",IF(ISNUMBER(SEARCH("suministro",PL[[#This Row],[SUPPLIER NOTES]])),"Suministros",IF(PL[[#This Row],[SC]]="SOCIAL","Social",IF(ISNUMBER(SEARCH("monolito",PL[[#This Row],[DESCRIPTION]])),"Monolitos","Varios")))))</f>
        <v>Cerrados IUP</v>
      </c>
      <c r="Q4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422" spans="1:17" hidden="1" x14ac:dyDescent="0.2">
      <c r="A422" s="75" t="s">
        <v>1085</v>
      </c>
      <c r="B422" s="74" t="s">
        <v>41</v>
      </c>
      <c r="C422" s="82">
        <v>8</v>
      </c>
      <c r="D422" s="74" t="s">
        <v>3376</v>
      </c>
      <c r="E422" s="76" t="s">
        <v>3392</v>
      </c>
      <c r="F422" s="74" t="s">
        <v>1086</v>
      </c>
      <c r="G422" s="74" t="s">
        <v>49</v>
      </c>
      <c r="H422" s="74" t="s">
        <v>3462</v>
      </c>
      <c r="I422" s="74"/>
      <c r="J422" s="74" t="s">
        <v>11</v>
      </c>
      <c r="K422" s="74" t="s">
        <v>3393</v>
      </c>
      <c r="L422" s="74"/>
      <c r="M422" s="77"/>
      <c r="N422" s="74" t="str">
        <f>IF(ISNUMBER(PL[[#This Row],[CTO]]),"CTO "&amp;PL[[#This Row],[CTO]],"Otros")</f>
        <v>CTO 8</v>
      </c>
      <c r="O422" s="74" t="str">
        <f>IF(PL[[#This Row],[STATUS IUP]]="CERRADO","CERRADO",IF(ISNUMBER(SEARCH("validacion de enel",PL[[#This Row],[SUPPLIER NOTES]])),"PTE Validar Enel","ABIERTO"))</f>
        <v>ABIERTO</v>
      </c>
      <c r="P422" s="74" t="str">
        <f>IF(PL[[#This Row],[ESTADO]]="CERRADO","Cerrados IUP",IF(PL[[#This Row],[ESTADO]]="PTE Validar Enel","Pendiente cierre ENEL",IF(ISNUMBER(SEARCH("suministro",PL[[#This Row],[SUPPLIER NOTES]])),"Suministros",IF(PL[[#This Row],[SC]]="SOCIAL","Social",IF(ISNUMBER(SEARCH("monolito",PL[[#This Row],[DESCRIPTION]])),"Monolitos","Varios")))))</f>
        <v>Suministros</v>
      </c>
      <c r="Q42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423" spans="1:17" hidden="1" x14ac:dyDescent="0.2">
      <c r="A423" s="75" t="s">
        <v>1087</v>
      </c>
      <c r="B423" s="74" t="s">
        <v>41</v>
      </c>
      <c r="C423" s="82">
        <v>8</v>
      </c>
      <c r="D423" s="74" t="s">
        <v>3376</v>
      </c>
      <c r="E423" s="76" t="s">
        <v>3392</v>
      </c>
      <c r="F423" s="74" t="s">
        <v>1088</v>
      </c>
      <c r="G423" s="74" t="s">
        <v>49</v>
      </c>
      <c r="H423" s="74" t="s">
        <v>3462</v>
      </c>
      <c r="I423" s="74"/>
      <c r="J423" s="74" t="s">
        <v>11</v>
      </c>
      <c r="K423" s="74" t="s">
        <v>3393</v>
      </c>
      <c r="L423" s="74"/>
      <c r="M423" s="77"/>
      <c r="N423" s="74" t="str">
        <f>IF(ISNUMBER(PL[[#This Row],[CTO]]),"CTO "&amp;PL[[#This Row],[CTO]],"Otros")</f>
        <v>CTO 8</v>
      </c>
      <c r="O423" s="74" t="str">
        <f>IF(PL[[#This Row],[STATUS IUP]]="CERRADO","CERRADO",IF(ISNUMBER(SEARCH("validacion de enel",PL[[#This Row],[SUPPLIER NOTES]])),"PTE Validar Enel","ABIERTO"))</f>
        <v>ABIERTO</v>
      </c>
      <c r="P423" s="74" t="str">
        <f>IF(PL[[#This Row],[ESTADO]]="CERRADO","Cerrados IUP",IF(PL[[#This Row],[ESTADO]]="PTE Validar Enel","Pendiente cierre ENEL",IF(ISNUMBER(SEARCH("suministro",PL[[#This Row],[SUPPLIER NOTES]])),"Suministros",IF(PL[[#This Row],[SC]]="SOCIAL","Social",IF(ISNUMBER(SEARCH("monolito",PL[[#This Row],[DESCRIPTION]])),"Monolitos","Varios")))))</f>
        <v>Suministros</v>
      </c>
      <c r="Q42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424" spans="1:17" s="157" customFormat="1" hidden="1" x14ac:dyDescent="0.2">
      <c r="A424" s="151" t="s">
        <v>1252</v>
      </c>
      <c r="B424" s="154" t="s">
        <v>8</v>
      </c>
      <c r="C424" s="154">
        <v>8</v>
      </c>
      <c r="D424" s="153" t="s">
        <v>3376</v>
      </c>
      <c r="E424" s="154"/>
      <c r="F424" s="154" t="s">
        <v>1253</v>
      </c>
      <c r="G424" s="154" t="s">
        <v>43</v>
      </c>
      <c r="H424" s="154"/>
      <c r="I424" s="154"/>
      <c r="J424" s="154" t="s">
        <v>74</v>
      </c>
      <c r="K424" s="154" t="s">
        <v>3394</v>
      </c>
      <c r="L424" s="154"/>
      <c r="M424" s="156"/>
      <c r="N424" s="154" t="str">
        <f>IF(ISNUMBER(PL[[#This Row],[CTO]]),"CTO "&amp;PL[[#This Row],[CTO]],"Otros")</f>
        <v>CTO 8</v>
      </c>
      <c r="O424" s="154" t="str">
        <f>IF(PL[[#This Row],[STATUS IUP]]="CERRADO","CERRADO",IF(ISNUMBER(SEARCH("validacion de enel",PL[[#This Row],[SUPPLIER NOTES]])),"PTE Validar Enel","ABIERTO"))</f>
        <v>CERRADO</v>
      </c>
      <c r="P424" s="154" t="str">
        <f>IF(PL[[#This Row],[ESTADO]]="CERRADO","Cerrados IUP",IF(PL[[#This Row],[ESTADO]]="PTE Validar Enel","Pendiente cierre ENEL",IF(ISNUMBER(SEARCH("suministro",PL[[#This Row],[SUPPLIER NOTES]])),"Suministros",IF(PL[[#This Row],[SC]]="SOCIAL","Social",IF(ISNUMBER(SEARCH("monolito",PL[[#This Row],[DESCRIPTION]])),"Monolitos","Varios")))))</f>
        <v>Cerrados IUP</v>
      </c>
      <c r="Q4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25" spans="1:17" x14ac:dyDescent="0.2">
      <c r="A425" s="75" t="s">
        <v>1196</v>
      </c>
      <c r="B425" s="74" t="s">
        <v>8</v>
      </c>
      <c r="C425" s="82">
        <v>8</v>
      </c>
      <c r="D425" s="76" t="s">
        <v>3376</v>
      </c>
      <c r="E425" s="74"/>
      <c r="F425" s="74" t="s">
        <v>1197</v>
      </c>
      <c r="G425" s="74" t="s">
        <v>43</v>
      </c>
      <c r="H425" s="74" t="s">
        <v>3460</v>
      </c>
      <c r="I425" s="74"/>
      <c r="J425" s="74" t="s">
        <v>11</v>
      </c>
      <c r="K425" s="74" t="s">
        <v>3393</v>
      </c>
      <c r="L425" s="74"/>
      <c r="M425" s="77"/>
      <c r="N425" s="74" t="str">
        <f>IF(ISNUMBER(PL[[#This Row],[CTO]]),"CTO "&amp;PL[[#This Row],[CTO]],"Otros")</f>
        <v>CTO 8</v>
      </c>
      <c r="O425" s="74" t="str">
        <f>IF(PL[[#This Row],[STATUS IUP]]="CERRADO","CERRADO",IF(ISNUMBER(SEARCH("validacion de enel",PL[[#This Row],[SUPPLIER NOTES]])),"PTE Validar Enel","ABIERTO"))</f>
        <v>ABIERTO</v>
      </c>
      <c r="P425" s="74" t="str">
        <f>IF(PL[[#This Row],[ESTADO]]="CERRADO","Cerrados IUP",IF(PL[[#This Row],[ESTADO]]="PTE Validar Enel","Pendiente cierre ENEL",IF(ISNUMBER(SEARCH("suministro",PL[[#This Row],[SUPPLIER NOTES]])),"Suministros",IF(PL[[#This Row],[SC]]="SOCIAL","Social",IF(ISNUMBER(SEARCH("monolito",PL[[#This Row],[DESCRIPTION]])),"Monolitos","Varios")))))</f>
        <v>Suministros</v>
      </c>
      <c r="Q42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26" spans="1:17" s="157" customFormat="1" hidden="1" x14ac:dyDescent="0.2">
      <c r="A426" s="151" t="s">
        <v>1226</v>
      </c>
      <c r="B426" s="154" t="s">
        <v>8</v>
      </c>
      <c r="C426" s="154">
        <v>8</v>
      </c>
      <c r="D426" s="153" t="s">
        <v>3376</v>
      </c>
      <c r="E426" s="154"/>
      <c r="F426" s="154" t="s">
        <v>1227</v>
      </c>
      <c r="G426" s="154" t="s">
        <v>43</v>
      </c>
      <c r="H426" s="154"/>
      <c r="I426" s="154"/>
      <c r="J426" s="154" t="s">
        <v>74</v>
      </c>
      <c r="K426" s="154" t="s">
        <v>3394</v>
      </c>
      <c r="L426" s="154"/>
      <c r="M426" s="156"/>
      <c r="N426" s="154" t="str">
        <f>IF(ISNUMBER(PL[[#This Row],[CTO]]),"CTO "&amp;PL[[#This Row],[CTO]],"Otros")</f>
        <v>CTO 8</v>
      </c>
      <c r="O426" s="154" t="str">
        <f>IF(PL[[#This Row],[STATUS IUP]]="CERRADO","CERRADO",IF(ISNUMBER(SEARCH("validacion de enel",PL[[#This Row],[SUPPLIER NOTES]])),"PTE Validar Enel","ABIERTO"))</f>
        <v>CERRADO</v>
      </c>
      <c r="P426" s="154" t="str">
        <f>IF(PL[[#This Row],[ESTADO]]="CERRADO","Cerrados IUP",IF(PL[[#This Row],[ESTADO]]="PTE Validar Enel","Pendiente cierre ENEL",IF(ISNUMBER(SEARCH("suministro",PL[[#This Row],[SUPPLIER NOTES]])),"Suministros",IF(PL[[#This Row],[SC]]="SOCIAL","Social",IF(ISNUMBER(SEARCH("monolito",PL[[#This Row],[DESCRIPTION]])),"Monolitos","Varios")))))</f>
        <v>Cerrados IUP</v>
      </c>
      <c r="Q4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27" spans="1:17" s="157" customFormat="1" hidden="1" x14ac:dyDescent="0.2">
      <c r="A427" s="151" t="s">
        <v>1228</v>
      </c>
      <c r="B427" s="154" t="s">
        <v>8</v>
      </c>
      <c r="C427" s="154">
        <v>8</v>
      </c>
      <c r="D427" s="153" t="s">
        <v>3376</v>
      </c>
      <c r="E427" s="154"/>
      <c r="F427" s="154" t="s">
        <v>1229</v>
      </c>
      <c r="G427" s="154" t="s">
        <v>43</v>
      </c>
      <c r="H427" s="154"/>
      <c r="I427" s="154"/>
      <c r="J427" s="154" t="s">
        <v>74</v>
      </c>
      <c r="K427" s="154" t="s">
        <v>3394</v>
      </c>
      <c r="L427" s="154"/>
      <c r="M427" s="156"/>
      <c r="N427" s="154" t="str">
        <f>IF(ISNUMBER(PL[[#This Row],[CTO]]),"CTO "&amp;PL[[#This Row],[CTO]],"Otros")</f>
        <v>CTO 8</v>
      </c>
      <c r="O427" s="154" t="str">
        <f>IF(PL[[#This Row],[STATUS IUP]]="CERRADO","CERRADO",IF(ISNUMBER(SEARCH("validacion de enel",PL[[#This Row],[SUPPLIER NOTES]])),"PTE Validar Enel","ABIERTO"))</f>
        <v>CERRADO</v>
      </c>
      <c r="P427" s="154" t="str">
        <f>IF(PL[[#This Row],[ESTADO]]="CERRADO","Cerrados IUP",IF(PL[[#This Row],[ESTADO]]="PTE Validar Enel","Pendiente cierre ENEL",IF(ISNUMBER(SEARCH("suministro",PL[[#This Row],[SUPPLIER NOTES]])),"Suministros",IF(PL[[#This Row],[SC]]="SOCIAL","Social",IF(ISNUMBER(SEARCH("monolito",PL[[#This Row],[DESCRIPTION]])),"Monolitos","Varios")))))</f>
        <v>Cerrados IUP</v>
      </c>
      <c r="Q4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28" spans="1:17" s="157" customFormat="1" hidden="1" x14ac:dyDescent="0.2">
      <c r="A428" s="151" t="s">
        <v>50</v>
      </c>
      <c r="B428" s="154" t="s">
        <v>47</v>
      </c>
      <c r="C428" s="154">
        <v>8</v>
      </c>
      <c r="D428" s="153" t="s">
        <v>3377</v>
      </c>
      <c r="E428" s="154"/>
      <c r="F428" s="154" t="s">
        <v>51</v>
      </c>
      <c r="G428" s="154" t="s">
        <v>49</v>
      </c>
      <c r="H428" s="154"/>
      <c r="I428" s="154"/>
      <c r="J428" s="154" t="s">
        <v>74</v>
      </c>
      <c r="K428" s="154" t="s">
        <v>3394</v>
      </c>
      <c r="L428" s="154"/>
      <c r="M428" s="156"/>
      <c r="N428" s="154" t="str">
        <f>IF(ISNUMBER(PL[[#This Row],[CTO]]),"CTO "&amp;PL[[#This Row],[CTO]],"Otros")</f>
        <v>CTO 8</v>
      </c>
      <c r="O428" s="154" t="str">
        <f>IF(PL[[#This Row],[STATUS IUP]]="CERRADO","CERRADO",IF(ISNUMBER(SEARCH("validacion de enel",PL[[#This Row],[SUPPLIER NOTES]])),"PTE Validar Enel","ABIERTO"))</f>
        <v>CERRADO</v>
      </c>
      <c r="P428" s="154" t="str">
        <f>IF(PL[[#This Row],[ESTADO]]="CERRADO","Cerrados IUP",IF(PL[[#This Row],[ESTADO]]="PTE Validar Enel","Pendiente cierre ENEL",IF(ISNUMBER(SEARCH("suministro",PL[[#This Row],[SUPPLIER NOTES]])),"Suministros",IF(PL[[#This Row],[SC]]="SOCIAL","Social",IF(ISNUMBER(SEARCH("monolito",PL[[#This Row],[DESCRIPTION]])),"Monolitos","Varios")))))</f>
        <v>Cerrados IUP</v>
      </c>
      <c r="Q4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29" spans="1:17" s="157" customFormat="1" hidden="1" x14ac:dyDescent="0.2">
      <c r="A429" s="151" t="s">
        <v>620</v>
      </c>
      <c r="B429" s="154" t="s">
        <v>8</v>
      </c>
      <c r="C429" s="154">
        <v>8</v>
      </c>
      <c r="D429" s="153" t="s">
        <v>3377</v>
      </c>
      <c r="E429" s="154"/>
      <c r="F429" s="154" t="s">
        <v>621</v>
      </c>
      <c r="G429" s="154" t="s">
        <v>108</v>
      </c>
      <c r="H429" s="154"/>
      <c r="I429" s="154"/>
      <c r="J429" s="154" t="s">
        <v>74</v>
      </c>
      <c r="K429" s="154" t="s">
        <v>3394</v>
      </c>
      <c r="L429" s="154"/>
      <c r="M429" s="156"/>
      <c r="N429" s="154" t="str">
        <f>IF(ISNUMBER(PL[[#This Row],[CTO]]),"CTO "&amp;PL[[#This Row],[CTO]],"Otros")</f>
        <v>CTO 8</v>
      </c>
      <c r="O429" s="154" t="str">
        <f>IF(PL[[#This Row],[STATUS IUP]]="CERRADO","CERRADO",IF(ISNUMBER(SEARCH("validacion de enel",PL[[#This Row],[SUPPLIER NOTES]])),"PTE Validar Enel","ABIERTO"))</f>
        <v>CERRADO</v>
      </c>
      <c r="P429" s="154" t="str">
        <f>IF(PL[[#This Row],[ESTADO]]="CERRADO","Cerrados IUP",IF(PL[[#This Row],[ESTADO]]="PTE Validar Enel","Pendiente cierre ENEL",IF(ISNUMBER(SEARCH("suministro",PL[[#This Row],[SUPPLIER NOTES]])),"Suministros",IF(PL[[#This Row],[SC]]="SOCIAL","Social",IF(ISNUMBER(SEARCH("monolito",PL[[#This Row],[DESCRIPTION]])),"Monolitos","Varios")))))</f>
        <v>Cerrados IUP</v>
      </c>
      <c r="Q4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0" spans="1:17" s="157" customFormat="1" hidden="1" x14ac:dyDescent="0.2">
      <c r="A430" s="151" t="s">
        <v>623</v>
      </c>
      <c r="B430" s="154" t="s">
        <v>8</v>
      </c>
      <c r="C430" s="154">
        <v>8</v>
      </c>
      <c r="D430" s="153" t="s">
        <v>3377</v>
      </c>
      <c r="E430" s="154"/>
      <c r="F430" s="154" t="s">
        <v>624</v>
      </c>
      <c r="G430" s="154" t="s">
        <v>1289</v>
      </c>
      <c r="H430" s="154"/>
      <c r="I430" s="154"/>
      <c r="J430" s="154" t="s">
        <v>74</v>
      </c>
      <c r="K430" s="154" t="s">
        <v>3394</v>
      </c>
      <c r="L430" s="154"/>
      <c r="M430" s="156"/>
      <c r="N430" s="154" t="str">
        <f>IF(ISNUMBER(PL[[#This Row],[CTO]]),"CTO "&amp;PL[[#This Row],[CTO]],"Otros")</f>
        <v>CTO 8</v>
      </c>
      <c r="O430" s="154" t="str">
        <f>IF(PL[[#This Row],[STATUS IUP]]="CERRADO","CERRADO",IF(ISNUMBER(SEARCH("validacion de enel",PL[[#This Row],[SUPPLIER NOTES]])),"PTE Validar Enel","ABIERTO"))</f>
        <v>CERRADO</v>
      </c>
      <c r="P430" s="154" t="str">
        <f>IF(PL[[#This Row],[ESTADO]]="CERRADO","Cerrados IUP",IF(PL[[#This Row],[ESTADO]]="PTE Validar Enel","Pendiente cierre ENEL",IF(ISNUMBER(SEARCH("suministro",PL[[#This Row],[SUPPLIER NOTES]])),"Suministros",IF(PL[[#This Row],[SC]]="SOCIAL","Social",IF(ISNUMBER(SEARCH("monolito",PL[[#This Row],[DESCRIPTION]])),"Monolitos","Varios")))))</f>
        <v>Cerrados IUP</v>
      </c>
      <c r="Q4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1" spans="1:17" ht="32" x14ac:dyDescent="0.2">
      <c r="A431" s="86" t="s">
        <v>627</v>
      </c>
      <c r="B431" s="115" t="s">
        <v>8</v>
      </c>
      <c r="C431" s="82">
        <v>8</v>
      </c>
      <c r="D431" s="88" t="s">
        <v>3377</v>
      </c>
      <c r="E431" s="87"/>
      <c r="F431" s="115" t="s">
        <v>628</v>
      </c>
      <c r="G431" s="87" t="s">
        <v>43</v>
      </c>
      <c r="H431" s="87" t="s">
        <v>3454</v>
      </c>
      <c r="I431" s="87"/>
      <c r="J431" s="87" t="s">
        <v>622</v>
      </c>
      <c r="K431" s="87" t="s">
        <v>3393</v>
      </c>
      <c r="L431" s="87"/>
      <c r="M431" s="89"/>
      <c r="N431" s="87" t="str">
        <f>IF(ISNUMBER(PL[[#This Row],[CTO]]),"CTO "&amp;PL[[#This Row],[CTO]],"Otros")</f>
        <v>CTO 8</v>
      </c>
      <c r="O431" s="87" t="str">
        <f>IF(PL[[#This Row],[STATUS IUP]]="CERRADO","CERRADO",IF(ISNUMBER(SEARCH("validacion de enel",PL[[#This Row],[SUPPLIER NOTES]])),"PTE Validar Enel","ABIERTO"))</f>
        <v>PTE Validar Enel</v>
      </c>
      <c r="P43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3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32" spans="1:17" s="157" customFormat="1" hidden="1" x14ac:dyDescent="0.2">
      <c r="A432" s="151" t="s">
        <v>633</v>
      </c>
      <c r="B432" s="154" t="s">
        <v>8</v>
      </c>
      <c r="C432" s="154">
        <v>8</v>
      </c>
      <c r="D432" s="153" t="s">
        <v>3377</v>
      </c>
      <c r="E432" s="154"/>
      <c r="F432" s="154" t="s">
        <v>634</v>
      </c>
      <c r="G432" s="154" t="s">
        <v>108</v>
      </c>
      <c r="H432" s="154"/>
      <c r="I432" s="154"/>
      <c r="J432" s="154" t="s">
        <v>74</v>
      </c>
      <c r="K432" s="154" t="s">
        <v>3394</v>
      </c>
      <c r="L432" s="154"/>
      <c r="M432" s="156"/>
      <c r="N432" s="154" t="str">
        <f>IF(ISNUMBER(PL[[#This Row],[CTO]]),"CTO "&amp;PL[[#This Row],[CTO]],"Otros")</f>
        <v>CTO 8</v>
      </c>
      <c r="O432" s="154" t="str">
        <f>IF(PL[[#This Row],[STATUS IUP]]="CERRADO","CERRADO",IF(ISNUMBER(SEARCH("validacion de enel",PL[[#This Row],[SUPPLIER NOTES]])),"PTE Validar Enel","ABIERTO"))</f>
        <v>CERRADO</v>
      </c>
      <c r="P432" s="154" t="str">
        <f>IF(PL[[#This Row],[ESTADO]]="CERRADO","Cerrados IUP",IF(PL[[#This Row],[ESTADO]]="PTE Validar Enel","Pendiente cierre ENEL",IF(ISNUMBER(SEARCH("suministro",PL[[#This Row],[SUPPLIER NOTES]])),"Suministros",IF(PL[[#This Row],[SC]]="SOCIAL","Social",IF(ISNUMBER(SEARCH("monolito",PL[[#This Row],[DESCRIPTION]])),"Monolitos","Varios")))))</f>
        <v>Cerrados IUP</v>
      </c>
      <c r="Q4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3" spans="1:17" s="157" customFormat="1" hidden="1" x14ac:dyDescent="0.2">
      <c r="A433" s="151" t="s">
        <v>635</v>
      </c>
      <c r="B433" s="154" t="s">
        <v>8</v>
      </c>
      <c r="C433" s="154">
        <v>8</v>
      </c>
      <c r="D433" s="153" t="s">
        <v>3377</v>
      </c>
      <c r="E433" s="154"/>
      <c r="F433" s="154" t="s">
        <v>636</v>
      </c>
      <c r="G433" s="154" t="s">
        <v>43</v>
      </c>
      <c r="H433" s="154"/>
      <c r="I433" s="154"/>
      <c r="J433" s="154" t="s">
        <v>74</v>
      </c>
      <c r="K433" s="154" t="s">
        <v>3394</v>
      </c>
      <c r="L433" s="154"/>
      <c r="M433" s="156"/>
      <c r="N433" s="154" t="str">
        <f>IF(ISNUMBER(PL[[#This Row],[CTO]]),"CTO "&amp;PL[[#This Row],[CTO]],"Otros")</f>
        <v>CTO 8</v>
      </c>
      <c r="O433" s="154" t="str">
        <f>IF(PL[[#This Row],[STATUS IUP]]="CERRADO","CERRADO",IF(ISNUMBER(SEARCH("validacion de enel",PL[[#This Row],[SUPPLIER NOTES]])),"PTE Validar Enel","ABIERTO"))</f>
        <v>CERRADO</v>
      </c>
      <c r="P433" s="154" t="str">
        <f>IF(PL[[#This Row],[ESTADO]]="CERRADO","Cerrados IUP",IF(PL[[#This Row],[ESTADO]]="PTE Validar Enel","Pendiente cierre ENEL",IF(ISNUMBER(SEARCH("suministro",PL[[#This Row],[SUPPLIER NOTES]])),"Suministros",IF(PL[[#This Row],[SC]]="SOCIAL","Social",IF(ISNUMBER(SEARCH("monolito",PL[[#This Row],[DESCRIPTION]])),"Monolitos","Varios")))))</f>
        <v>Cerrados IUP</v>
      </c>
      <c r="Q4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4" spans="1:17" s="157" customFormat="1" hidden="1" x14ac:dyDescent="0.2">
      <c r="A434" s="151" t="s">
        <v>637</v>
      </c>
      <c r="B434" s="154" t="s">
        <v>8</v>
      </c>
      <c r="C434" s="154">
        <v>8</v>
      </c>
      <c r="D434" s="153" t="s">
        <v>3377</v>
      </c>
      <c r="E434" s="154"/>
      <c r="F434" s="154" t="s">
        <v>638</v>
      </c>
      <c r="G434" s="154" t="s">
        <v>1290</v>
      </c>
      <c r="H434" s="154"/>
      <c r="I434" s="154"/>
      <c r="J434" s="154" t="s">
        <v>74</v>
      </c>
      <c r="K434" s="154" t="s">
        <v>3394</v>
      </c>
      <c r="L434" s="154"/>
      <c r="M434" s="156"/>
      <c r="N434" s="154" t="str">
        <f>IF(ISNUMBER(PL[[#This Row],[CTO]]),"CTO "&amp;PL[[#This Row],[CTO]],"Otros")</f>
        <v>CTO 8</v>
      </c>
      <c r="O434" s="154" t="str">
        <f>IF(PL[[#This Row],[STATUS IUP]]="CERRADO","CERRADO",IF(ISNUMBER(SEARCH("validacion de enel",PL[[#This Row],[SUPPLIER NOTES]])),"PTE Validar Enel","ABIERTO"))</f>
        <v>CERRADO</v>
      </c>
      <c r="P434" s="154" t="str">
        <f>IF(PL[[#This Row],[ESTADO]]="CERRADO","Cerrados IUP",IF(PL[[#This Row],[ESTADO]]="PTE Validar Enel","Pendiente cierre ENEL",IF(ISNUMBER(SEARCH("suministro",PL[[#This Row],[SUPPLIER NOTES]])),"Suministros",IF(PL[[#This Row],[SC]]="SOCIAL","Social",IF(ISNUMBER(SEARCH("monolito",PL[[#This Row],[DESCRIPTION]])),"Monolitos","Varios")))))</f>
        <v>Cerrados IUP</v>
      </c>
      <c r="Q4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5" spans="1:17" s="157" customFormat="1" hidden="1" x14ac:dyDescent="0.2">
      <c r="A435" s="151" t="s">
        <v>639</v>
      </c>
      <c r="B435" s="154" t="s">
        <v>8</v>
      </c>
      <c r="C435" s="154">
        <v>8</v>
      </c>
      <c r="D435" s="153" t="s">
        <v>3377</v>
      </c>
      <c r="E435" s="154"/>
      <c r="F435" s="154" t="s">
        <v>640</v>
      </c>
      <c r="G435" s="154" t="s">
        <v>1289</v>
      </c>
      <c r="H435" s="154"/>
      <c r="I435" s="154"/>
      <c r="J435" s="154" t="s">
        <v>74</v>
      </c>
      <c r="K435" s="154" t="s">
        <v>3394</v>
      </c>
      <c r="L435" s="154"/>
      <c r="M435" s="156"/>
      <c r="N435" s="154" t="str">
        <f>IF(ISNUMBER(PL[[#This Row],[CTO]]),"CTO "&amp;PL[[#This Row],[CTO]],"Otros")</f>
        <v>CTO 8</v>
      </c>
      <c r="O435" s="154" t="str">
        <f>IF(PL[[#This Row],[STATUS IUP]]="CERRADO","CERRADO",IF(ISNUMBER(SEARCH("validacion de enel",PL[[#This Row],[SUPPLIER NOTES]])),"PTE Validar Enel","ABIERTO"))</f>
        <v>CERRADO</v>
      </c>
      <c r="P435" s="154" t="str">
        <f>IF(PL[[#This Row],[ESTADO]]="CERRADO","Cerrados IUP",IF(PL[[#This Row],[ESTADO]]="PTE Validar Enel","Pendiente cierre ENEL",IF(ISNUMBER(SEARCH("suministro",PL[[#This Row],[SUPPLIER NOTES]])),"Suministros",IF(PL[[#This Row],[SC]]="SOCIAL","Social",IF(ISNUMBER(SEARCH("monolito",PL[[#This Row],[DESCRIPTION]])),"Monolitos","Varios")))))</f>
        <v>Cerrados IUP</v>
      </c>
      <c r="Q4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6" spans="1:17" s="157" customFormat="1" hidden="1" x14ac:dyDescent="0.2">
      <c r="A436" s="151" t="s">
        <v>643</v>
      </c>
      <c r="B436" s="154" t="s">
        <v>8</v>
      </c>
      <c r="C436" s="154">
        <v>8</v>
      </c>
      <c r="D436" s="153" t="s">
        <v>3377</v>
      </c>
      <c r="E436" s="154"/>
      <c r="F436" s="154" t="s">
        <v>644</v>
      </c>
      <c r="G436" s="154" t="s">
        <v>1289</v>
      </c>
      <c r="H436" s="154"/>
      <c r="I436" s="154"/>
      <c r="J436" s="154" t="s">
        <v>74</v>
      </c>
      <c r="K436" s="154" t="s">
        <v>3394</v>
      </c>
      <c r="L436" s="154"/>
      <c r="M436" s="156"/>
      <c r="N436" s="154" t="str">
        <f>IF(ISNUMBER(PL[[#This Row],[CTO]]),"CTO "&amp;PL[[#This Row],[CTO]],"Otros")</f>
        <v>CTO 8</v>
      </c>
      <c r="O436" s="154" t="str">
        <f>IF(PL[[#This Row],[STATUS IUP]]="CERRADO","CERRADO",IF(ISNUMBER(SEARCH("validacion de enel",PL[[#This Row],[SUPPLIER NOTES]])),"PTE Validar Enel","ABIERTO"))</f>
        <v>CERRADO</v>
      </c>
      <c r="P436" s="154" t="str">
        <f>IF(PL[[#This Row],[ESTADO]]="CERRADO","Cerrados IUP",IF(PL[[#This Row],[ESTADO]]="PTE Validar Enel","Pendiente cierre ENEL",IF(ISNUMBER(SEARCH("suministro",PL[[#This Row],[SUPPLIER NOTES]])),"Suministros",IF(PL[[#This Row],[SC]]="SOCIAL","Social",IF(ISNUMBER(SEARCH("monolito",PL[[#This Row],[DESCRIPTION]])),"Monolitos","Varios")))))</f>
        <v>Cerrados IUP</v>
      </c>
      <c r="Q4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7" spans="1:17" s="157" customFormat="1" hidden="1" x14ac:dyDescent="0.2">
      <c r="A437" s="151" t="s">
        <v>645</v>
      </c>
      <c r="B437" s="154" t="s">
        <v>8</v>
      </c>
      <c r="C437" s="154">
        <v>8</v>
      </c>
      <c r="D437" s="153" t="s">
        <v>3377</v>
      </c>
      <c r="E437" s="154"/>
      <c r="F437" s="154" t="s">
        <v>646</v>
      </c>
      <c r="G437" s="154" t="s">
        <v>1290</v>
      </c>
      <c r="H437" s="154"/>
      <c r="I437" s="154"/>
      <c r="J437" s="154" t="s">
        <v>74</v>
      </c>
      <c r="K437" s="154" t="s">
        <v>3394</v>
      </c>
      <c r="L437" s="154"/>
      <c r="M437" s="156"/>
      <c r="N437" s="154" t="str">
        <f>IF(ISNUMBER(PL[[#This Row],[CTO]]),"CTO "&amp;PL[[#This Row],[CTO]],"Otros")</f>
        <v>CTO 8</v>
      </c>
      <c r="O437" s="154" t="str">
        <f>IF(PL[[#This Row],[STATUS IUP]]="CERRADO","CERRADO",IF(ISNUMBER(SEARCH("validacion de enel",PL[[#This Row],[SUPPLIER NOTES]])),"PTE Validar Enel","ABIERTO"))</f>
        <v>CERRADO</v>
      </c>
      <c r="P437" s="154" t="str">
        <f>IF(PL[[#This Row],[ESTADO]]="CERRADO","Cerrados IUP",IF(PL[[#This Row],[ESTADO]]="PTE Validar Enel","Pendiente cierre ENEL",IF(ISNUMBER(SEARCH("suministro",PL[[#This Row],[SUPPLIER NOTES]])),"Suministros",IF(PL[[#This Row],[SC]]="SOCIAL","Social",IF(ISNUMBER(SEARCH("monolito",PL[[#This Row],[DESCRIPTION]])),"Monolitos","Varios")))))</f>
        <v>Cerrados IUP</v>
      </c>
      <c r="Q4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8" spans="1:17" s="157" customFormat="1" hidden="1" x14ac:dyDescent="0.2">
      <c r="A438" s="151" t="s">
        <v>647</v>
      </c>
      <c r="B438" s="154" t="s">
        <v>8</v>
      </c>
      <c r="C438" s="154">
        <v>8</v>
      </c>
      <c r="D438" s="153" t="s">
        <v>3377</v>
      </c>
      <c r="E438" s="154"/>
      <c r="F438" s="154" t="s">
        <v>648</v>
      </c>
      <c r="G438" s="154" t="s">
        <v>1289</v>
      </c>
      <c r="H438" s="154"/>
      <c r="I438" s="154"/>
      <c r="J438" s="154" t="s">
        <v>74</v>
      </c>
      <c r="K438" s="154" t="s">
        <v>3394</v>
      </c>
      <c r="L438" s="154"/>
      <c r="M438" s="156"/>
      <c r="N438" s="154" t="str">
        <f>IF(ISNUMBER(PL[[#This Row],[CTO]]),"CTO "&amp;PL[[#This Row],[CTO]],"Otros")</f>
        <v>CTO 8</v>
      </c>
      <c r="O438" s="154" t="str">
        <f>IF(PL[[#This Row],[STATUS IUP]]="CERRADO","CERRADO",IF(ISNUMBER(SEARCH("validacion de enel",PL[[#This Row],[SUPPLIER NOTES]])),"PTE Validar Enel","ABIERTO"))</f>
        <v>CERRADO</v>
      </c>
      <c r="P438" s="154" t="str">
        <f>IF(PL[[#This Row],[ESTADO]]="CERRADO","Cerrados IUP",IF(PL[[#This Row],[ESTADO]]="PTE Validar Enel","Pendiente cierre ENEL",IF(ISNUMBER(SEARCH("suministro",PL[[#This Row],[SUPPLIER NOTES]])),"Suministros",IF(PL[[#This Row],[SC]]="SOCIAL","Social",IF(ISNUMBER(SEARCH("monolito",PL[[#This Row],[DESCRIPTION]])),"Monolitos","Varios")))))</f>
        <v>Cerrados IUP</v>
      </c>
      <c r="Q4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39" spans="1:17" s="157" customFormat="1" hidden="1" x14ac:dyDescent="0.2">
      <c r="A439" s="151" t="s">
        <v>649</v>
      </c>
      <c r="B439" s="154" t="s">
        <v>8</v>
      </c>
      <c r="C439" s="154">
        <v>8</v>
      </c>
      <c r="D439" s="153" t="s">
        <v>3377</v>
      </c>
      <c r="E439" s="154"/>
      <c r="F439" s="154" t="s">
        <v>650</v>
      </c>
      <c r="G439" s="154" t="s">
        <v>1290</v>
      </c>
      <c r="H439" s="154" t="s">
        <v>73</v>
      </c>
      <c r="I439" s="154" t="s">
        <v>73</v>
      </c>
      <c r="J439" s="154" t="s">
        <v>74</v>
      </c>
      <c r="K439" s="154" t="s">
        <v>3394</v>
      </c>
      <c r="L439" s="161">
        <v>46231</v>
      </c>
      <c r="M439" s="160">
        <v>46231</v>
      </c>
      <c r="N439" s="154" t="str">
        <f>IF(ISNUMBER(PL[[#This Row],[CTO]]),"CTO "&amp;PL[[#This Row],[CTO]],"Otros")</f>
        <v>CTO 8</v>
      </c>
      <c r="O439" s="154" t="str">
        <f>IF(PL[[#This Row],[STATUS IUP]]="CERRADO","CERRADO",IF(ISNUMBER(SEARCH("validacion de enel",PL[[#This Row],[SUPPLIER NOTES]])),"PTE Validar Enel","ABIERTO"))</f>
        <v>CERRADO</v>
      </c>
      <c r="P439" s="154" t="str">
        <f>IF(PL[[#This Row],[ESTADO]]="CERRADO","Cerrados IUP",IF(PL[[#This Row],[ESTADO]]="PTE Validar Enel","Pendiente cierre ENEL",IF(ISNUMBER(SEARCH("suministro",PL[[#This Row],[SUPPLIER NOTES]])),"Suministros",IF(PL[[#This Row],[SC]]="SOCIAL","Social",IF(ISNUMBER(SEARCH("monolito",PL[[#This Row],[DESCRIPTION]])),"Monolitos","Varios")))))</f>
        <v>Cerrados IUP</v>
      </c>
      <c r="Q4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0" spans="1:17" s="157" customFormat="1" hidden="1" x14ac:dyDescent="0.2">
      <c r="A440" s="151" t="s">
        <v>655</v>
      </c>
      <c r="B440" s="154" t="s">
        <v>8</v>
      </c>
      <c r="C440" s="154">
        <v>8</v>
      </c>
      <c r="D440" s="153" t="s">
        <v>3377</v>
      </c>
      <c r="E440" s="154"/>
      <c r="F440" s="154" t="s">
        <v>656</v>
      </c>
      <c r="G440" s="154" t="s">
        <v>1289</v>
      </c>
      <c r="H440" s="154"/>
      <c r="I440" s="154"/>
      <c r="J440" s="154" t="s">
        <v>74</v>
      </c>
      <c r="K440" s="154" t="s">
        <v>3394</v>
      </c>
      <c r="L440" s="154"/>
      <c r="M440" s="156"/>
      <c r="N440" s="154" t="str">
        <f>IF(ISNUMBER(PL[[#This Row],[CTO]]),"CTO "&amp;PL[[#This Row],[CTO]],"Otros")</f>
        <v>CTO 8</v>
      </c>
      <c r="O440" s="154" t="str">
        <f>IF(PL[[#This Row],[STATUS IUP]]="CERRADO","CERRADO",IF(ISNUMBER(SEARCH("validacion de enel",PL[[#This Row],[SUPPLIER NOTES]])),"PTE Validar Enel","ABIERTO"))</f>
        <v>CERRADO</v>
      </c>
      <c r="P440" s="154" t="str">
        <f>IF(PL[[#This Row],[ESTADO]]="CERRADO","Cerrados IUP",IF(PL[[#This Row],[ESTADO]]="PTE Validar Enel","Pendiente cierre ENEL",IF(ISNUMBER(SEARCH("suministro",PL[[#This Row],[SUPPLIER NOTES]])),"Suministros",IF(PL[[#This Row],[SC]]="SOCIAL","Social",IF(ISNUMBER(SEARCH("monolito",PL[[#This Row],[DESCRIPTION]])),"Monolitos","Varios")))))</f>
        <v>Cerrados IUP</v>
      </c>
      <c r="Q4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1" spans="1:17" s="157" customFormat="1" hidden="1" x14ac:dyDescent="0.2">
      <c r="A441" s="151" t="s">
        <v>657</v>
      </c>
      <c r="B441" s="154" t="s">
        <v>8</v>
      </c>
      <c r="C441" s="154">
        <v>8</v>
      </c>
      <c r="D441" s="153" t="s">
        <v>3377</v>
      </c>
      <c r="E441" s="154"/>
      <c r="F441" s="154" t="s">
        <v>658</v>
      </c>
      <c r="G441" s="154" t="s">
        <v>1289</v>
      </c>
      <c r="H441" s="154"/>
      <c r="I441" s="154"/>
      <c r="J441" s="154" t="s">
        <v>74</v>
      </c>
      <c r="K441" s="154" t="s">
        <v>3394</v>
      </c>
      <c r="L441" s="154"/>
      <c r="M441" s="156"/>
      <c r="N441" s="154" t="str">
        <f>IF(ISNUMBER(PL[[#This Row],[CTO]]),"CTO "&amp;PL[[#This Row],[CTO]],"Otros")</f>
        <v>CTO 8</v>
      </c>
      <c r="O441" s="154" t="str">
        <f>IF(PL[[#This Row],[STATUS IUP]]="CERRADO","CERRADO",IF(ISNUMBER(SEARCH("validacion de enel",PL[[#This Row],[SUPPLIER NOTES]])),"PTE Validar Enel","ABIERTO"))</f>
        <v>CERRADO</v>
      </c>
      <c r="P441" s="154" t="str">
        <f>IF(PL[[#This Row],[ESTADO]]="CERRADO","Cerrados IUP",IF(PL[[#This Row],[ESTADO]]="PTE Validar Enel","Pendiente cierre ENEL",IF(ISNUMBER(SEARCH("suministro",PL[[#This Row],[SUPPLIER NOTES]])),"Suministros",IF(PL[[#This Row],[SC]]="SOCIAL","Social",IF(ISNUMBER(SEARCH("monolito",PL[[#This Row],[DESCRIPTION]])),"Monolitos","Varios")))))</f>
        <v>Cerrados IUP</v>
      </c>
      <c r="Q4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2" spans="1:17" s="157" customFormat="1" hidden="1" x14ac:dyDescent="0.2">
      <c r="A442" s="151" t="s">
        <v>659</v>
      </c>
      <c r="B442" s="154" t="s">
        <v>8</v>
      </c>
      <c r="C442" s="154">
        <v>8</v>
      </c>
      <c r="D442" s="153" t="s">
        <v>3377</v>
      </c>
      <c r="E442" s="154"/>
      <c r="F442" s="154" t="s">
        <v>660</v>
      </c>
      <c r="G442" s="154" t="s">
        <v>1289</v>
      </c>
      <c r="H442" s="154"/>
      <c r="I442" s="154"/>
      <c r="J442" s="154" t="s">
        <v>74</v>
      </c>
      <c r="K442" s="154" t="s">
        <v>3394</v>
      </c>
      <c r="L442" s="154"/>
      <c r="M442" s="156"/>
      <c r="N442" s="154" t="str">
        <f>IF(ISNUMBER(PL[[#This Row],[CTO]]),"CTO "&amp;PL[[#This Row],[CTO]],"Otros")</f>
        <v>CTO 8</v>
      </c>
      <c r="O442" s="154" t="str">
        <f>IF(PL[[#This Row],[STATUS IUP]]="CERRADO","CERRADO",IF(ISNUMBER(SEARCH("validacion de enel",PL[[#This Row],[SUPPLIER NOTES]])),"PTE Validar Enel","ABIERTO"))</f>
        <v>CERRADO</v>
      </c>
      <c r="P442" s="154" t="str">
        <f>IF(PL[[#This Row],[ESTADO]]="CERRADO","Cerrados IUP",IF(PL[[#This Row],[ESTADO]]="PTE Validar Enel","Pendiente cierre ENEL",IF(ISNUMBER(SEARCH("suministro",PL[[#This Row],[SUPPLIER NOTES]])),"Suministros",IF(PL[[#This Row],[SC]]="SOCIAL","Social",IF(ISNUMBER(SEARCH("monolito",PL[[#This Row],[DESCRIPTION]])),"Monolitos","Varios")))))</f>
        <v>Cerrados IUP</v>
      </c>
      <c r="Q4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3" spans="1:17" s="157" customFormat="1" hidden="1" x14ac:dyDescent="0.2">
      <c r="A443" s="151" t="s">
        <v>661</v>
      </c>
      <c r="B443" s="154" t="s">
        <v>8</v>
      </c>
      <c r="C443" s="154">
        <v>8</v>
      </c>
      <c r="D443" s="153" t="s">
        <v>3377</v>
      </c>
      <c r="E443" s="154"/>
      <c r="F443" s="154" t="s">
        <v>662</v>
      </c>
      <c r="G443" s="154" t="s">
        <v>1289</v>
      </c>
      <c r="H443" s="154"/>
      <c r="I443" s="154"/>
      <c r="J443" s="154" t="s">
        <v>74</v>
      </c>
      <c r="K443" s="154" t="s">
        <v>3394</v>
      </c>
      <c r="L443" s="154"/>
      <c r="M443" s="156"/>
      <c r="N443" s="154" t="str">
        <f>IF(ISNUMBER(PL[[#This Row],[CTO]]),"CTO "&amp;PL[[#This Row],[CTO]],"Otros")</f>
        <v>CTO 8</v>
      </c>
      <c r="O443" s="154" t="str">
        <f>IF(PL[[#This Row],[STATUS IUP]]="CERRADO","CERRADO",IF(ISNUMBER(SEARCH("validacion de enel",PL[[#This Row],[SUPPLIER NOTES]])),"PTE Validar Enel","ABIERTO"))</f>
        <v>CERRADO</v>
      </c>
      <c r="P443" s="154" t="str">
        <f>IF(PL[[#This Row],[ESTADO]]="CERRADO","Cerrados IUP",IF(PL[[#This Row],[ESTADO]]="PTE Validar Enel","Pendiente cierre ENEL",IF(ISNUMBER(SEARCH("suministro",PL[[#This Row],[SUPPLIER NOTES]])),"Suministros",IF(PL[[#This Row],[SC]]="SOCIAL","Social",IF(ISNUMBER(SEARCH("monolito",PL[[#This Row],[DESCRIPTION]])),"Monolitos","Varios")))))</f>
        <v>Cerrados IUP</v>
      </c>
      <c r="Q4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4" spans="1:17" s="157" customFormat="1" hidden="1" x14ac:dyDescent="0.2">
      <c r="A444" s="151" t="s">
        <v>663</v>
      </c>
      <c r="B444" s="154" t="s">
        <v>8</v>
      </c>
      <c r="C444" s="154">
        <v>8</v>
      </c>
      <c r="D444" s="153" t="s">
        <v>3377</v>
      </c>
      <c r="E444" s="154"/>
      <c r="F444" s="154" t="s">
        <v>664</v>
      </c>
      <c r="G444" s="154" t="s">
        <v>1290</v>
      </c>
      <c r="H444" s="154"/>
      <c r="I444" s="154"/>
      <c r="J444" s="154" t="s">
        <v>74</v>
      </c>
      <c r="K444" s="154" t="s">
        <v>3394</v>
      </c>
      <c r="L444" s="154"/>
      <c r="M444" s="156"/>
      <c r="N444" s="154" t="str">
        <f>IF(ISNUMBER(PL[[#This Row],[CTO]]),"CTO "&amp;PL[[#This Row],[CTO]],"Otros")</f>
        <v>CTO 8</v>
      </c>
      <c r="O444" s="154" t="str">
        <f>IF(PL[[#This Row],[STATUS IUP]]="CERRADO","CERRADO",IF(ISNUMBER(SEARCH("validacion de enel",PL[[#This Row],[SUPPLIER NOTES]])),"PTE Validar Enel","ABIERTO"))</f>
        <v>CERRADO</v>
      </c>
      <c r="P444" s="154" t="str">
        <f>IF(PL[[#This Row],[ESTADO]]="CERRADO","Cerrados IUP",IF(PL[[#This Row],[ESTADO]]="PTE Validar Enel","Pendiente cierre ENEL",IF(ISNUMBER(SEARCH("suministro",PL[[#This Row],[SUPPLIER NOTES]])),"Suministros",IF(PL[[#This Row],[SC]]="SOCIAL","Social",IF(ISNUMBER(SEARCH("monolito",PL[[#This Row],[DESCRIPTION]])),"Monolitos","Varios")))))</f>
        <v>Cerrados IUP</v>
      </c>
      <c r="Q4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5" spans="1:17" s="157" customFormat="1" hidden="1" x14ac:dyDescent="0.2">
      <c r="A445" s="151" t="s">
        <v>665</v>
      </c>
      <c r="B445" s="154" t="s">
        <v>8</v>
      </c>
      <c r="C445" s="154">
        <v>8</v>
      </c>
      <c r="D445" s="153" t="s">
        <v>3377</v>
      </c>
      <c r="E445" s="154"/>
      <c r="F445" s="154" t="s">
        <v>666</v>
      </c>
      <c r="G445" s="154" t="s">
        <v>108</v>
      </c>
      <c r="H445" s="154" t="s">
        <v>3463</v>
      </c>
      <c r="I445" s="154" t="s">
        <v>3475</v>
      </c>
      <c r="J445" s="154" t="s">
        <v>74</v>
      </c>
      <c r="K445" s="154" t="s">
        <v>3394</v>
      </c>
      <c r="L445" s="155">
        <v>46288</v>
      </c>
      <c r="M445" s="156"/>
      <c r="N445" s="154" t="str">
        <f>IF(ISNUMBER(PL[[#This Row],[CTO]]),"CTO "&amp;PL[[#This Row],[CTO]],"Otros")</f>
        <v>CTO 8</v>
      </c>
      <c r="O445" s="154" t="str">
        <f>IF(PL[[#This Row],[STATUS IUP]]="CERRADO","CERRADO",IF(ISNUMBER(SEARCH("validacion de enel",PL[[#This Row],[SUPPLIER NOTES]])),"PTE Validar Enel","ABIERTO"))</f>
        <v>CERRADO</v>
      </c>
      <c r="P445" s="154" t="str">
        <f>IF(PL[[#This Row],[ESTADO]]="CERRADO","Cerrados IUP",IF(PL[[#This Row],[ESTADO]]="PTE Validar Enel","Pendiente cierre ENEL",IF(ISNUMBER(SEARCH("suministro",PL[[#This Row],[SUPPLIER NOTES]])),"Suministros",IF(PL[[#This Row],[SC]]="SOCIAL","Social",IF(ISNUMBER(SEARCH("monolito",PL[[#This Row],[DESCRIPTION]])),"Monolitos","Varios")))))</f>
        <v>Cerrados IUP</v>
      </c>
      <c r="Q4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6" spans="1:17" s="157" customFormat="1" hidden="1" x14ac:dyDescent="0.2">
      <c r="A446" s="151" t="s">
        <v>667</v>
      </c>
      <c r="B446" s="154" t="s">
        <v>8</v>
      </c>
      <c r="C446" s="154">
        <v>8</v>
      </c>
      <c r="D446" s="153" t="s">
        <v>3377</v>
      </c>
      <c r="E446" s="154"/>
      <c r="F446" s="154" t="s">
        <v>668</v>
      </c>
      <c r="G446" s="154" t="s">
        <v>43</v>
      </c>
      <c r="H446" s="154"/>
      <c r="I446" s="154"/>
      <c r="J446" s="154" t="s">
        <v>74</v>
      </c>
      <c r="K446" s="154" t="s">
        <v>3394</v>
      </c>
      <c r="L446" s="154"/>
      <c r="M446" s="156"/>
      <c r="N446" s="154" t="str">
        <f>IF(ISNUMBER(PL[[#This Row],[CTO]]),"CTO "&amp;PL[[#This Row],[CTO]],"Otros")</f>
        <v>CTO 8</v>
      </c>
      <c r="O446" s="154" t="str">
        <f>IF(PL[[#This Row],[STATUS IUP]]="CERRADO","CERRADO",IF(ISNUMBER(SEARCH("validacion de enel",PL[[#This Row],[SUPPLIER NOTES]])),"PTE Validar Enel","ABIERTO"))</f>
        <v>CERRADO</v>
      </c>
      <c r="P446" s="154" t="str">
        <f>IF(PL[[#This Row],[ESTADO]]="CERRADO","Cerrados IUP",IF(PL[[#This Row],[ESTADO]]="PTE Validar Enel","Pendiente cierre ENEL",IF(ISNUMBER(SEARCH("suministro",PL[[#This Row],[SUPPLIER NOTES]])),"Suministros",IF(PL[[#This Row],[SC]]="SOCIAL","Social",IF(ISNUMBER(SEARCH("monolito",PL[[#This Row],[DESCRIPTION]])),"Monolitos","Varios")))))</f>
        <v>Cerrados IUP</v>
      </c>
      <c r="Q4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7" spans="1:17" ht="48" x14ac:dyDescent="0.2">
      <c r="A447" s="86" t="s">
        <v>669</v>
      </c>
      <c r="B447" s="115" t="s">
        <v>8</v>
      </c>
      <c r="C447" s="82">
        <v>8</v>
      </c>
      <c r="D447" s="88" t="s">
        <v>3377</v>
      </c>
      <c r="E447" s="87"/>
      <c r="F447" s="115" t="s">
        <v>670</v>
      </c>
      <c r="G447" s="87" t="s">
        <v>43</v>
      </c>
      <c r="H447" s="87" t="s">
        <v>3454</v>
      </c>
      <c r="I447" s="87"/>
      <c r="J447" s="87" t="s">
        <v>11</v>
      </c>
      <c r="K447" s="87" t="s">
        <v>3393</v>
      </c>
      <c r="L447" s="87"/>
      <c r="M447" s="89"/>
      <c r="N447" s="87" t="str">
        <f>IF(ISNUMBER(PL[[#This Row],[CTO]]),"CTO "&amp;PL[[#This Row],[CTO]],"Otros")</f>
        <v>CTO 8</v>
      </c>
      <c r="O447" s="87" t="str">
        <f>IF(PL[[#This Row],[STATUS IUP]]="CERRADO","CERRADO",IF(ISNUMBER(SEARCH("validacion de enel",PL[[#This Row],[SUPPLIER NOTES]])),"PTE Validar Enel","ABIERTO"))</f>
        <v>PTE Validar Enel</v>
      </c>
      <c r="P44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4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48" spans="1:17" s="157" customFormat="1" hidden="1" x14ac:dyDescent="0.2">
      <c r="A448" s="151" t="s">
        <v>671</v>
      </c>
      <c r="B448" s="154" t="s">
        <v>8</v>
      </c>
      <c r="C448" s="154">
        <v>8</v>
      </c>
      <c r="D448" s="153" t="s">
        <v>3377</v>
      </c>
      <c r="E448" s="154"/>
      <c r="F448" s="154" t="s">
        <v>672</v>
      </c>
      <c r="G448" s="154" t="s">
        <v>1289</v>
      </c>
      <c r="H448" s="154"/>
      <c r="I448" s="154" t="s">
        <v>3475</v>
      </c>
      <c r="J448" s="154" t="s">
        <v>74</v>
      </c>
      <c r="K448" s="154" t="s">
        <v>3394</v>
      </c>
      <c r="L448" s="155">
        <v>46288</v>
      </c>
      <c r="M448" s="156"/>
      <c r="N448" s="154" t="str">
        <f>IF(ISNUMBER(PL[[#This Row],[CTO]]),"CTO "&amp;PL[[#This Row],[CTO]],"Otros")</f>
        <v>CTO 8</v>
      </c>
      <c r="O448" s="154" t="str">
        <f>IF(PL[[#This Row],[STATUS IUP]]="CERRADO","CERRADO",IF(ISNUMBER(SEARCH("validacion de enel",PL[[#This Row],[SUPPLIER NOTES]])),"PTE Validar Enel","ABIERTO"))</f>
        <v>CERRADO</v>
      </c>
      <c r="P448" s="154" t="str">
        <f>IF(PL[[#This Row],[ESTADO]]="CERRADO","Cerrados IUP",IF(PL[[#This Row],[ESTADO]]="PTE Validar Enel","Pendiente cierre ENEL",IF(ISNUMBER(SEARCH("suministro",PL[[#This Row],[SUPPLIER NOTES]])),"Suministros",IF(PL[[#This Row],[SC]]="SOCIAL","Social",IF(ISNUMBER(SEARCH("monolito",PL[[#This Row],[DESCRIPTION]])),"Monolitos","Varios")))))</f>
        <v>Cerrados IUP</v>
      </c>
      <c r="Q4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49" spans="1:17" s="157" customFormat="1" hidden="1" x14ac:dyDescent="0.2">
      <c r="A449" s="151" t="s">
        <v>673</v>
      </c>
      <c r="B449" s="154" t="s">
        <v>8</v>
      </c>
      <c r="C449" s="154">
        <v>8</v>
      </c>
      <c r="D449" s="153" t="s">
        <v>3377</v>
      </c>
      <c r="E449" s="154"/>
      <c r="F449" s="154" t="s">
        <v>674</v>
      </c>
      <c r="G449" s="154" t="s">
        <v>1289</v>
      </c>
      <c r="H449" s="154"/>
      <c r="I449" s="154"/>
      <c r="J449" s="154" t="s">
        <v>74</v>
      </c>
      <c r="K449" s="154" t="s">
        <v>3394</v>
      </c>
      <c r="L449" s="154"/>
      <c r="M449" s="156"/>
      <c r="N449" s="154" t="str">
        <f>IF(ISNUMBER(PL[[#This Row],[CTO]]),"CTO "&amp;PL[[#This Row],[CTO]],"Otros")</f>
        <v>CTO 8</v>
      </c>
      <c r="O449" s="154" t="str">
        <f>IF(PL[[#This Row],[STATUS IUP]]="CERRADO","CERRADO",IF(ISNUMBER(SEARCH("validacion de enel",PL[[#This Row],[SUPPLIER NOTES]])),"PTE Validar Enel","ABIERTO"))</f>
        <v>CERRADO</v>
      </c>
      <c r="P449" s="154" t="str">
        <f>IF(PL[[#This Row],[ESTADO]]="CERRADO","Cerrados IUP",IF(PL[[#This Row],[ESTADO]]="PTE Validar Enel","Pendiente cierre ENEL",IF(ISNUMBER(SEARCH("suministro",PL[[#This Row],[SUPPLIER NOTES]])),"Suministros",IF(PL[[#This Row],[SC]]="SOCIAL","Social",IF(ISNUMBER(SEARCH("monolito",PL[[#This Row],[DESCRIPTION]])),"Monolitos","Varios")))))</f>
        <v>Cerrados IUP</v>
      </c>
      <c r="Q4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0" spans="1:17" s="157" customFormat="1" hidden="1" x14ac:dyDescent="0.2">
      <c r="A450" s="151" t="s">
        <v>675</v>
      </c>
      <c r="B450" s="154" t="s">
        <v>8</v>
      </c>
      <c r="C450" s="154">
        <v>8</v>
      </c>
      <c r="D450" s="153" t="s">
        <v>3377</v>
      </c>
      <c r="E450" s="154"/>
      <c r="F450" s="154" t="s">
        <v>676</v>
      </c>
      <c r="G450" s="154" t="s">
        <v>1290</v>
      </c>
      <c r="H450" s="154"/>
      <c r="I450" s="154"/>
      <c r="J450" s="154" t="s">
        <v>74</v>
      </c>
      <c r="K450" s="154" t="s">
        <v>3394</v>
      </c>
      <c r="L450" s="154"/>
      <c r="M450" s="156"/>
      <c r="N450" s="154" t="str">
        <f>IF(ISNUMBER(PL[[#This Row],[CTO]]),"CTO "&amp;PL[[#This Row],[CTO]],"Otros")</f>
        <v>CTO 8</v>
      </c>
      <c r="O450" s="154" t="str">
        <f>IF(PL[[#This Row],[STATUS IUP]]="CERRADO","CERRADO",IF(ISNUMBER(SEARCH("validacion de enel",PL[[#This Row],[SUPPLIER NOTES]])),"PTE Validar Enel","ABIERTO"))</f>
        <v>CERRADO</v>
      </c>
      <c r="P450" s="154" t="str">
        <f>IF(PL[[#This Row],[ESTADO]]="CERRADO","Cerrados IUP",IF(PL[[#This Row],[ESTADO]]="PTE Validar Enel","Pendiente cierre ENEL",IF(ISNUMBER(SEARCH("suministro",PL[[#This Row],[SUPPLIER NOTES]])),"Suministros",IF(PL[[#This Row],[SC]]="SOCIAL","Social",IF(ISNUMBER(SEARCH("monolito",PL[[#This Row],[DESCRIPTION]])),"Monolitos","Varios")))))</f>
        <v>Cerrados IUP</v>
      </c>
      <c r="Q4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1" spans="1:17" s="157" customFormat="1" hidden="1" x14ac:dyDescent="0.2">
      <c r="A451" s="151" t="s">
        <v>677</v>
      </c>
      <c r="B451" s="154" t="s">
        <v>8</v>
      </c>
      <c r="C451" s="154">
        <v>8</v>
      </c>
      <c r="D451" s="153" t="s">
        <v>3377</v>
      </c>
      <c r="E451" s="154"/>
      <c r="F451" s="154" t="s">
        <v>678</v>
      </c>
      <c r="G451" s="154" t="s">
        <v>1290</v>
      </c>
      <c r="H451" s="154"/>
      <c r="I451" s="154"/>
      <c r="J451" s="154" t="s">
        <v>74</v>
      </c>
      <c r="K451" s="154" t="s">
        <v>3394</v>
      </c>
      <c r="L451" s="154"/>
      <c r="M451" s="156"/>
      <c r="N451" s="154" t="str">
        <f>IF(ISNUMBER(PL[[#This Row],[CTO]]),"CTO "&amp;PL[[#This Row],[CTO]],"Otros")</f>
        <v>CTO 8</v>
      </c>
      <c r="O451" s="154" t="str">
        <f>IF(PL[[#This Row],[STATUS IUP]]="CERRADO","CERRADO",IF(ISNUMBER(SEARCH("validacion de enel",PL[[#This Row],[SUPPLIER NOTES]])),"PTE Validar Enel","ABIERTO"))</f>
        <v>CERRADO</v>
      </c>
      <c r="P451" s="154" t="str">
        <f>IF(PL[[#This Row],[ESTADO]]="CERRADO","Cerrados IUP",IF(PL[[#This Row],[ESTADO]]="PTE Validar Enel","Pendiente cierre ENEL",IF(ISNUMBER(SEARCH("suministro",PL[[#This Row],[SUPPLIER NOTES]])),"Suministros",IF(PL[[#This Row],[SC]]="SOCIAL","Social",IF(ISNUMBER(SEARCH("monolito",PL[[#This Row],[DESCRIPTION]])),"Monolitos","Varios")))))</f>
        <v>Cerrados IUP</v>
      </c>
      <c r="Q4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2" spans="1:17" s="157" customFormat="1" hidden="1" x14ac:dyDescent="0.2">
      <c r="A452" s="151" t="s">
        <v>681</v>
      </c>
      <c r="B452" s="154" t="s">
        <v>8</v>
      </c>
      <c r="C452" s="154">
        <v>8</v>
      </c>
      <c r="D452" s="153" t="s">
        <v>3377</v>
      </c>
      <c r="E452" s="154"/>
      <c r="F452" s="154" t="s">
        <v>682</v>
      </c>
      <c r="G452" s="154" t="s">
        <v>1289</v>
      </c>
      <c r="H452" s="154"/>
      <c r="I452" s="154"/>
      <c r="J452" s="154" t="s">
        <v>74</v>
      </c>
      <c r="K452" s="154" t="s">
        <v>3394</v>
      </c>
      <c r="L452" s="154"/>
      <c r="M452" s="156"/>
      <c r="N452" s="154" t="str">
        <f>IF(ISNUMBER(PL[[#This Row],[CTO]]),"CTO "&amp;PL[[#This Row],[CTO]],"Otros")</f>
        <v>CTO 8</v>
      </c>
      <c r="O452" s="154" t="str">
        <f>IF(PL[[#This Row],[STATUS IUP]]="CERRADO","CERRADO",IF(ISNUMBER(SEARCH("validacion de enel",PL[[#This Row],[SUPPLIER NOTES]])),"PTE Validar Enel","ABIERTO"))</f>
        <v>CERRADO</v>
      </c>
      <c r="P452" s="154" t="str">
        <f>IF(PL[[#This Row],[ESTADO]]="CERRADO","Cerrados IUP",IF(PL[[#This Row],[ESTADO]]="PTE Validar Enel","Pendiente cierre ENEL",IF(ISNUMBER(SEARCH("suministro",PL[[#This Row],[SUPPLIER NOTES]])),"Suministros",IF(PL[[#This Row],[SC]]="SOCIAL","Social",IF(ISNUMBER(SEARCH("monolito",PL[[#This Row],[DESCRIPTION]])),"Monolitos","Varios")))))</f>
        <v>Cerrados IUP</v>
      </c>
      <c r="Q4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3" spans="1:17" s="157" customFormat="1" hidden="1" x14ac:dyDescent="0.2">
      <c r="A453" s="151" t="s">
        <v>684</v>
      </c>
      <c r="B453" s="154" t="s">
        <v>8</v>
      </c>
      <c r="C453" s="154">
        <v>8</v>
      </c>
      <c r="D453" s="153" t="s">
        <v>3377</v>
      </c>
      <c r="E453" s="154"/>
      <c r="F453" s="154" t="s">
        <v>685</v>
      </c>
      <c r="G453" s="154" t="s">
        <v>1290</v>
      </c>
      <c r="H453" s="154"/>
      <c r="I453" s="154"/>
      <c r="J453" s="154" t="s">
        <v>74</v>
      </c>
      <c r="K453" s="154" t="s">
        <v>3394</v>
      </c>
      <c r="L453" s="154"/>
      <c r="M453" s="156"/>
      <c r="N453" s="154" t="str">
        <f>IF(ISNUMBER(PL[[#This Row],[CTO]]),"CTO "&amp;PL[[#This Row],[CTO]],"Otros")</f>
        <v>CTO 8</v>
      </c>
      <c r="O453" s="154" t="str">
        <f>IF(PL[[#This Row],[STATUS IUP]]="CERRADO","CERRADO",IF(ISNUMBER(SEARCH("validacion de enel",PL[[#This Row],[SUPPLIER NOTES]])),"PTE Validar Enel","ABIERTO"))</f>
        <v>CERRADO</v>
      </c>
      <c r="P453" s="154" t="str">
        <f>IF(PL[[#This Row],[ESTADO]]="CERRADO","Cerrados IUP",IF(PL[[#This Row],[ESTADO]]="PTE Validar Enel","Pendiente cierre ENEL",IF(ISNUMBER(SEARCH("suministro",PL[[#This Row],[SUPPLIER NOTES]])),"Suministros",IF(PL[[#This Row],[SC]]="SOCIAL","Social",IF(ISNUMBER(SEARCH("monolito",PL[[#This Row],[DESCRIPTION]])),"Monolitos","Varios")))))</f>
        <v>Cerrados IUP</v>
      </c>
      <c r="Q4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4" spans="1:17" s="157" customFormat="1" hidden="1" x14ac:dyDescent="0.2">
      <c r="A454" s="151" t="s">
        <v>690</v>
      </c>
      <c r="B454" s="154" t="s">
        <v>8</v>
      </c>
      <c r="C454" s="154">
        <v>8</v>
      </c>
      <c r="D454" s="153" t="s">
        <v>3377</v>
      </c>
      <c r="E454" s="154"/>
      <c r="F454" s="154" t="s">
        <v>691</v>
      </c>
      <c r="G454" s="154" t="s">
        <v>128</v>
      </c>
      <c r="H454" s="154"/>
      <c r="I454" s="154"/>
      <c r="J454" s="154" t="s">
        <v>74</v>
      </c>
      <c r="K454" s="154" t="s">
        <v>3394</v>
      </c>
      <c r="L454" s="154"/>
      <c r="M454" s="156"/>
      <c r="N454" s="154" t="str">
        <f>IF(ISNUMBER(PL[[#This Row],[CTO]]),"CTO "&amp;PL[[#This Row],[CTO]],"Otros")</f>
        <v>CTO 8</v>
      </c>
      <c r="O454" s="154" t="str">
        <f>IF(PL[[#This Row],[STATUS IUP]]="CERRADO","CERRADO",IF(ISNUMBER(SEARCH("validacion de enel",PL[[#This Row],[SUPPLIER NOTES]])),"PTE Validar Enel","ABIERTO"))</f>
        <v>CERRADO</v>
      </c>
      <c r="P454" s="154" t="str">
        <f>IF(PL[[#This Row],[ESTADO]]="CERRADO","Cerrados IUP",IF(PL[[#This Row],[ESTADO]]="PTE Validar Enel","Pendiente cierre ENEL",IF(ISNUMBER(SEARCH("suministro",PL[[#This Row],[SUPPLIER NOTES]])),"Suministros",IF(PL[[#This Row],[SC]]="SOCIAL","Social",IF(ISNUMBER(SEARCH("monolito",PL[[#This Row],[DESCRIPTION]])),"Monolitos","Varios")))))</f>
        <v>Cerrados IUP</v>
      </c>
      <c r="Q4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5" spans="1:17" s="157" customFormat="1" hidden="1" x14ac:dyDescent="0.2">
      <c r="A455" s="151" t="s">
        <v>692</v>
      </c>
      <c r="B455" s="154" t="s">
        <v>8</v>
      </c>
      <c r="C455" s="154">
        <v>8</v>
      </c>
      <c r="D455" s="153" t="s">
        <v>3377</v>
      </c>
      <c r="E455" s="154"/>
      <c r="F455" s="154" t="s">
        <v>693</v>
      </c>
      <c r="G455" s="154" t="s">
        <v>43</v>
      </c>
      <c r="H455" s="154"/>
      <c r="I455" s="154"/>
      <c r="J455" s="154" t="s">
        <v>74</v>
      </c>
      <c r="K455" s="154" t="s">
        <v>3394</v>
      </c>
      <c r="L455" s="154"/>
      <c r="M455" s="156"/>
      <c r="N455" s="154" t="str">
        <f>IF(ISNUMBER(PL[[#This Row],[CTO]]),"CTO "&amp;PL[[#This Row],[CTO]],"Otros")</f>
        <v>CTO 8</v>
      </c>
      <c r="O455" s="154" t="str">
        <f>IF(PL[[#This Row],[STATUS IUP]]="CERRADO","CERRADO",IF(ISNUMBER(SEARCH("validacion de enel",PL[[#This Row],[SUPPLIER NOTES]])),"PTE Validar Enel","ABIERTO"))</f>
        <v>CERRADO</v>
      </c>
      <c r="P455" s="154" t="str">
        <f>IF(PL[[#This Row],[ESTADO]]="CERRADO","Cerrados IUP",IF(PL[[#This Row],[ESTADO]]="PTE Validar Enel","Pendiente cierre ENEL",IF(ISNUMBER(SEARCH("suministro",PL[[#This Row],[SUPPLIER NOTES]])),"Suministros",IF(PL[[#This Row],[SC]]="SOCIAL","Social",IF(ISNUMBER(SEARCH("monolito",PL[[#This Row],[DESCRIPTION]])),"Monolitos","Varios")))))</f>
        <v>Cerrados IUP</v>
      </c>
      <c r="Q4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6" spans="1:17" ht="16" x14ac:dyDescent="0.2">
      <c r="A456" s="86" t="s">
        <v>694</v>
      </c>
      <c r="B456" s="115" t="s">
        <v>8</v>
      </c>
      <c r="C456" s="82">
        <v>8</v>
      </c>
      <c r="D456" s="88" t="s">
        <v>3377</v>
      </c>
      <c r="E456" s="87"/>
      <c r="F456" s="115" t="s">
        <v>695</v>
      </c>
      <c r="G456" s="87" t="s">
        <v>43</v>
      </c>
      <c r="H456" s="87" t="s">
        <v>3454</v>
      </c>
      <c r="I456" s="87"/>
      <c r="J456" s="87" t="s">
        <v>11</v>
      </c>
      <c r="K456" s="87" t="s">
        <v>3393</v>
      </c>
      <c r="L456" s="87"/>
      <c r="M456" s="89"/>
      <c r="N456" s="87" t="str">
        <f>IF(ISNUMBER(PL[[#This Row],[CTO]]),"CTO "&amp;PL[[#This Row],[CTO]],"Otros")</f>
        <v>CTO 8</v>
      </c>
      <c r="O456" s="87" t="str">
        <f>IF(PL[[#This Row],[STATUS IUP]]="CERRADO","CERRADO",IF(ISNUMBER(SEARCH("validacion de enel",PL[[#This Row],[SUPPLIER NOTES]])),"PTE Validar Enel","ABIERTO"))</f>
        <v>PTE Validar Enel</v>
      </c>
      <c r="P45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5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57" spans="1:17" s="157" customFormat="1" hidden="1" x14ac:dyDescent="0.2">
      <c r="A457" s="151" t="s">
        <v>696</v>
      </c>
      <c r="B457" s="154" t="s">
        <v>8</v>
      </c>
      <c r="C457" s="154">
        <v>8</v>
      </c>
      <c r="D457" s="153" t="s">
        <v>3377</v>
      </c>
      <c r="E457" s="154"/>
      <c r="F457" s="154" t="s">
        <v>697</v>
      </c>
      <c r="G457" s="154" t="s">
        <v>43</v>
      </c>
      <c r="H457" s="154"/>
      <c r="I457" s="154"/>
      <c r="J457" s="154" t="s">
        <v>74</v>
      </c>
      <c r="K457" s="154" t="s">
        <v>3394</v>
      </c>
      <c r="L457" s="154"/>
      <c r="M457" s="156"/>
      <c r="N457" s="154" t="str">
        <f>IF(ISNUMBER(PL[[#This Row],[CTO]]),"CTO "&amp;PL[[#This Row],[CTO]],"Otros")</f>
        <v>CTO 8</v>
      </c>
      <c r="O457" s="154" t="str">
        <f>IF(PL[[#This Row],[STATUS IUP]]="CERRADO","CERRADO",IF(ISNUMBER(SEARCH("validacion de enel",PL[[#This Row],[SUPPLIER NOTES]])),"PTE Validar Enel","ABIERTO"))</f>
        <v>CERRADO</v>
      </c>
      <c r="P457" s="154" t="str">
        <f>IF(PL[[#This Row],[ESTADO]]="CERRADO","Cerrados IUP",IF(PL[[#This Row],[ESTADO]]="PTE Validar Enel","Pendiente cierre ENEL",IF(ISNUMBER(SEARCH("suministro",PL[[#This Row],[SUPPLIER NOTES]])),"Suministros",IF(PL[[#This Row],[SC]]="SOCIAL","Social",IF(ISNUMBER(SEARCH("monolito",PL[[#This Row],[DESCRIPTION]])),"Monolitos","Varios")))))</f>
        <v>Cerrados IUP</v>
      </c>
      <c r="Q4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8" spans="1:17" s="157" customFormat="1" hidden="1" x14ac:dyDescent="0.2">
      <c r="A458" s="151" t="s">
        <v>698</v>
      </c>
      <c r="B458" s="154" t="s">
        <v>8</v>
      </c>
      <c r="C458" s="154">
        <v>8</v>
      </c>
      <c r="D458" s="153" t="s">
        <v>3377</v>
      </c>
      <c r="E458" s="154"/>
      <c r="F458" s="154" t="s">
        <v>699</v>
      </c>
      <c r="G458" s="154" t="s">
        <v>43</v>
      </c>
      <c r="H458" s="154"/>
      <c r="I458" s="154"/>
      <c r="J458" s="154" t="s">
        <v>74</v>
      </c>
      <c r="K458" s="154" t="s">
        <v>3394</v>
      </c>
      <c r="L458" s="154"/>
      <c r="M458" s="156"/>
      <c r="N458" s="154" t="str">
        <f>IF(ISNUMBER(PL[[#This Row],[CTO]]),"CTO "&amp;PL[[#This Row],[CTO]],"Otros")</f>
        <v>CTO 8</v>
      </c>
      <c r="O458" s="154" t="str">
        <f>IF(PL[[#This Row],[STATUS IUP]]="CERRADO","CERRADO",IF(ISNUMBER(SEARCH("validacion de enel",PL[[#This Row],[SUPPLIER NOTES]])),"PTE Validar Enel","ABIERTO"))</f>
        <v>CERRADO</v>
      </c>
      <c r="P458" s="154" t="str">
        <f>IF(PL[[#This Row],[ESTADO]]="CERRADO","Cerrados IUP",IF(PL[[#This Row],[ESTADO]]="PTE Validar Enel","Pendiente cierre ENEL",IF(ISNUMBER(SEARCH("suministro",PL[[#This Row],[SUPPLIER NOTES]])),"Suministros",IF(PL[[#This Row],[SC]]="SOCIAL","Social",IF(ISNUMBER(SEARCH("monolito",PL[[#This Row],[DESCRIPTION]])),"Monolitos","Varios")))))</f>
        <v>Cerrados IUP</v>
      </c>
      <c r="Q4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59" spans="1:17" s="157" customFormat="1" hidden="1" x14ac:dyDescent="0.2">
      <c r="A459" s="151" t="s">
        <v>629</v>
      </c>
      <c r="B459" s="154" t="s">
        <v>8</v>
      </c>
      <c r="C459" s="154">
        <v>8</v>
      </c>
      <c r="D459" s="153" t="s">
        <v>3377</v>
      </c>
      <c r="E459" s="154"/>
      <c r="F459" s="154" t="s">
        <v>630</v>
      </c>
      <c r="G459" s="154" t="s">
        <v>108</v>
      </c>
      <c r="H459" s="154" t="s">
        <v>3459</v>
      </c>
      <c r="I459" s="154"/>
      <c r="J459" s="154" t="s">
        <v>74</v>
      </c>
      <c r="K459" s="154" t="s">
        <v>3394</v>
      </c>
      <c r="L459" s="155">
        <v>46304</v>
      </c>
      <c r="M459" s="156"/>
      <c r="N459" s="154" t="str">
        <f>IF(ISNUMBER(PL[[#This Row],[CTO]]),"CTO "&amp;PL[[#This Row],[CTO]],"Otros")</f>
        <v>CTO 8</v>
      </c>
      <c r="O459" s="154" t="str">
        <f>IF(PL[[#This Row],[STATUS IUP]]="CERRADO","CERRADO",IF(ISNUMBER(SEARCH("validacion de enel",PL[[#This Row],[SUPPLIER NOTES]])),"PTE Validar Enel","ABIERTO"))</f>
        <v>CERRADO</v>
      </c>
      <c r="P459" s="154" t="str">
        <f>IF(PL[[#This Row],[ESTADO]]="CERRADO","Cerrados IUP",IF(PL[[#This Row],[ESTADO]]="PTE Validar Enel","Pendiente cierre ENEL",IF(ISNUMBER(SEARCH("suministro",PL[[#This Row],[SUPPLIER NOTES]])),"Suministros",IF(PL[[#This Row],[SC]]="SOCIAL","Social",IF(ISNUMBER(SEARCH("monolito",PL[[#This Row],[DESCRIPTION]])),"Monolitos","Varios")))))</f>
        <v>Cerrados IUP</v>
      </c>
      <c r="Q4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0" spans="1:17" hidden="1" x14ac:dyDescent="0.2">
      <c r="A460" s="66" t="s">
        <v>631</v>
      </c>
      <c r="B460" s="67" t="s">
        <v>8</v>
      </c>
      <c r="C460" s="82">
        <v>8</v>
      </c>
      <c r="D460" s="68" t="s">
        <v>3377</v>
      </c>
      <c r="E460" s="67"/>
      <c r="F460" s="67" t="s">
        <v>632</v>
      </c>
      <c r="G460" s="90" t="s">
        <v>108</v>
      </c>
      <c r="H460" s="90" t="s">
        <v>3459</v>
      </c>
      <c r="I460" s="67"/>
      <c r="J460" s="67" t="s">
        <v>11</v>
      </c>
      <c r="K460" s="67" t="s">
        <v>3393</v>
      </c>
      <c r="L460" s="67"/>
      <c r="M460" s="69"/>
      <c r="N460" s="67" t="str">
        <f>IF(ISNUMBER(PL[[#This Row],[CTO]]),"CTO "&amp;PL[[#This Row],[CTO]],"Otros")</f>
        <v>CTO 8</v>
      </c>
      <c r="O460" s="67" t="str">
        <f>IF(PL[[#This Row],[STATUS IUP]]="CERRADO","CERRADO",IF(ISNUMBER(SEARCH("validacion de enel",PL[[#This Row],[SUPPLIER NOTES]])),"PTE Validar Enel","ABIERTO"))</f>
        <v>ABIERTO</v>
      </c>
      <c r="P460" s="67" t="str">
        <f>IF(PL[[#This Row],[ESTADO]]="CERRADO","Cerrados IUP",IF(PL[[#This Row],[ESTADO]]="PTE Validar Enel","Pendiente cierre ENEL",IF(ISNUMBER(SEARCH("suministro",PL[[#This Row],[SUPPLIER NOTES]])),"Suministros",IF(PL[[#This Row],[SC]]="SOCIAL","Social",IF(ISNUMBER(SEARCH("monolito",PL[[#This Row],[DESCRIPTION]])),"Monolitos","Varios")))))</f>
        <v>Varios</v>
      </c>
      <c r="Q46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1" spans="1:17" s="157" customFormat="1" hidden="1" x14ac:dyDescent="0.2">
      <c r="A461" s="151" t="s">
        <v>641</v>
      </c>
      <c r="B461" s="154" t="s">
        <v>8</v>
      </c>
      <c r="C461" s="154">
        <v>8</v>
      </c>
      <c r="D461" s="153" t="s">
        <v>3377</v>
      </c>
      <c r="E461" s="154"/>
      <c r="F461" s="154" t="s">
        <v>642</v>
      </c>
      <c r="G461" s="154" t="s">
        <v>108</v>
      </c>
      <c r="H461" s="154" t="s">
        <v>3461</v>
      </c>
      <c r="I461" s="154"/>
      <c r="J461" s="154" t="s">
        <v>74</v>
      </c>
      <c r="K461" s="154" t="s">
        <v>3394</v>
      </c>
      <c r="L461" s="155">
        <v>46304</v>
      </c>
      <c r="M461" s="156"/>
      <c r="N461" s="154" t="str">
        <f>IF(ISNUMBER(PL[[#This Row],[CTO]]),"CTO "&amp;PL[[#This Row],[CTO]],"Otros")</f>
        <v>CTO 8</v>
      </c>
      <c r="O461" s="154" t="str">
        <f>IF(PL[[#This Row],[STATUS IUP]]="CERRADO","CERRADO",IF(ISNUMBER(SEARCH("validacion de enel",PL[[#This Row],[SUPPLIER NOTES]])),"PTE Validar Enel","ABIERTO"))</f>
        <v>CERRADO</v>
      </c>
      <c r="P461" s="154" t="str">
        <f>IF(PL[[#This Row],[ESTADO]]="CERRADO","Cerrados IUP",IF(PL[[#This Row],[ESTADO]]="PTE Validar Enel","Pendiente cierre ENEL",IF(ISNUMBER(SEARCH("suministro",PL[[#This Row],[SUPPLIER NOTES]])),"Suministros",IF(PL[[#This Row],[SC]]="SOCIAL","Social",IF(ISNUMBER(SEARCH("monolito",PL[[#This Row],[DESCRIPTION]])),"Monolitos","Varios")))))</f>
        <v>Cerrados IUP</v>
      </c>
      <c r="Q4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2" spans="1:17" s="157" customFormat="1" hidden="1" x14ac:dyDescent="0.2">
      <c r="A462" s="151" t="s">
        <v>1113</v>
      </c>
      <c r="B462" s="154" t="s">
        <v>41</v>
      </c>
      <c r="C462" s="154">
        <v>8</v>
      </c>
      <c r="D462" s="154" t="s">
        <v>3377</v>
      </c>
      <c r="E462" s="153" t="s">
        <v>3392</v>
      </c>
      <c r="F462" s="154" t="s">
        <v>1114</v>
      </c>
      <c r="G462" s="154" t="s">
        <v>43</v>
      </c>
      <c r="H462" s="154" t="s">
        <v>163</v>
      </c>
      <c r="I462" s="154" t="s">
        <v>163</v>
      </c>
      <c r="J462" s="154" t="s">
        <v>74</v>
      </c>
      <c r="K462" s="154" t="s">
        <v>3394</v>
      </c>
      <c r="L462" s="161">
        <v>46226</v>
      </c>
      <c r="M462" s="160">
        <v>46226</v>
      </c>
      <c r="N462" s="154" t="str">
        <f>IF(ISNUMBER(PL[[#This Row],[CTO]]),"CTO "&amp;PL[[#This Row],[CTO]],"Otros")</f>
        <v>CTO 8</v>
      </c>
      <c r="O462" s="154" t="str">
        <f>IF(PL[[#This Row],[STATUS IUP]]="CERRADO","CERRADO",IF(ISNUMBER(SEARCH("validacion de enel",PL[[#This Row],[SUPPLIER NOTES]])),"PTE Validar Enel","ABIERTO"))</f>
        <v>CERRADO</v>
      </c>
      <c r="P462" s="154" t="str">
        <f>IF(PL[[#This Row],[ESTADO]]="CERRADO","Cerrados IUP",IF(PL[[#This Row],[ESTADO]]="PTE Validar Enel","Pendiente cierre ENEL",IF(ISNUMBER(SEARCH("suministro",PL[[#This Row],[SUPPLIER NOTES]])),"Suministros",IF(PL[[#This Row],[SC]]="SOCIAL","Social",IF(ISNUMBER(SEARCH("monolito",PL[[#This Row],[DESCRIPTION]])),"Monolitos","Varios")))))</f>
        <v>Cerrados IUP</v>
      </c>
      <c r="Q4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3" spans="1:17" hidden="1" x14ac:dyDescent="0.2">
      <c r="A463" s="66" t="s">
        <v>651</v>
      </c>
      <c r="B463" s="67" t="s">
        <v>8</v>
      </c>
      <c r="C463" s="82">
        <v>8</v>
      </c>
      <c r="D463" s="68" t="s">
        <v>3377</v>
      </c>
      <c r="E463" s="67"/>
      <c r="F463" s="67" t="s">
        <v>652</v>
      </c>
      <c r="G463" s="82" t="s">
        <v>1289</v>
      </c>
      <c r="H463" s="90" t="s">
        <v>3463</v>
      </c>
      <c r="I463" s="67"/>
      <c r="J463" s="67" t="s">
        <v>11</v>
      </c>
      <c r="K463" s="67" t="s">
        <v>3393</v>
      </c>
      <c r="L463" s="67"/>
      <c r="M463" s="69"/>
      <c r="N463" s="67" t="str">
        <f>IF(ISNUMBER(PL[[#This Row],[CTO]]),"CTO "&amp;PL[[#This Row],[CTO]],"Otros")</f>
        <v>CTO 8</v>
      </c>
      <c r="O463" s="67" t="str">
        <f>IF(PL[[#This Row],[STATUS IUP]]="CERRADO","CERRADO",IF(ISNUMBER(SEARCH("validacion de enel",PL[[#This Row],[SUPPLIER NOTES]])),"PTE Validar Enel","ABIERTO"))</f>
        <v>ABIERTO</v>
      </c>
      <c r="P463" s="67" t="str">
        <f>IF(PL[[#This Row],[ESTADO]]="CERRADO","Cerrados IUP",IF(PL[[#This Row],[ESTADO]]="PTE Validar Enel","Pendiente cierre ENEL",IF(ISNUMBER(SEARCH("suministro",PL[[#This Row],[SUPPLIER NOTES]])),"Suministros",IF(PL[[#This Row],[SC]]="SOCIAL","Social",IF(ISNUMBER(SEARCH("monolito",PL[[#This Row],[DESCRIPTION]])),"Monolitos","Varios")))))</f>
        <v>Varios</v>
      </c>
      <c r="Q46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4" spans="1:17" s="157" customFormat="1" hidden="1" x14ac:dyDescent="0.2">
      <c r="A464" s="151" t="s">
        <v>653</v>
      </c>
      <c r="B464" s="154" t="s">
        <v>8</v>
      </c>
      <c r="C464" s="154">
        <v>8</v>
      </c>
      <c r="D464" s="153" t="s">
        <v>3377</v>
      </c>
      <c r="E464" s="154"/>
      <c r="F464" s="154" t="s">
        <v>654</v>
      </c>
      <c r="G464" s="154" t="s">
        <v>1289</v>
      </c>
      <c r="H464" s="154" t="s">
        <v>3463</v>
      </c>
      <c r="I464" s="154"/>
      <c r="J464" s="154" t="s">
        <v>74</v>
      </c>
      <c r="K464" s="154" t="s">
        <v>3394</v>
      </c>
      <c r="L464" s="155">
        <v>46304</v>
      </c>
      <c r="M464" s="156"/>
      <c r="N464" s="154" t="str">
        <f>IF(ISNUMBER(PL[[#This Row],[CTO]]),"CTO "&amp;PL[[#This Row],[CTO]],"Otros")</f>
        <v>CTO 8</v>
      </c>
      <c r="O464" s="154" t="str">
        <f>IF(PL[[#This Row],[STATUS IUP]]="CERRADO","CERRADO",IF(ISNUMBER(SEARCH("validacion de enel",PL[[#This Row],[SUPPLIER NOTES]])),"PTE Validar Enel","ABIERTO"))</f>
        <v>CERRADO</v>
      </c>
      <c r="P464" s="154" t="str">
        <f>IF(PL[[#This Row],[ESTADO]]="CERRADO","Cerrados IUP",IF(PL[[#This Row],[ESTADO]]="PTE Validar Enel","Pendiente cierre ENEL",IF(ISNUMBER(SEARCH("suministro",PL[[#This Row],[SUPPLIER NOTES]])),"Suministros",IF(PL[[#This Row],[SC]]="SOCIAL","Social",IF(ISNUMBER(SEARCH("monolito",PL[[#This Row],[DESCRIPTION]])),"Monolitos","Varios")))))</f>
        <v>Cerrados IUP</v>
      </c>
      <c r="Q4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5" spans="1:17" hidden="1" x14ac:dyDescent="0.2">
      <c r="A465" s="66" t="s">
        <v>679</v>
      </c>
      <c r="B465" s="67" t="s">
        <v>8</v>
      </c>
      <c r="C465" s="82">
        <v>8</v>
      </c>
      <c r="D465" s="68" t="s">
        <v>3377</v>
      </c>
      <c r="E465" s="67"/>
      <c r="F465" s="67" t="s">
        <v>680</v>
      </c>
      <c r="G465" s="82" t="s">
        <v>1290</v>
      </c>
      <c r="H465" s="90"/>
      <c r="I465" s="67"/>
      <c r="J465" s="67" t="s">
        <v>11</v>
      </c>
      <c r="K465" s="67" t="s">
        <v>3393</v>
      </c>
      <c r="L465" s="67"/>
      <c r="M465" s="69"/>
      <c r="N465" s="67" t="str">
        <f>IF(ISNUMBER(PL[[#This Row],[CTO]]),"CTO "&amp;PL[[#This Row],[CTO]],"Otros")</f>
        <v>CTO 8</v>
      </c>
      <c r="O465" s="67" t="str">
        <f>IF(PL[[#This Row],[STATUS IUP]]="CERRADO","CERRADO",IF(ISNUMBER(SEARCH("validacion de enel",PL[[#This Row],[SUPPLIER NOTES]])),"PTE Validar Enel","ABIERTO"))</f>
        <v>ABIERTO</v>
      </c>
      <c r="P465" s="67" t="str">
        <f>IF(PL[[#This Row],[ESTADO]]="CERRADO","Cerrados IUP",IF(PL[[#This Row],[ESTADO]]="PTE Validar Enel","Pendiente cierre ENEL",IF(ISNUMBER(SEARCH("suministro",PL[[#This Row],[SUPPLIER NOTES]])),"Suministros",IF(PL[[#This Row],[SC]]="SOCIAL","Social",IF(ISNUMBER(SEARCH("monolito",PL[[#This Row],[DESCRIPTION]])),"Monolitos","Varios")))))</f>
        <v>Varios</v>
      </c>
      <c r="Q46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6" spans="1:17" ht="16" hidden="1" x14ac:dyDescent="0.2">
      <c r="A466" s="116" t="s">
        <v>686</v>
      </c>
      <c r="B466" s="52" t="s">
        <v>8</v>
      </c>
      <c r="C466" s="82">
        <v>8</v>
      </c>
      <c r="D466" s="118" t="s">
        <v>3377</v>
      </c>
      <c r="E466" s="117"/>
      <c r="F466" s="52" t="s">
        <v>687</v>
      </c>
      <c r="G466" s="82" t="s">
        <v>128</v>
      </c>
      <c r="H466" s="87" t="s">
        <v>3454</v>
      </c>
      <c r="I466" s="87"/>
      <c r="J466" s="87" t="s">
        <v>11</v>
      </c>
      <c r="K466" s="87" t="s">
        <v>3393</v>
      </c>
      <c r="L466" s="87"/>
      <c r="M466" s="89"/>
      <c r="N466" s="87" t="str">
        <f>IF(ISNUMBER(PL[[#This Row],[CTO]]),"CTO "&amp;PL[[#This Row],[CTO]],"Otros")</f>
        <v>CTO 8</v>
      </c>
      <c r="O466" s="87" t="str">
        <f>IF(PL[[#This Row],[STATUS IUP]]="CERRADO","CERRADO",IF(ISNUMBER(SEARCH("validacion de enel",PL[[#This Row],[SUPPLIER NOTES]])),"PTE Validar Enel","ABIERTO"))</f>
        <v>PTE Validar Enel</v>
      </c>
      <c r="P46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6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7" spans="1:17" ht="32" hidden="1" x14ac:dyDescent="0.2">
      <c r="A467" s="116" t="s">
        <v>688</v>
      </c>
      <c r="B467" s="52" t="s">
        <v>8</v>
      </c>
      <c r="C467" s="82">
        <v>8</v>
      </c>
      <c r="D467" s="118" t="s">
        <v>3377</v>
      </c>
      <c r="E467" s="117"/>
      <c r="F467" s="52" t="s">
        <v>689</v>
      </c>
      <c r="G467" s="82" t="s">
        <v>128</v>
      </c>
      <c r="H467" s="87" t="s">
        <v>3454</v>
      </c>
      <c r="I467" s="87"/>
      <c r="J467" s="87" t="s">
        <v>11</v>
      </c>
      <c r="K467" s="87" t="s">
        <v>3393</v>
      </c>
      <c r="L467" s="87"/>
      <c r="M467" s="89"/>
      <c r="N467" s="87" t="str">
        <f>IF(ISNUMBER(PL[[#This Row],[CTO]]),"CTO "&amp;PL[[#This Row],[CTO]],"Otros")</f>
        <v>CTO 8</v>
      </c>
      <c r="O467" s="87" t="str">
        <f>IF(PL[[#This Row],[STATUS IUP]]="CERRADO","CERRADO",IF(ISNUMBER(SEARCH("validacion de enel",PL[[#This Row],[SUPPLIER NOTES]])),"PTE Validar Enel","ABIERTO"))</f>
        <v>PTE Validar Enel</v>
      </c>
      <c r="P46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6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68" spans="1:17" hidden="1" x14ac:dyDescent="0.2">
      <c r="A468" s="75" t="s">
        <v>1089</v>
      </c>
      <c r="B468" s="74" t="s">
        <v>41</v>
      </c>
      <c r="C468" s="82">
        <v>8</v>
      </c>
      <c r="D468" s="74" t="s">
        <v>3377</v>
      </c>
      <c r="E468" s="76" t="s">
        <v>3392</v>
      </c>
      <c r="F468" s="74" t="s">
        <v>1090</v>
      </c>
      <c r="G468" s="74" t="s">
        <v>49</v>
      </c>
      <c r="H468" s="74" t="s">
        <v>3462</v>
      </c>
      <c r="I468" s="74"/>
      <c r="J468" s="74" t="s">
        <v>11</v>
      </c>
      <c r="K468" s="74" t="s">
        <v>3393</v>
      </c>
      <c r="L468" s="74"/>
      <c r="M468" s="77"/>
      <c r="N468" s="74" t="str">
        <f>IF(ISNUMBER(PL[[#This Row],[CTO]]),"CTO "&amp;PL[[#This Row],[CTO]],"Otros")</f>
        <v>CTO 8</v>
      </c>
      <c r="O468" s="74" t="str">
        <f>IF(PL[[#This Row],[STATUS IUP]]="CERRADO","CERRADO",IF(ISNUMBER(SEARCH("validacion de enel",PL[[#This Row],[SUPPLIER NOTES]])),"PTE Validar Enel","ABIERTO"))</f>
        <v>ABIERTO</v>
      </c>
      <c r="P468" s="74" t="str">
        <f>IF(PL[[#This Row],[ESTADO]]="CERRADO","Cerrados IUP",IF(PL[[#This Row],[ESTADO]]="PTE Validar Enel","Pendiente cierre ENEL",IF(ISNUMBER(SEARCH("suministro",PL[[#This Row],[SUPPLIER NOTES]])),"Suministros",IF(PL[[#This Row],[SC]]="SOCIAL","Social",IF(ISNUMBER(SEARCH("monolito",PL[[#This Row],[DESCRIPTION]])),"Monolitos","Varios")))))</f>
        <v>Suministros</v>
      </c>
      <c r="Q46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469" spans="1:17" s="157" customFormat="1" hidden="1" x14ac:dyDescent="0.2">
      <c r="A469" s="151" t="s">
        <v>1091</v>
      </c>
      <c r="B469" s="154" t="s">
        <v>41</v>
      </c>
      <c r="C469" s="154">
        <v>8</v>
      </c>
      <c r="D469" s="154" t="s">
        <v>3377</v>
      </c>
      <c r="E469" s="153" t="s">
        <v>3392</v>
      </c>
      <c r="F469" s="154" t="s">
        <v>1092</v>
      </c>
      <c r="G469" s="154" t="s">
        <v>49</v>
      </c>
      <c r="H469" s="154"/>
      <c r="I469" s="154"/>
      <c r="J469" s="154" t="s">
        <v>74</v>
      </c>
      <c r="K469" s="154" t="s">
        <v>3394</v>
      </c>
      <c r="L469" s="154"/>
      <c r="M469" s="156"/>
      <c r="N469" s="154" t="str">
        <f>IF(ISNUMBER(PL[[#This Row],[CTO]]),"CTO "&amp;PL[[#This Row],[CTO]],"Otros")</f>
        <v>CTO 8</v>
      </c>
      <c r="O469" s="154" t="str">
        <f>IF(PL[[#This Row],[STATUS IUP]]="CERRADO","CERRADO",IF(ISNUMBER(SEARCH("validacion de enel",PL[[#This Row],[SUPPLIER NOTES]])),"PTE Validar Enel","ABIERTO"))</f>
        <v>CERRADO</v>
      </c>
      <c r="P469" s="154" t="str">
        <f>IF(PL[[#This Row],[ESTADO]]="CERRADO","Cerrados IUP",IF(PL[[#This Row],[ESTADO]]="PTE Validar Enel","Pendiente cierre ENEL",IF(ISNUMBER(SEARCH("suministro",PL[[#This Row],[SUPPLIER NOTES]])),"Suministros",IF(PL[[#This Row],[SC]]="SOCIAL","Social",IF(ISNUMBER(SEARCH("monolito",PL[[#This Row],[DESCRIPTION]])),"Monolitos","Varios")))))</f>
        <v>Cerrados IUP</v>
      </c>
      <c r="Q4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470" spans="1:17" s="157" customFormat="1" hidden="1" x14ac:dyDescent="0.2">
      <c r="A470" s="151" t="s">
        <v>1254</v>
      </c>
      <c r="B470" s="154" t="s">
        <v>8</v>
      </c>
      <c r="C470" s="154">
        <v>8</v>
      </c>
      <c r="D470" s="153" t="s">
        <v>3377</v>
      </c>
      <c r="E470" s="154"/>
      <c r="F470" s="154" t="s">
        <v>1255</v>
      </c>
      <c r="G470" s="154" t="s">
        <v>43</v>
      </c>
      <c r="H470" s="154"/>
      <c r="I470" s="154"/>
      <c r="J470" s="154" t="s">
        <v>74</v>
      </c>
      <c r="K470" s="154" t="s">
        <v>3394</v>
      </c>
      <c r="L470" s="154"/>
      <c r="M470" s="156"/>
      <c r="N470" s="154" t="str">
        <f>IF(ISNUMBER(PL[[#This Row],[CTO]]),"CTO "&amp;PL[[#This Row],[CTO]],"Otros")</f>
        <v>CTO 8</v>
      </c>
      <c r="O470" s="154" t="str">
        <f>IF(PL[[#This Row],[STATUS IUP]]="CERRADO","CERRADO",IF(ISNUMBER(SEARCH("validacion de enel",PL[[#This Row],[SUPPLIER NOTES]])),"PTE Validar Enel","ABIERTO"))</f>
        <v>CERRADO</v>
      </c>
      <c r="P470" s="154" t="str">
        <f>IF(PL[[#This Row],[ESTADO]]="CERRADO","Cerrados IUP",IF(PL[[#This Row],[ESTADO]]="PTE Validar Enel","Pendiente cierre ENEL",IF(ISNUMBER(SEARCH("suministro",PL[[#This Row],[SUPPLIER NOTES]])),"Suministros",IF(PL[[#This Row],[SC]]="SOCIAL","Social",IF(ISNUMBER(SEARCH("monolito",PL[[#This Row],[DESCRIPTION]])),"Monolitos","Varios")))))</f>
        <v>Cerrados IUP</v>
      </c>
      <c r="Q4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471" spans="1:17" ht="32" x14ac:dyDescent="0.2">
      <c r="A471" s="86" t="s">
        <v>1236</v>
      </c>
      <c r="B471" s="115" t="s">
        <v>8</v>
      </c>
      <c r="C471" s="82">
        <v>8</v>
      </c>
      <c r="D471" s="88" t="s">
        <v>3377</v>
      </c>
      <c r="E471" s="87"/>
      <c r="F471" s="115" t="s">
        <v>1237</v>
      </c>
      <c r="G471" s="87" t="s">
        <v>43</v>
      </c>
      <c r="H471" s="87" t="s">
        <v>3454</v>
      </c>
      <c r="I471" s="87"/>
      <c r="J471" s="87" t="s">
        <v>11</v>
      </c>
      <c r="K471" s="87" t="s">
        <v>3393</v>
      </c>
      <c r="L471" s="87"/>
      <c r="M471" s="89"/>
      <c r="N471" s="87" t="str">
        <f>IF(ISNUMBER(PL[[#This Row],[CTO]]),"CTO "&amp;PL[[#This Row],[CTO]],"Otros")</f>
        <v>CTO 8</v>
      </c>
      <c r="O471" s="87" t="str">
        <f>IF(PL[[#This Row],[STATUS IUP]]="CERRADO","CERRADO",IF(ISNUMBER(SEARCH("validacion de enel",PL[[#This Row],[SUPPLIER NOTES]])),"PTE Validar Enel","ABIERTO"))</f>
        <v>PTE Validar Enel</v>
      </c>
      <c r="P47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7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2" spans="1:17" ht="32" hidden="1" x14ac:dyDescent="0.2">
      <c r="A472" s="86" t="s">
        <v>734</v>
      </c>
      <c r="B472" s="115" t="s">
        <v>8</v>
      </c>
      <c r="C472" s="82">
        <v>8</v>
      </c>
      <c r="D472" s="88" t="s">
        <v>3378</v>
      </c>
      <c r="E472" s="87"/>
      <c r="F472" s="115" t="s">
        <v>735</v>
      </c>
      <c r="G472" s="87" t="s">
        <v>108</v>
      </c>
      <c r="H472" s="87" t="s">
        <v>3454</v>
      </c>
      <c r="I472" s="87"/>
      <c r="J472" s="87" t="s">
        <v>74</v>
      </c>
      <c r="K472" s="87" t="s">
        <v>3394</v>
      </c>
      <c r="L472" s="120">
        <v>46305</v>
      </c>
      <c r="M472" s="89"/>
      <c r="N472" s="87" t="str">
        <f>IF(ISNUMBER(PL[[#This Row],[CTO]]),"CTO "&amp;PL[[#This Row],[CTO]],"Otros")</f>
        <v>CTO 8</v>
      </c>
      <c r="O472" s="87" t="str">
        <f>IF(PL[[#This Row],[STATUS IUP]]="CERRADO","CERRADO",IF(ISNUMBER(SEARCH("validacion de enel",PL[[#This Row],[SUPPLIER NOTES]])),"PTE Validar Enel","ABIERTO"))</f>
        <v>CERRADO</v>
      </c>
      <c r="P472" s="87" t="str">
        <f>IF(PL[[#This Row],[ESTADO]]="CERRADO","Cerrados IUP",IF(PL[[#This Row],[ESTADO]]="PTE Validar Enel","Pendiente cierre ENEL",IF(ISNUMBER(SEARCH("suministro",PL[[#This Row],[SUPPLIER NOTES]])),"Suministros",IF(PL[[#This Row],[SC]]="SOCIAL","Social",IF(ISNUMBER(SEARCH("monolito",PL[[#This Row],[DESCRIPTION]])),"Monolitos","Varios")))))</f>
        <v>Cerrados IUP</v>
      </c>
      <c r="Q47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3" spans="1:17" ht="32" hidden="1" x14ac:dyDescent="0.2">
      <c r="A473" s="86" t="s">
        <v>748</v>
      </c>
      <c r="B473" s="115" t="s">
        <v>8</v>
      </c>
      <c r="C473" s="82">
        <v>8</v>
      </c>
      <c r="D473" s="88" t="s">
        <v>3378</v>
      </c>
      <c r="E473" s="87"/>
      <c r="F473" s="115" t="s">
        <v>749</v>
      </c>
      <c r="G473" s="82" t="s">
        <v>1289</v>
      </c>
      <c r="H473" s="87" t="s">
        <v>3454</v>
      </c>
      <c r="I473" s="87"/>
      <c r="J473" s="87" t="s">
        <v>11</v>
      </c>
      <c r="K473" s="87" t="s">
        <v>3393</v>
      </c>
      <c r="L473" s="87"/>
      <c r="M473" s="89"/>
      <c r="N473" s="87" t="str">
        <f>IF(ISNUMBER(PL[[#This Row],[CTO]]),"CTO "&amp;PL[[#This Row],[CTO]],"Otros")</f>
        <v>CTO 8</v>
      </c>
      <c r="O473" s="87" t="str">
        <f>IF(PL[[#This Row],[STATUS IUP]]="CERRADO","CERRADO",IF(ISNUMBER(SEARCH("validacion de enel",PL[[#This Row],[SUPPLIER NOTES]])),"PTE Validar Enel","ABIERTO"))</f>
        <v>PTE Validar Enel</v>
      </c>
      <c r="P47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47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4" spans="1:17" s="157" customFormat="1" ht="48" hidden="1" x14ac:dyDescent="0.2">
      <c r="A474" s="151" t="s">
        <v>764</v>
      </c>
      <c r="B474" s="152" t="s">
        <v>8</v>
      </c>
      <c r="C474" s="154">
        <v>8</v>
      </c>
      <c r="D474" s="153" t="s">
        <v>3378</v>
      </c>
      <c r="E474" s="154"/>
      <c r="F474" s="152" t="s">
        <v>765</v>
      </c>
      <c r="G474" s="154" t="s">
        <v>1289</v>
      </c>
      <c r="H474" s="154" t="s">
        <v>3454</v>
      </c>
      <c r="I474" s="154"/>
      <c r="J474" s="154" t="s">
        <v>74</v>
      </c>
      <c r="K474" s="154" t="s">
        <v>3394</v>
      </c>
      <c r="L474" s="155">
        <v>46294</v>
      </c>
      <c r="M474" s="156"/>
      <c r="N474" s="154" t="str">
        <f>IF(ISNUMBER(PL[[#This Row],[CTO]]),"CTO "&amp;PL[[#This Row],[CTO]],"Otros")</f>
        <v>CTO 8</v>
      </c>
      <c r="O474" s="154" t="str">
        <f>IF(PL[[#This Row],[STATUS IUP]]="CERRADO","CERRADO",IF(ISNUMBER(SEARCH("validacion de enel",PL[[#This Row],[SUPPLIER NOTES]])),"PTE Validar Enel","ABIERTO"))</f>
        <v>CERRADO</v>
      </c>
      <c r="P474" s="154" t="str">
        <f>IF(PL[[#This Row],[ESTADO]]="CERRADO","Cerrados IUP",IF(PL[[#This Row],[ESTADO]]="PTE Validar Enel","Pendiente cierre ENEL",IF(ISNUMBER(SEARCH("suministro",PL[[#This Row],[SUPPLIER NOTES]])),"Suministros",IF(PL[[#This Row],[SC]]="SOCIAL","Social",IF(ISNUMBER(SEARCH("monolito",PL[[#This Row],[DESCRIPTION]])),"Monolitos","Varios")))))</f>
        <v>Cerrados IUP</v>
      </c>
      <c r="Q4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5" spans="1:17" s="157" customFormat="1" hidden="1" x14ac:dyDescent="0.2">
      <c r="A475" s="151" t="s">
        <v>1461</v>
      </c>
      <c r="B475" s="154" t="s">
        <v>1295</v>
      </c>
      <c r="C475" s="154">
        <v>8</v>
      </c>
      <c r="D475" s="153" t="s">
        <v>3378</v>
      </c>
      <c r="E475" s="154" t="s">
        <v>1462</v>
      </c>
      <c r="F475" s="154" t="s">
        <v>1365</v>
      </c>
      <c r="G475" s="154" t="s">
        <v>128</v>
      </c>
      <c r="H475" s="154"/>
      <c r="I475" s="154"/>
      <c r="J475" s="154" t="s">
        <v>74</v>
      </c>
      <c r="K475" s="154" t="s">
        <v>3394</v>
      </c>
      <c r="L475" s="154"/>
      <c r="M475" s="156"/>
      <c r="N475" s="154" t="str">
        <f>IF(ISNUMBER(PL[[#This Row],[CTO]]),"CTO "&amp;PL[[#This Row],[CTO]],"Otros")</f>
        <v>CTO 8</v>
      </c>
      <c r="O475" s="154" t="str">
        <f>IF(PL[[#This Row],[STATUS IUP]]="CERRADO","CERRADO",IF(ISNUMBER(SEARCH("validacion de enel",PL[[#This Row],[SUPPLIER NOTES]])),"PTE Validar Enel","ABIERTO"))</f>
        <v>CERRADO</v>
      </c>
      <c r="P475" s="154" t="str">
        <f>IF(PL[[#This Row],[ESTADO]]="CERRADO","Cerrados IUP",IF(PL[[#This Row],[ESTADO]]="PTE Validar Enel","Pendiente cierre ENEL",IF(ISNUMBER(SEARCH("suministro",PL[[#This Row],[SUPPLIER NOTES]])),"Suministros",IF(PL[[#This Row],[SC]]="SOCIAL","Social",IF(ISNUMBER(SEARCH("monolito",PL[[#This Row],[DESCRIPTION]])),"Monolitos","Varios")))))</f>
        <v>Cerrados IUP</v>
      </c>
      <c r="Q4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6" spans="1:17" s="157" customFormat="1" hidden="1" x14ac:dyDescent="0.2">
      <c r="A476" s="151" t="s">
        <v>2962</v>
      </c>
      <c r="B476" s="154" t="s">
        <v>290</v>
      </c>
      <c r="C476" s="154">
        <v>8</v>
      </c>
      <c r="D476" s="153" t="s">
        <v>3378</v>
      </c>
      <c r="E476" s="154" t="s">
        <v>2963</v>
      </c>
      <c r="F476" s="154" t="s">
        <v>2964</v>
      </c>
      <c r="G476" s="154" t="s">
        <v>291</v>
      </c>
      <c r="H476" s="154"/>
      <c r="I476" s="154"/>
      <c r="J476" s="154" t="s">
        <v>74</v>
      </c>
      <c r="K476" s="154" t="s">
        <v>3394</v>
      </c>
      <c r="L476" s="154"/>
      <c r="M476" s="156"/>
      <c r="N476" s="154" t="str">
        <f>IF(ISNUMBER(PL[[#This Row],[CTO]]),"CTO "&amp;PL[[#This Row],[CTO]],"Otros")</f>
        <v>CTO 8</v>
      </c>
      <c r="O476" s="154" t="str">
        <f>IF(PL[[#This Row],[STATUS IUP]]="CERRADO","CERRADO",IF(ISNUMBER(SEARCH("validacion de enel",PL[[#This Row],[SUPPLIER NOTES]])),"PTE Validar Enel","ABIERTO"))</f>
        <v>CERRADO</v>
      </c>
      <c r="P476" s="154" t="str">
        <f>IF(PL[[#This Row],[ESTADO]]="CERRADO","Cerrados IUP",IF(PL[[#This Row],[ESTADO]]="PTE Validar Enel","Pendiente cierre ENEL",IF(ISNUMBER(SEARCH("suministro",PL[[#This Row],[SUPPLIER NOTES]])),"Suministros",IF(PL[[#This Row],[SC]]="SOCIAL","Social",IF(ISNUMBER(SEARCH("monolito",PL[[#This Row],[DESCRIPTION]])),"Monolitos","Varios")))))</f>
        <v>Cerrados IUP</v>
      </c>
      <c r="Q4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7" spans="1:17" s="157" customFormat="1" hidden="1" x14ac:dyDescent="0.2">
      <c r="A477" s="151" t="s">
        <v>52</v>
      </c>
      <c r="B477" s="154" t="s">
        <v>47</v>
      </c>
      <c r="C477" s="154">
        <v>8</v>
      </c>
      <c r="D477" s="153" t="s">
        <v>3378</v>
      </c>
      <c r="E477" s="154"/>
      <c r="F477" s="154" t="s">
        <v>53</v>
      </c>
      <c r="G477" s="154" t="s">
        <v>49</v>
      </c>
      <c r="H477" s="154"/>
      <c r="I477" s="154"/>
      <c r="J477" s="154" t="s">
        <v>74</v>
      </c>
      <c r="K477" s="154" t="s">
        <v>3394</v>
      </c>
      <c r="L477" s="154"/>
      <c r="M477" s="156"/>
      <c r="N477" s="154" t="str">
        <f>IF(ISNUMBER(PL[[#This Row],[CTO]]),"CTO "&amp;PL[[#This Row],[CTO]],"Otros")</f>
        <v>CTO 8</v>
      </c>
      <c r="O477" s="154" t="str">
        <f>IF(PL[[#This Row],[STATUS IUP]]="CERRADO","CERRADO",IF(ISNUMBER(SEARCH("validacion de enel",PL[[#This Row],[SUPPLIER NOTES]])),"PTE Validar Enel","ABIERTO"))</f>
        <v>CERRADO</v>
      </c>
      <c r="P477" s="154" t="str">
        <f>IF(PL[[#This Row],[ESTADO]]="CERRADO","Cerrados IUP",IF(PL[[#This Row],[ESTADO]]="PTE Validar Enel","Pendiente cierre ENEL",IF(ISNUMBER(SEARCH("suministro",PL[[#This Row],[SUPPLIER NOTES]])),"Suministros",IF(PL[[#This Row],[SC]]="SOCIAL","Social",IF(ISNUMBER(SEARCH("monolito",PL[[#This Row],[DESCRIPTION]])),"Monolitos","Varios")))))</f>
        <v>Cerrados IUP</v>
      </c>
      <c r="Q4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8" spans="1:17" s="157" customFormat="1" hidden="1" x14ac:dyDescent="0.2">
      <c r="A478" s="151" t="s">
        <v>708</v>
      </c>
      <c r="B478" s="154" t="s">
        <v>8</v>
      </c>
      <c r="C478" s="154">
        <v>8</v>
      </c>
      <c r="D478" s="153" t="s">
        <v>3378</v>
      </c>
      <c r="E478" s="154"/>
      <c r="F478" s="154" t="s">
        <v>709</v>
      </c>
      <c r="G478" s="154" t="s">
        <v>1290</v>
      </c>
      <c r="H478" s="154"/>
      <c r="I478" s="154"/>
      <c r="J478" s="154" t="s">
        <v>74</v>
      </c>
      <c r="K478" s="154" t="s">
        <v>3394</v>
      </c>
      <c r="L478" s="154"/>
      <c r="M478" s="156"/>
      <c r="N478" s="154" t="str">
        <f>IF(ISNUMBER(PL[[#This Row],[CTO]]),"CTO "&amp;PL[[#This Row],[CTO]],"Otros")</f>
        <v>CTO 8</v>
      </c>
      <c r="O478" s="154" t="str">
        <f>IF(PL[[#This Row],[STATUS IUP]]="CERRADO","CERRADO",IF(ISNUMBER(SEARCH("validacion de enel",PL[[#This Row],[SUPPLIER NOTES]])),"PTE Validar Enel","ABIERTO"))</f>
        <v>CERRADO</v>
      </c>
      <c r="P478" s="154" t="str">
        <f>IF(PL[[#This Row],[ESTADO]]="CERRADO","Cerrados IUP",IF(PL[[#This Row],[ESTADO]]="PTE Validar Enel","Pendiente cierre ENEL",IF(ISNUMBER(SEARCH("suministro",PL[[#This Row],[SUPPLIER NOTES]])),"Suministros",IF(PL[[#This Row],[SC]]="SOCIAL","Social",IF(ISNUMBER(SEARCH("monolito",PL[[#This Row],[DESCRIPTION]])),"Monolitos","Varios")))))</f>
        <v>Cerrados IUP</v>
      </c>
      <c r="Q4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79" spans="1:17" s="157" customFormat="1" hidden="1" x14ac:dyDescent="0.2">
      <c r="A479" s="151" t="s">
        <v>710</v>
      </c>
      <c r="B479" s="154" t="s">
        <v>8</v>
      </c>
      <c r="C479" s="154">
        <v>8</v>
      </c>
      <c r="D479" s="153" t="s">
        <v>3378</v>
      </c>
      <c r="E479" s="154"/>
      <c r="F479" s="154" t="s">
        <v>711</v>
      </c>
      <c r="G479" s="154" t="s">
        <v>1290</v>
      </c>
      <c r="H479" s="154" t="s">
        <v>73</v>
      </c>
      <c r="I479" s="154" t="s">
        <v>73</v>
      </c>
      <c r="J479" s="154" t="s">
        <v>74</v>
      </c>
      <c r="K479" s="154" t="s">
        <v>3394</v>
      </c>
      <c r="L479" s="161">
        <v>46231</v>
      </c>
      <c r="M479" s="160">
        <v>46231</v>
      </c>
      <c r="N479" s="154" t="str">
        <f>IF(ISNUMBER(PL[[#This Row],[CTO]]),"CTO "&amp;PL[[#This Row],[CTO]],"Otros")</f>
        <v>CTO 8</v>
      </c>
      <c r="O479" s="154" t="str">
        <f>IF(PL[[#This Row],[STATUS IUP]]="CERRADO","CERRADO",IF(ISNUMBER(SEARCH("validacion de enel",PL[[#This Row],[SUPPLIER NOTES]])),"PTE Validar Enel","ABIERTO"))</f>
        <v>CERRADO</v>
      </c>
      <c r="P479" s="154" t="str">
        <f>IF(PL[[#This Row],[ESTADO]]="CERRADO","Cerrados IUP",IF(PL[[#This Row],[ESTADO]]="PTE Validar Enel","Pendiente cierre ENEL",IF(ISNUMBER(SEARCH("suministro",PL[[#This Row],[SUPPLIER NOTES]])),"Suministros",IF(PL[[#This Row],[SC]]="SOCIAL","Social",IF(ISNUMBER(SEARCH("monolito",PL[[#This Row],[DESCRIPTION]])),"Monolitos","Varios")))))</f>
        <v>Cerrados IUP</v>
      </c>
      <c r="Q4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0" spans="1:17" s="157" customFormat="1" hidden="1" x14ac:dyDescent="0.2">
      <c r="A480" s="151" t="s">
        <v>712</v>
      </c>
      <c r="B480" s="154" t="s">
        <v>8</v>
      </c>
      <c r="C480" s="154">
        <v>8</v>
      </c>
      <c r="D480" s="153" t="s">
        <v>3378</v>
      </c>
      <c r="E480" s="154"/>
      <c r="F480" s="154" t="s">
        <v>713</v>
      </c>
      <c r="G480" s="154" t="s">
        <v>108</v>
      </c>
      <c r="H480" s="154"/>
      <c r="I480" s="154"/>
      <c r="J480" s="154" t="s">
        <v>74</v>
      </c>
      <c r="K480" s="154" t="s">
        <v>3394</v>
      </c>
      <c r="L480" s="154"/>
      <c r="M480" s="156"/>
      <c r="N480" s="154" t="str">
        <f>IF(ISNUMBER(PL[[#This Row],[CTO]]),"CTO "&amp;PL[[#This Row],[CTO]],"Otros")</f>
        <v>CTO 8</v>
      </c>
      <c r="O480" s="154" t="str">
        <f>IF(PL[[#This Row],[STATUS IUP]]="CERRADO","CERRADO",IF(ISNUMBER(SEARCH("validacion de enel",PL[[#This Row],[SUPPLIER NOTES]])),"PTE Validar Enel","ABIERTO"))</f>
        <v>CERRADO</v>
      </c>
      <c r="P480" s="154" t="str">
        <f>IF(PL[[#This Row],[ESTADO]]="CERRADO","Cerrados IUP",IF(PL[[#This Row],[ESTADO]]="PTE Validar Enel","Pendiente cierre ENEL",IF(ISNUMBER(SEARCH("suministro",PL[[#This Row],[SUPPLIER NOTES]])),"Suministros",IF(PL[[#This Row],[SC]]="SOCIAL","Social",IF(ISNUMBER(SEARCH("monolito",PL[[#This Row],[DESCRIPTION]])),"Monolitos","Varios")))))</f>
        <v>Cerrados IUP</v>
      </c>
      <c r="Q4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1" spans="1:17" s="157" customFormat="1" hidden="1" x14ac:dyDescent="0.2">
      <c r="A481" s="151" t="s">
        <v>714</v>
      </c>
      <c r="B481" s="154" t="s">
        <v>8</v>
      </c>
      <c r="C481" s="154">
        <v>8</v>
      </c>
      <c r="D481" s="153" t="s">
        <v>3378</v>
      </c>
      <c r="E481" s="154"/>
      <c r="F481" s="154" t="s">
        <v>715</v>
      </c>
      <c r="G481" s="154" t="s">
        <v>1290</v>
      </c>
      <c r="H481" s="154"/>
      <c r="I481" s="154"/>
      <c r="J481" s="154" t="s">
        <v>74</v>
      </c>
      <c r="K481" s="154" t="s">
        <v>3394</v>
      </c>
      <c r="L481" s="154"/>
      <c r="M481" s="156"/>
      <c r="N481" s="154" t="str">
        <f>IF(ISNUMBER(PL[[#This Row],[CTO]]),"CTO "&amp;PL[[#This Row],[CTO]],"Otros")</f>
        <v>CTO 8</v>
      </c>
      <c r="O481" s="154" t="str">
        <f>IF(PL[[#This Row],[STATUS IUP]]="CERRADO","CERRADO",IF(ISNUMBER(SEARCH("validacion de enel",PL[[#This Row],[SUPPLIER NOTES]])),"PTE Validar Enel","ABIERTO"))</f>
        <v>CERRADO</v>
      </c>
      <c r="P481" s="154" t="str">
        <f>IF(PL[[#This Row],[ESTADO]]="CERRADO","Cerrados IUP",IF(PL[[#This Row],[ESTADO]]="PTE Validar Enel","Pendiente cierre ENEL",IF(ISNUMBER(SEARCH("suministro",PL[[#This Row],[SUPPLIER NOTES]])),"Suministros",IF(PL[[#This Row],[SC]]="SOCIAL","Social",IF(ISNUMBER(SEARCH("monolito",PL[[#This Row],[DESCRIPTION]])),"Monolitos","Varios")))))</f>
        <v>Cerrados IUP</v>
      </c>
      <c r="Q4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2" spans="1:17" s="157" customFormat="1" hidden="1" x14ac:dyDescent="0.2">
      <c r="A482" s="151" t="s">
        <v>716</v>
      </c>
      <c r="B482" s="154" t="s">
        <v>8</v>
      </c>
      <c r="C482" s="154">
        <v>8</v>
      </c>
      <c r="D482" s="153" t="s">
        <v>3378</v>
      </c>
      <c r="E482" s="154"/>
      <c r="F482" s="154" t="s">
        <v>717</v>
      </c>
      <c r="G482" s="154" t="s">
        <v>1290</v>
      </c>
      <c r="H482" s="154"/>
      <c r="I482" s="154"/>
      <c r="J482" s="154" t="s">
        <v>74</v>
      </c>
      <c r="K482" s="154" t="s">
        <v>3394</v>
      </c>
      <c r="L482" s="154"/>
      <c r="M482" s="156"/>
      <c r="N482" s="154" t="str">
        <f>IF(ISNUMBER(PL[[#This Row],[CTO]]),"CTO "&amp;PL[[#This Row],[CTO]],"Otros")</f>
        <v>CTO 8</v>
      </c>
      <c r="O482" s="154" t="str">
        <f>IF(PL[[#This Row],[STATUS IUP]]="CERRADO","CERRADO",IF(ISNUMBER(SEARCH("validacion de enel",PL[[#This Row],[SUPPLIER NOTES]])),"PTE Validar Enel","ABIERTO"))</f>
        <v>CERRADO</v>
      </c>
      <c r="P482" s="154" t="str">
        <f>IF(PL[[#This Row],[ESTADO]]="CERRADO","Cerrados IUP",IF(PL[[#This Row],[ESTADO]]="PTE Validar Enel","Pendiente cierre ENEL",IF(ISNUMBER(SEARCH("suministro",PL[[#This Row],[SUPPLIER NOTES]])),"Suministros",IF(PL[[#This Row],[SC]]="SOCIAL","Social",IF(ISNUMBER(SEARCH("monolito",PL[[#This Row],[DESCRIPTION]])),"Monolitos","Varios")))))</f>
        <v>Cerrados IUP</v>
      </c>
      <c r="Q4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3" spans="1:17" s="157" customFormat="1" hidden="1" x14ac:dyDescent="0.2">
      <c r="A483" s="151" t="s">
        <v>718</v>
      </c>
      <c r="B483" s="154" t="s">
        <v>8</v>
      </c>
      <c r="C483" s="154">
        <v>8</v>
      </c>
      <c r="D483" s="153" t="s">
        <v>3378</v>
      </c>
      <c r="E483" s="154"/>
      <c r="F483" s="154" t="s">
        <v>719</v>
      </c>
      <c r="G483" s="154" t="s">
        <v>1290</v>
      </c>
      <c r="H483" s="154"/>
      <c r="I483" s="154"/>
      <c r="J483" s="154" t="s">
        <v>74</v>
      </c>
      <c r="K483" s="154" t="s">
        <v>3394</v>
      </c>
      <c r="L483" s="154"/>
      <c r="M483" s="156"/>
      <c r="N483" s="154" t="str">
        <f>IF(ISNUMBER(PL[[#This Row],[CTO]]),"CTO "&amp;PL[[#This Row],[CTO]],"Otros")</f>
        <v>CTO 8</v>
      </c>
      <c r="O483" s="154" t="str">
        <f>IF(PL[[#This Row],[STATUS IUP]]="CERRADO","CERRADO",IF(ISNUMBER(SEARCH("validacion de enel",PL[[#This Row],[SUPPLIER NOTES]])),"PTE Validar Enel","ABIERTO"))</f>
        <v>CERRADO</v>
      </c>
      <c r="P483" s="154" t="str">
        <f>IF(PL[[#This Row],[ESTADO]]="CERRADO","Cerrados IUP",IF(PL[[#This Row],[ESTADO]]="PTE Validar Enel","Pendiente cierre ENEL",IF(ISNUMBER(SEARCH("suministro",PL[[#This Row],[SUPPLIER NOTES]])),"Suministros",IF(PL[[#This Row],[SC]]="SOCIAL","Social",IF(ISNUMBER(SEARCH("monolito",PL[[#This Row],[DESCRIPTION]])),"Monolitos","Varios")))))</f>
        <v>Cerrados IUP</v>
      </c>
      <c r="Q4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4" spans="1:17" s="157" customFormat="1" hidden="1" x14ac:dyDescent="0.2">
      <c r="A484" s="151" t="s">
        <v>720</v>
      </c>
      <c r="B484" s="154" t="s">
        <v>8</v>
      </c>
      <c r="C484" s="154">
        <v>8</v>
      </c>
      <c r="D484" s="153" t="s">
        <v>3378</v>
      </c>
      <c r="E484" s="154"/>
      <c r="F484" s="154" t="s">
        <v>721</v>
      </c>
      <c r="G484" s="154" t="s">
        <v>1290</v>
      </c>
      <c r="H484" s="154"/>
      <c r="I484" s="154"/>
      <c r="J484" s="154" t="s">
        <v>74</v>
      </c>
      <c r="K484" s="154" t="s">
        <v>3394</v>
      </c>
      <c r="L484" s="154"/>
      <c r="M484" s="156"/>
      <c r="N484" s="154" t="str">
        <f>IF(ISNUMBER(PL[[#This Row],[CTO]]),"CTO "&amp;PL[[#This Row],[CTO]],"Otros")</f>
        <v>CTO 8</v>
      </c>
      <c r="O484" s="154" t="str">
        <f>IF(PL[[#This Row],[STATUS IUP]]="CERRADO","CERRADO",IF(ISNUMBER(SEARCH("validacion de enel",PL[[#This Row],[SUPPLIER NOTES]])),"PTE Validar Enel","ABIERTO"))</f>
        <v>CERRADO</v>
      </c>
      <c r="P484" s="154" t="str">
        <f>IF(PL[[#This Row],[ESTADO]]="CERRADO","Cerrados IUP",IF(PL[[#This Row],[ESTADO]]="PTE Validar Enel","Pendiente cierre ENEL",IF(ISNUMBER(SEARCH("suministro",PL[[#This Row],[SUPPLIER NOTES]])),"Suministros",IF(PL[[#This Row],[SC]]="SOCIAL","Social",IF(ISNUMBER(SEARCH("monolito",PL[[#This Row],[DESCRIPTION]])),"Monolitos","Varios")))))</f>
        <v>Cerrados IUP</v>
      </c>
      <c r="Q4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5" spans="1:17" s="157" customFormat="1" hidden="1" x14ac:dyDescent="0.2">
      <c r="A485" s="151" t="s">
        <v>722</v>
      </c>
      <c r="B485" s="154" t="s">
        <v>8</v>
      </c>
      <c r="C485" s="154">
        <v>8</v>
      </c>
      <c r="D485" s="153" t="s">
        <v>3378</v>
      </c>
      <c r="E485" s="154"/>
      <c r="F485" s="154" t="s">
        <v>723</v>
      </c>
      <c r="G485" s="154" t="s">
        <v>1290</v>
      </c>
      <c r="H485" s="154"/>
      <c r="I485" s="154"/>
      <c r="J485" s="154" t="s">
        <v>74</v>
      </c>
      <c r="K485" s="154" t="s">
        <v>3394</v>
      </c>
      <c r="L485" s="154"/>
      <c r="M485" s="156"/>
      <c r="N485" s="154" t="str">
        <f>IF(ISNUMBER(PL[[#This Row],[CTO]]),"CTO "&amp;PL[[#This Row],[CTO]],"Otros")</f>
        <v>CTO 8</v>
      </c>
      <c r="O485" s="154" t="str">
        <f>IF(PL[[#This Row],[STATUS IUP]]="CERRADO","CERRADO",IF(ISNUMBER(SEARCH("validacion de enel",PL[[#This Row],[SUPPLIER NOTES]])),"PTE Validar Enel","ABIERTO"))</f>
        <v>CERRADO</v>
      </c>
      <c r="P485" s="154" t="str">
        <f>IF(PL[[#This Row],[ESTADO]]="CERRADO","Cerrados IUP",IF(PL[[#This Row],[ESTADO]]="PTE Validar Enel","Pendiente cierre ENEL",IF(ISNUMBER(SEARCH("suministro",PL[[#This Row],[SUPPLIER NOTES]])),"Suministros",IF(PL[[#This Row],[SC]]="SOCIAL","Social",IF(ISNUMBER(SEARCH("monolito",PL[[#This Row],[DESCRIPTION]])),"Monolitos","Varios")))))</f>
        <v>Cerrados IUP</v>
      </c>
      <c r="Q4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6" spans="1:17" s="157" customFormat="1" hidden="1" x14ac:dyDescent="0.2">
      <c r="A486" s="151" t="s">
        <v>726</v>
      </c>
      <c r="B486" s="154" t="s">
        <v>8</v>
      </c>
      <c r="C486" s="154">
        <v>8</v>
      </c>
      <c r="D486" s="153" t="s">
        <v>3378</v>
      </c>
      <c r="E486" s="154"/>
      <c r="F486" s="154" t="s">
        <v>727</v>
      </c>
      <c r="G486" s="154" t="s">
        <v>108</v>
      </c>
      <c r="H486" s="154"/>
      <c r="I486" s="154"/>
      <c r="J486" s="154" t="s">
        <v>74</v>
      </c>
      <c r="K486" s="154" t="s">
        <v>3394</v>
      </c>
      <c r="L486" s="154"/>
      <c r="M486" s="156"/>
      <c r="N486" s="154" t="str">
        <f>IF(ISNUMBER(PL[[#This Row],[CTO]]),"CTO "&amp;PL[[#This Row],[CTO]],"Otros")</f>
        <v>CTO 8</v>
      </c>
      <c r="O486" s="154" t="str">
        <f>IF(PL[[#This Row],[STATUS IUP]]="CERRADO","CERRADO",IF(ISNUMBER(SEARCH("validacion de enel",PL[[#This Row],[SUPPLIER NOTES]])),"PTE Validar Enel","ABIERTO"))</f>
        <v>CERRADO</v>
      </c>
      <c r="P486" s="154" t="str">
        <f>IF(PL[[#This Row],[ESTADO]]="CERRADO","Cerrados IUP",IF(PL[[#This Row],[ESTADO]]="PTE Validar Enel","Pendiente cierre ENEL",IF(ISNUMBER(SEARCH("suministro",PL[[#This Row],[SUPPLIER NOTES]])),"Suministros",IF(PL[[#This Row],[SC]]="SOCIAL","Social",IF(ISNUMBER(SEARCH("monolito",PL[[#This Row],[DESCRIPTION]])),"Monolitos","Varios")))))</f>
        <v>Cerrados IUP</v>
      </c>
      <c r="Q4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7" spans="1:17" s="157" customFormat="1" hidden="1" x14ac:dyDescent="0.2">
      <c r="A487" s="151" t="s">
        <v>728</v>
      </c>
      <c r="B487" s="154" t="s">
        <v>8</v>
      </c>
      <c r="C487" s="154">
        <v>8</v>
      </c>
      <c r="D487" s="153" t="s">
        <v>3378</v>
      </c>
      <c r="E487" s="154"/>
      <c r="F487" s="154" t="s">
        <v>729</v>
      </c>
      <c r="G487" s="154" t="s">
        <v>1290</v>
      </c>
      <c r="H487" s="154"/>
      <c r="I487" s="154"/>
      <c r="J487" s="154" t="s">
        <v>74</v>
      </c>
      <c r="K487" s="154" t="s">
        <v>3394</v>
      </c>
      <c r="L487" s="154"/>
      <c r="M487" s="156"/>
      <c r="N487" s="154" t="str">
        <f>IF(ISNUMBER(PL[[#This Row],[CTO]]),"CTO "&amp;PL[[#This Row],[CTO]],"Otros")</f>
        <v>CTO 8</v>
      </c>
      <c r="O487" s="154" t="str">
        <f>IF(PL[[#This Row],[STATUS IUP]]="CERRADO","CERRADO",IF(ISNUMBER(SEARCH("validacion de enel",PL[[#This Row],[SUPPLIER NOTES]])),"PTE Validar Enel","ABIERTO"))</f>
        <v>CERRADO</v>
      </c>
      <c r="P487" s="154" t="str">
        <f>IF(PL[[#This Row],[ESTADO]]="CERRADO","Cerrados IUP",IF(PL[[#This Row],[ESTADO]]="PTE Validar Enel","Pendiente cierre ENEL",IF(ISNUMBER(SEARCH("suministro",PL[[#This Row],[SUPPLIER NOTES]])),"Suministros",IF(PL[[#This Row],[SC]]="SOCIAL","Social",IF(ISNUMBER(SEARCH("monolito",PL[[#This Row],[DESCRIPTION]])),"Monolitos","Varios")))))</f>
        <v>Cerrados IUP</v>
      </c>
      <c r="Q4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8" spans="1:17" s="157" customFormat="1" hidden="1" x14ac:dyDescent="0.2">
      <c r="A488" s="151" t="s">
        <v>736</v>
      </c>
      <c r="B488" s="154" t="s">
        <v>8</v>
      </c>
      <c r="C488" s="154">
        <v>8</v>
      </c>
      <c r="D488" s="153" t="s">
        <v>3378</v>
      </c>
      <c r="E488" s="154"/>
      <c r="F488" s="154" t="s">
        <v>737</v>
      </c>
      <c r="G488" s="154" t="s">
        <v>1290</v>
      </c>
      <c r="H488" s="154"/>
      <c r="I488" s="154"/>
      <c r="J488" s="154" t="s">
        <v>74</v>
      </c>
      <c r="K488" s="154" t="s">
        <v>3394</v>
      </c>
      <c r="L488" s="154"/>
      <c r="M488" s="156"/>
      <c r="N488" s="154" t="str">
        <f>IF(ISNUMBER(PL[[#This Row],[CTO]]),"CTO "&amp;PL[[#This Row],[CTO]],"Otros")</f>
        <v>CTO 8</v>
      </c>
      <c r="O488" s="154" t="str">
        <f>IF(PL[[#This Row],[STATUS IUP]]="CERRADO","CERRADO",IF(ISNUMBER(SEARCH("validacion de enel",PL[[#This Row],[SUPPLIER NOTES]])),"PTE Validar Enel","ABIERTO"))</f>
        <v>CERRADO</v>
      </c>
      <c r="P488" s="154" t="str">
        <f>IF(PL[[#This Row],[ESTADO]]="CERRADO","Cerrados IUP",IF(PL[[#This Row],[ESTADO]]="PTE Validar Enel","Pendiente cierre ENEL",IF(ISNUMBER(SEARCH("suministro",PL[[#This Row],[SUPPLIER NOTES]])),"Suministros",IF(PL[[#This Row],[SC]]="SOCIAL","Social",IF(ISNUMBER(SEARCH("monolito",PL[[#This Row],[DESCRIPTION]])),"Monolitos","Varios")))))</f>
        <v>Cerrados IUP</v>
      </c>
      <c r="Q4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89" spans="1:17" s="157" customFormat="1" hidden="1" x14ac:dyDescent="0.2">
      <c r="A489" s="151" t="s">
        <v>740</v>
      </c>
      <c r="B489" s="154" t="s">
        <v>8</v>
      </c>
      <c r="C489" s="154">
        <v>8</v>
      </c>
      <c r="D489" s="153" t="s">
        <v>3378</v>
      </c>
      <c r="E489" s="154"/>
      <c r="F489" s="154" t="s">
        <v>741</v>
      </c>
      <c r="G489" s="154" t="s">
        <v>1290</v>
      </c>
      <c r="H489" s="154"/>
      <c r="I489" s="154"/>
      <c r="J489" s="154" t="s">
        <v>74</v>
      </c>
      <c r="K489" s="154" t="s">
        <v>3394</v>
      </c>
      <c r="L489" s="154"/>
      <c r="M489" s="156"/>
      <c r="N489" s="154" t="str">
        <f>IF(ISNUMBER(PL[[#This Row],[CTO]]),"CTO "&amp;PL[[#This Row],[CTO]],"Otros")</f>
        <v>CTO 8</v>
      </c>
      <c r="O489" s="154" t="str">
        <f>IF(PL[[#This Row],[STATUS IUP]]="CERRADO","CERRADO",IF(ISNUMBER(SEARCH("validacion de enel",PL[[#This Row],[SUPPLIER NOTES]])),"PTE Validar Enel","ABIERTO"))</f>
        <v>CERRADO</v>
      </c>
      <c r="P489" s="154" t="str">
        <f>IF(PL[[#This Row],[ESTADO]]="CERRADO","Cerrados IUP",IF(PL[[#This Row],[ESTADO]]="PTE Validar Enel","Pendiente cierre ENEL",IF(ISNUMBER(SEARCH("suministro",PL[[#This Row],[SUPPLIER NOTES]])),"Suministros",IF(PL[[#This Row],[SC]]="SOCIAL","Social",IF(ISNUMBER(SEARCH("monolito",PL[[#This Row],[DESCRIPTION]])),"Monolitos","Varios")))))</f>
        <v>Cerrados IUP</v>
      </c>
      <c r="Q4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0" spans="1:17" s="157" customFormat="1" hidden="1" x14ac:dyDescent="0.2">
      <c r="A490" s="151" t="s">
        <v>742</v>
      </c>
      <c r="B490" s="154" t="s">
        <v>8</v>
      </c>
      <c r="C490" s="154">
        <v>8</v>
      </c>
      <c r="D490" s="153" t="s">
        <v>3378</v>
      </c>
      <c r="E490" s="154"/>
      <c r="F490" s="154" t="s">
        <v>743</v>
      </c>
      <c r="G490" s="154" t="s">
        <v>108</v>
      </c>
      <c r="H490" s="154"/>
      <c r="I490" s="154"/>
      <c r="J490" s="154" t="s">
        <v>74</v>
      </c>
      <c r="K490" s="154" t="s">
        <v>3394</v>
      </c>
      <c r="L490" s="154"/>
      <c r="M490" s="156"/>
      <c r="N490" s="154" t="str">
        <f>IF(ISNUMBER(PL[[#This Row],[CTO]]),"CTO "&amp;PL[[#This Row],[CTO]],"Otros")</f>
        <v>CTO 8</v>
      </c>
      <c r="O490" s="154" t="str">
        <f>IF(PL[[#This Row],[STATUS IUP]]="CERRADO","CERRADO",IF(ISNUMBER(SEARCH("validacion de enel",PL[[#This Row],[SUPPLIER NOTES]])),"PTE Validar Enel","ABIERTO"))</f>
        <v>CERRADO</v>
      </c>
      <c r="P490" s="154" t="str">
        <f>IF(PL[[#This Row],[ESTADO]]="CERRADO","Cerrados IUP",IF(PL[[#This Row],[ESTADO]]="PTE Validar Enel","Pendiente cierre ENEL",IF(ISNUMBER(SEARCH("suministro",PL[[#This Row],[SUPPLIER NOTES]])),"Suministros",IF(PL[[#This Row],[SC]]="SOCIAL","Social",IF(ISNUMBER(SEARCH("monolito",PL[[#This Row],[DESCRIPTION]])),"Monolitos","Varios")))))</f>
        <v>Cerrados IUP</v>
      </c>
      <c r="Q4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1" spans="1:17" s="157" customFormat="1" hidden="1" x14ac:dyDescent="0.2">
      <c r="A491" s="151" t="s">
        <v>744</v>
      </c>
      <c r="B491" s="154" t="s">
        <v>8</v>
      </c>
      <c r="C491" s="154">
        <v>8</v>
      </c>
      <c r="D491" s="153" t="s">
        <v>3378</v>
      </c>
      <c r="E491" s="154"/>
      <c r="F491" s="154" t="s">
        <v>745</v>
      </c>
      <c r="G491" s="154" t="s">
        <v>1289</v>
      </c>
      <c r="H491" s="154"/>
      <c r="I491" s="154"/>
      <c r="J491" s="154" t="s">
        <v>74</v>
      </c>
      <c r="K491" s="154" t="s">
        <v>3394</v>
      </c>
      <c r="L491" s="154"/>
      <c r="M491" s="156"/>
      <c r="N491" s="154" t="str">
        <f>IF(ISNUMBER(PL[[#This Row],[CTO]]),"CTO "&amp;PL[[#This Row],[CTO]],"Otros")</f>
        <v>CTO 8</v>
      </c>
      <c r="O491" s="154" t="str">
        <f>IF(PL[[#This Row],[STATUS IUP]]="CERRADO","CERRADO",IF(ISNUMBER(SEARCH("validacion de enel",PL[[#This Row],[SUPPLIER NOTES]])),"PTE Validar Enel","ABIERTO"))</f>
        <v>CERRADO</v>
      </c>
      <c r="P491" s="154" t="str">
        <f>IF(PL[[#This Row],[ESTADO]]="CERRADO","Cerrados IUP",IF(PL[[#This Row],[ESTADO]]="PTE Validar Enel","Pendiente cierre ENEL",IF(ISNUMBER(SEARCH("suministro",PL[[#This Row],[SUPPLIER NOTES]])),"Suministros",IF(PL[[#This Row],[SC]]="SOCIAL","Social",IF(ISNUMBER(SEARCH("monolito",PL[[#This Row],[DESCRIPTION]])),"Monolitos","Varios")))))</f>
        <v>Cerrados IUP</v>
      </c>
      <c r="Q4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2" spans="1:17" s="157" customFormat="1" hidden="1" x14ac:dyDescent="0.2">
      <c r="A492" s="151" t="s">
        <v>746</v>
      </c>
      <c r="B492" s="154" t="s">
        <v>8</v>
      </c>
      <c r="C492" s="154">
        <v>8</v>
      </c>
      <c r="D492" s="153" t="s">
        <v>3378</v>
      </c>
      <c r="E492" s="154"/>
      <c r="F492" s="154" t="s">
        <v>747</v>
      </c>
      <c r="G492" s="154" t="s">
        <v>1289</v>
      </c>
      <c r="H492" s="154"/>
      <c r="I492" s="154"/>
      <c r="J492" s="154" t="s">
        <v>74</v>
      </c>
      <c r="K492" s="154" t="s">
        <v>3394</v>
      </c>
      <c r="L492" s="154"/>
      <c r="M492" s="156"/>
      <c r="N492" s="154" t="str">
        <f>IF(ISNUMBER(PL[[#This Row],[CTO]]),"CTO "&amp;PL[[#This Row],[CTO]],"Otros")</f>
        <v>CTO 8</v>
      </c>
      <c r="O492" s="154" t="str">
        <f>IF(PL[[#This Row],[STATUS IUP]]="CERRADO","CERRADO",IF(ISNUMBER(SEARCH("validacion de enel",PL[[#This Row],[SUPPLIER NOTES]])),"PTE Validar Enel","ABIERTO"))</f>
        <v>CERRADO</v>
      </c>
      <c r="P492" s="154" t="str">
        <f>IF(PL[[#This Row],[ESTADO]]="CERRADO","Cerrados IUP",IF(PL[[#This Row],[ESTADO]]="PTE Validar Enel","Pendiente cierre ENEL",IF(ISNUMBER(SEARCH("suministro",PL[[#This Row],[SUPPLIER NOTES]])),"Suministros",IF(PL[[#This Row],[SC]]="SOCIAL","Social",IF(ISNUMBER(SEARCH("monolito",PL[[#This Row],[DESCRIPTION]])),"Monolitos","Varios")))))</f>
        <v>Cerrados IUP</v>
      </c>
      <c r="Q4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3" spans="1:17" s="157" customFormat="1" hidden="1" x14ac:dyDescent="0.2">
      <c r="A493" s="151" t="s">
        <v>750</v>
      </c>
      <c r="B493" s="154" t="s">
        <v>8</v>
      </c>
      <c r="C493" s="154">
        <v>8</v>
      </c>
      <c r="D493" s="153" t="s">
        <v>3378</v>
      </c>
      <c r="E493" s="154"/>
      <c r="F493" s="154" t="s">
        <v>751</v>
      </c>
      <c r="G493" s="154" t="s">
        <v>1290</v>
      </c>
      <c r="H493" s="154"/>
      <c r="I493" s="154"/>
      <c r="J493" s="154" t="s">
        <v>74</v>
      </c>
      <c r="K493" s="154" t="s">
        <v>3394</v>
      </c>
      <c r="L493" s="154"/>
      <c r="M493" s="156"/>
      <c r="N493" s="154" t="str">
        <f>IF(ISNUMBER(PL[[#This Row],[CTO]]),"CTO "&amp;PL[[#This Row],[CTO]],"Otros")</f>
        <v>CTO 8</v>
      </c>
      <c r="O493" s="154" t="str">
        <f>IF(PL[[#This Row],[STATUS IUP]]="CERRADO","CERRADO",IF(ISNUMBER(SEARCH("validacion de enel",PL[[#This Row],[SUPPLIER NOTES]])),"PTE Validar Enel","ABIERTO"))</f>
        <v>CERRADO</v>
      </c>
      <c r="P493" s="154" t="str">
        <f>IF(PL[[#This Row],[ESTADO]]="CERRADO","Cerrados IUP",IF(PL[[#This Row],[ESTADO]]="PTE Validar Enel","Pendiente cierre ENEL",IF(ISNUMBER(SEARCH("suministro",PL[[#This Row],[SUPPLIER NOTES]])),"Suministros",IF(PL[[#This Row],[SC]]="SOCIAL","Social",IF(ISNUMBER(SEARCH("monolito",PL[[#This Row],[DESCRIPTION]])),"Monolitos","Varios")))))</f>
        <v>Cerrados IUP</v>
      </c>
      <c r="Q4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4" spans="1:17" s="157" customFormat="1" hidden="1" x14ac:dyDescent="0.2">
      <c r="A494" s="151" t="s">
        <v>752</v>
      </c>
      <c r="B494" s="154" t="s">
        <v>8</v>
      </c>
      <c r="C494" s="154">
        <v>8</v>
      </c>
      <c r="D494" s="153" t="s">
        <v>3378</v>
      </c>
      <c r="E494" s="154"/>
      <c r="F494" s="154" t="s">
        <v>753</v>
      </c>
      <c r="G494" s="154" t="s">
        <v>216</v>
      </c>
      <c r="H494" s="154"/>
      <c r="I494" s="154"/>
      <c r="J494" s="154" t="s">
        <v>74</v>
      </c>
      <c r="K494" s="154" t="s">
        <v>3394</v>
      </c>
      <c r="L494" s="154"/>
      <c r="M494" s="156"/>
      <c r="N494" s="154" t="str">
        <f>IF(ISNUMBER(PL[[#This Row],[CTO]]),"CTO "&amp;PL[[#This Row],[CTO]],"Otros")</f>
        <v>CTO 8</v>
      </c>
      <c r="O494" s="154" t="str">
        <f>IF(PL[[#This Row],[STATUS IUP]]="CERRADO","CERRADO",IF(ISNUMBER(SEARCH("validacion de enel",PL[[#This Row],[SUPPLIER NOTES]])),"PTE Validar Enel","ABIERTO"))</f>
        <v>CERRADO</v>
      </c>
      <c r="P494" s="154" t="str">
        <f>IF(PL[[#This Row],[ESTADO]]="CERRADO","Cerrados IUP",IF(PL[[#This Row],[ESTADO]]="PTE Validar Enel","Pendiente cierre ENEL",IF(ISNUMBER(SEARCH("suministro",PL[[#This Row],[SUPPLIER NOTES]])),"Suministros",IF(PL[[#This Row],[SC]]="SOCIAL","Social",IF(ISNUMBER(SEARCH("monolito",PL[[#This Row],[DESCRIPTION]])),"Monolitos","Varios")))))</f>
        <v>Cerrados IUP</v>
      </c>
      <c r="Q4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5" spans="1:17" s="157" customFormat="1" hidden="1" x14ac:dyDescent="0.2">
      <c r="A495" s="151" t="s">
        <v>754</v>
      </c>
      <c r="B495" s="154" t="s">
        <v>8</v>
      </c>
      <c r="C495" s="154">
        <v>8</v>
      </c>
      <c r="D495" s="153" t="s">
        <v>3378</v>
      </c>
      <c r="E495" s="154"/>
      <c r="F495" s="154" t="s">
        <v>755</v>
      </c>
      <c r="G495" s="154" t="s">
        <v>1289</v>
      </c>
      <c r="H495" s="154"/>
      <c r="I495" s="154"/>
      <c r="J495" s="154" t="s">
        <v>74</v>
      </c>
      <c r="K495" s="154" t="s">
        <v>3394</v>
      </c>
      <c r="L495" s="154"/>
      <c r="M495" s="156"/>
      <c r="N495" s="154" t="str">
        <f>IF(ISNUMBER(PL[[#This Row],[CTO]]),"CTO "&amp;PL[[#This Row],[CTO]],"Otros")</f>
        <v>CTO 8</v>
      </c>
      <c r="O495" s="154" t="str">
        <f>IF(PL[[#This Row],[STATUS IUP]]="CERRADO","CERRADO",IF(ISNUMBER(SEARCH("validacion de enel",PL[[#This Row],[SUPPLIER NOTES]])),"PTE Validar Enel","ABIERTO"))</f>
        <v>CERRADO</v>
      </c>
      <c r="P495" s="154" t="str">
        <f>IF(PL[[#This Row],[ESTADO]]="CERRADO","Cerrados IUP",IF(PL[[#This Row],[ESTADO]]="PTE Validar Enel","Pendiente cierre ENEL",IF(ISNUMBER(SEARCH("suministro",PL[[#This Row],[SUPPLIER NOTES]])),"Suministros",IF(PL[[#This Row],[SC]]="SOCIAL","Social",IF(ISNUMBER(SEARCH("monolito",PL[[#This Row],[DESCRIPTION]])),"Monolitos","Varios")))))</f>
        <v>Cerrados IUP</v>
      </c>
      <c r="Q4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6" spans="1:17" s="157" customFormat="1" hidden="1" x14ac:dyDescent="0.2">
      <c r="A496" s="151" t="s">
        <v>756</v>
      </c>
      <c r="B496" s="154" t="s">
        <v>8</v>
      </c>
      <c r="C496" s="154">
        <v>8</v>
      </c>
      <c r="D496" s="153" t="s">
        <v>3378</v>
      </c>
      <c r="E496" s="154"/>
      <c r="F496" s="154" t="s">
        <v>757</v>
      </c>
      <c r="G496" s="154" t="s">
        <v>1289</v>
      </c>
      <c r="H496" s="154"/>
      <c r="I496" s="154"/>
      <c r="J496" s="154" t="s">
        <v>74</v>
      </c>
      <c r="K496" s="154" t="s">
        <v>3394</v>
      </c>
      <c r="L496" s="154"/>
      <c r="M496" s="156"/>
      <c r="N496" s="154" t="str">
        <f>IF(ISNUMBER(PL[[#This Row],[CTO]]),"CTO "&amp;PL[[#This Row],[CTO]],"Otros")</f>
        <v>CTO 8</v>
      </c>
      <c r="O496" s="154" t="str">
        <f>IF(PL[[#This Row],[STATUS IUP]]="CERRADO","CERRADO",IF(ISNUMBER(SEARCH("validacion de enel",PL[[#This Row],[SUPPLIER NOTES]])),"PTE Validar Enel","ABIERTO"))</f>
        <v>CERRADO</v>
      </c>
      <c r="P496" s="154" t="str">
        <f>IF(PL[[#This Row],[ESTADO]]="CERRADO","Cerrados IUP",IF(PL[[#This Row],[ESTADO]]="PTE Validar Enel","Pendiente cierre ENEL",IF(ISNUMBER(SEARCH("suministro",PL[[#This Row],[SUPPLIER NOTES]])),"Suministros",IF(PL[[#This Row],[SC]]="SOCIAL","Social",IF(ISNUMBER(SEARCH("monolito",PL[[#This Row],[DESCRIPTION]])),"Monolitos","Varios")))))</f>
        <v>Cerrados IUP</v>
      </c>
      <c r="Q4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7" spans="1:17" s="157" customFormat="1" hidden="1" x14ac:dyDescent="0.2">
      <c r="A497" s="151" t="s">
        <v>758</v>
      </c>
      <c r="B497" s="154" t="s">
        <v>8</v>
      </c>
      <c r="C497" s="154">
        <v>8</v>
      </c>
      <c r="D497" s="153" t="s">
        <v>3378</v>
      </c>
      <c r="E497" s="154"/>
      <c r="F497" s="154" t="s">
        <v>759</v>
      </c>
      <c r="G497" s="154" t="s">
        <v>1289</v>
      </c>
      <c r="H497" s="154"/>
      <c r="I497" s="154"/>
      <c r="J497" s="154" t="s">
        <v>74</v>
      </c>
      <c r="K497" s="154" t="s">
        <v>3394</v>
      </c>
      <c r="L497" s="154"/>
      <c r="M497" s="156"/>
      <c r="N497" s="154" t="str">
        <f>IF(ISNUMBER(PL[[#This Row],[CTO]]),"CTO "&amp;PL[[#This Row],[CTO]],"Otros")</f>
        <v>CTO 8</v>
      </c>
      <c r="O497" s="154" t="str">
        <f>IF(PL[[#This Row],[STATUS IUP]]="CERRADO","CERRADO",IF(ISNUMBER(SEARCH("validacion de enel",PL[[#This Row],[SUPPLIER NOTES]])),"PTE Validar Enel","ABIERTO"))</f>
        <v>CERRADO</v>
      </c>
      <c r="P497" s="154" t="str">
        <f>IF(PL[[#This Row],[ESTADO]]="CERRADO","Cerrados IUP",IF(PL[[#This Row],[ESTADO]]="PTE Validar Enel","Pendiente cierre ENEL",IF(ISNUMBER(SEARCH("suministro",PL[[#This Row],[SUPPLIER NOTES]])),"Suministros",IF(PL[[#This Row],[SC]]="SOCIAL","Social",IF(ISNUMBER(SEARCH("monolito",PL[[#This Row],[DESCRIPTION]])),"Monolitos","Varios")))))</f>
        <v>Cerrados IUP</v>
      </c>
      <c r="Q4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8" spans="1:17" s="157" customFormat="1" hidden="1" x14ac:dyDescent="0.2">
      <c r="A498" s="151" t="s">
        <v>760</v>
      </c>
      <c r="B498" s="154" t="s">
        <v>8</v>
      </c>
      <c r="C498" s="154">
        <v>8</v>
      </c>
      <c r="D498" s="153" t="s">
        <v>3378</v>
      </c>
      <c r="E498" s="154"/>
      <c r="F498" s="154" t="s">
        <v>761</v>
      </c>
      <c r="G498" s="154" t="s">
        <v>1289</v>
      </c>
      <c r="H498" s="154"/>
      <c r="I498" s="154"/>
      <c r="J498" s="154" t="s">
        <v>74</v>
      </c>
      <c r="K498" s="154" t="s">
        <v>3394</v>
      </c>
      <c r="L498" s="154"/>
      <c r="M498" s="156"/>
      <c r="N498" s="154" t="str">
        <f>IF(ISNUMBER(PL[[#This Row],[CTO]]),"CTO "&amp;PL[[#This Row],[CTO]],"Otros")</f>
        <v>CTO 8</v>
      </c>
      <c r="O498" s="154" t="str">
        <f>IF(PL[[#This Row],[STATUS IUP]]="CERRADO","CERRADO",IF(ISNUMBER(SEARCH("validacion de enel",PL[[#This Row],[SUPPLIER NOTES]])),"PTE Validar Enel","ABIERTO"))</f>
        <v>CERRADO</v>
      </c>
      <c r="P498" s="154" t="str">
        <f>IF(PL[[#This Row],[ESTADO]]="CERRADO","Cerrados IUP",IF(PL[[#This Row],[ESTADO]]="PTE Validar Enel","Pendiente cierre ENEL",IF(ISNUMBER(SEARCH("suministro",PL[[#This Row],[SUPPLIER NOTES]])),"Suministros",IF(PL[[#This Row],[SC]]="SOCIAL","Social",IF(ISNUMBER(SEARCH("monolito",PL[[#This Row],[DESCRIPTION]])),"Monolitos","Varios")))))</f>
        <v>Cerrados IUP</v>
      </c>
      <c r="Q4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499" spans="1:17" s="157" customFormat="1" hidden="1" x14ac:dyDescent="0.2">
      <c r="A499" s="151" t="s">
        <v>766</v>
      </c>
      <c r="B499" s="154" t="s">
        <v>8</v>
      </c>
      <c r="C499" s="154">
        <v>8</v>
      </c>
      <c r="D499" s="153" t="s">
        <v>3378</v>
      </c>
      <c r="E499" s="154"/>
      <c r="F499" s="154" t="s">
        <v>767</v>
      </c>
      <c r="G499" s="154" t="s">
        <v>1289</v>
      </c>
      <c r="H499" s="154"/>
      <c r="I499" s="154"/>
      <c r="J499" s="154" t="s">
        <v>74</v>
      </c>
      <c r="K499" s="154" t="s">
        <v>3394</v>
      </c>
      <c r="L499" s="154"/>
      <c r="M499" s="156"/>
      <c r="N499" s="154" t="str">
        <f>IF(ISNUMBER(PL[[#This Row],[CTO]]),"CTO "&amp;PL[[#This Row],[CTO]],"Otros")</f>
        <v>CTO 8</v>
      </c>
      <c r="O499" s="154" t="str">
        <f>IF(PL[[#This Row],[STATUS IUP]]="CERRADO","CERRADO",IF(ISNUMBER(SEARCH("validacion de enel",PL[[#This Row],[SUPPLIER NOTES]])),"PTE Validar Enel","ABIERTO"))</f>
        <v>CERRADO</v>
      </c>
      <c r="P499" s="154" t="str">
        <f>IF(PL[[#This Row],[ESTADO]]="CERRADO","Cerrados IUP",IF(PL[[#This Row],[ESTADO]]="PTE Validar Enel","Pendiente cierre ENEL",IF(ISNUMBER(SEARCH("suministro",PL[[#This Row],[SUPPLIER NOTES]])),"Suministros",IF(PL[[#This Row],[SC]]="SOCIAL","Social",IF(ISNUMBER(SEARCH("monolito",PL[[#This Row],[DESCRIPTION]])),"Monolitos","Varios")))))</f>
        <v>Cerrados IUP</v>
      </c>
      <c r="Q4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0" spans="1:17" s="157" customFormat="1" hidden="1" x14ac:dyDescent="0.2">
      <c r="A500" s="151" t="s">
        <v>768</v>
      </c>
      <c r="B500" s="154" t="s">
        <v>8</v>
      </c>
      <c r="C500" s="154">
        <v>8</v>
      </c>
      <c r="D500" s="153" t="s">
        <v>3378</v>
      </c>
      <c r="E500" s="154"/>
      <c r="F500" s="154" t="s">
        <v>769</v>
      </c>
      <c r="G500" s="154" t="s">
        <v>1290</v>
      </c>
      <c r="H500" s="154"/>
      <c r="I500" s="154"/>
      <c r="J500" s="154" t="s">
        <v>74</v>
      </c>
      <c r="K500" s="154" t="s">
        <v>3394</v>
      </c>
      <c r="L500" s="154"/>
      <c r="M500" s="156"/>
      <c r="N500" s="154" t="str">
        <f>IF(ISNUMBER(PL[[#This Row],[CTO]]),"CTO "&amp;PL[[#This Row],[CTO]],"Otros")</f>
        <v>CTO 8</v>
      </c>
      <c r="O500" s="154" t="str">
        <f>IF(PL[[#This Row],[STATUS IUP]]="CERRADO","CERRADO",IF(ISNUMBER(SEARCH("validacion de enel",PL[[#This Row],[SUPPLIER NOTES]])),"PTE Validar Enel","ABIERTO"))</f>
        <v>CERRADO</v>
      </c>
      <c r="P500" s="154" t="str">
        <f>IF(PL[[#This Row],[ESTADO]]="CERRADO","Cerrados IUP",IF(PL[[#This Row],[ESTADO]]="PTE Validar Enel","Pendiente cierre ENEL",IF(ISNUMBER(SEARCH("suministro",PL[[#This Row],[SUPPLIER NOTES]])),"Suministros",IF(PL[[#This Row],[SC]]="SOCIAL","Social",IF(ISNUMBER(SEARCH("monolito",PL[[#This Row],[DESCRIPTION]])),"Monolitos","Varios")))))</f>
        <v>Cerrados IUP</v>
      </c>
      <c r="Q5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1" spans="1:17" s="157" customFormat="1" hidden="1" x14ac:dyDescent="0.2">
      <c r="A501" s="151" t="s">
        <v>770</v>
      </c>
      <c r="B501" s="154" t="s">
        <v>8</v>
      </c>
      <c r="C501" s="154">
        <v>8</v>
      </c>
      <c r="D501" s="153" t="s">
        <v>3378</v>
      </c>
      <c r="E501" s="154"/>
      <c r="F501" s="154" t="s">
        <v>771</v>
      </c>
      <c r="G501" s="154" t="s">
        <v>1290</v>
      </c>
      <c r="H501" s="154"/>
      <c r="I501" s="154"/>
      <c r="J501" s="154" t="s">
        <v>74</v>
      </c>
      <c r="K501" s="154" t="s">
        <v>3394</v>
      </c>
      <c r="L501" s="154"/>
      <c r="M501" s="156"/>
      <c r="N501" s="154" t="str">
        <f>IF(ISNUMBER(PL[[#This Row],[CTO]]),"CTO "&amp;PL[[#This Row],[CTO]],"Otros")</f>
        <v>CTO 8</v>
      </c>
      <c r="O501" s="154" t="str">
        <f>IF(PL[[#This Row],[STATUS IUP]]="CERRADO","CERRADO",IF(ISNUMBER(SEARCH("validacion de enel",PL[[#This Row],[SUPPLIER NOTES]])),"PTE Validar Enel","ABIERTO"))</f>
        <v>CERRADO</v>
      </c>
      <c r="P501" s="154" t="str">
        <f>IF(PL[[#This Row],[ESTADO]]="CERRADO","Cerrados IUP",IF(PL[[#This Row],[ESTADO]]="PTE Validar Enel","Pendiente cierre ENEL",IF(ISNUMBER(SEARCH("suministro",PL[[#This Row],[SUPPLIER NOTES]])),"Suministros",IF(PL[[#This Row],[SC]]="SOCIAL","Social",IF(ISNUMBER(SEARCH("monolito",PL[[#This Row],[DESCRIPTION]])),"Monolitos","Varios")))))</f>
        <v>Cerrados IUP</v>
      </c>
      <c r="Q5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2" spans="1:17" s="157" customFormat="1" hidden="1" x14ac:dyDescent="0.2">
      <c r="A502" s="151" t="s">
        <v>772</v>
      </c>
      <c r="B502" s="154" t="s">
        <v>8</v>
      </c>
      <c r="C502" s="154">
        <v>8</v>
      </c>
      <c r="D502" s="153" t="s">
        <v>3378</v>
      </c>
      <c r="E502" s="154"/>
      <c r="F502" s="154" t="s">
        <v>773</v>
      </c>
      <c r="G502" s="154" t="s">
        <v>1290</v>
      </c>
      <c r="H502" s="154"/>
      <c r="I502" s="154"/>
      <c r="J502" s="154" t="s">
        <v>74</v>
      </c>
      <c r="K502" s="154" t="s">
        <v>3394</v>
      </c>
      <c r="L502" s="154"/>
      <c r="M502" s="156"/>
      <c r="N502" s="154" t="str">
        <f>IF(ISNUMBER(PL[[#This Row],[CTO]]),"CTO "&amp;PL[[#This Row],[CTO]],"Otros")</f>
        <v>CTO 8</v>
      </c>
      <c r="O502" s="154" t="str">
        <f>IF(PL[[#This Row],[STATUS IUP]]="CERRADO","CERRADO",IF(ISNUMBER(SEARCH("validacion de enel",PL[[#This Row],[SUPPLIER NOTES]])),"PTE Validar Enel","ABIERTO"))</f>
        <v>CERRADO</v>
      </c>
      <c r="P502" s="154" t="str">
        <f>IF(PL[[#This Row],[ESTADO]]="CERRADO","Cerrados IUP",IF(PL[[#This Row],[ESTADO]]="PTE Validar Enel","Pendiente cierre ENEL",IF(ISNUMBER(SEARCH("suministro",PL[[#This Row],[SUPPLIER NOTES]])),"Suministros",IF(PL[[#This Row],[SC]]="SOCIAL","Social",IF(ISNUMBER(SEARCH("monolito",PL[[#This Row],[DESCRIPTION]])),"Monolitos","Varios")))))</f>
        <v>Cerrados IUP</v>
      </c>
      <c r="Q5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3" spans="1:17" s="157" customFormat="1" hidden="1" x14ac:dyDescent="0.2">
      <c r="A503" s="151" t="s">
        <v>776</v>
      </c>
      <c r="B503" s="154" t="s">
        <v>8</v>
      </c>
      <c r="C503" s="154">
        <v>8</v>
      </c>
      <c r="D503" s="153" t="s">
        <v>3378</v>
      </c>
      <c r="E503" s="154"/>
      <c r="F503" s="154" t="s">
        <v>777</v>
      </c>
      <c r="G503" s="154" t="s">
        <v>1289</v>
      </c>
      <c r="H503" s="154"/>
      <c r="I503" s="154"/>
      <c r="J503" s="154" t="s">
        <v>74</v>
      </c>
      <c r="K503" s="154" t="s">
        <v>3394</v>
      </c>
      <c r="L503" s="154"/>
      <c r="M503" s="156"/>
      <c r="N503" s="154" t="str">
        <f>IF(ISNUMBER(PL[[#This Row],[CTO]]),"CTO "&amp;PL[[#This Row],[CTO]],"Otros")</f>
        <v>CTO 8</v>
      </c>
      <c r="O503" s="154" t="str">
        <f>IF(PL[[#This Row],[STATUS IUP]]="CERRADO","CERRADO",IF(ISNUMBER(SEARCH("validacion de enel",PL[[#This Row],[SUPPLIER NOTES]])),"PTE Validar Enel","ABIERTO"))</f>
        <v>CERRADO</v>
      </c>
      <c r="P503" s="154" t="str">
        <f>IF(PL[[#This Row],[ESTADO]]="CERRADO","Cerrados IUP",IF(PL[[#This Row],[ESTADO]]="PTE Validar Enel","Pendiente cierre ENEL",IF(ISNUMBER(SEARCH("suministro",PL[[#This Row],[SUPPLIER NOTES]])),"Suministros",IF(PL[[#This Row],[SC]]="SOCIAL","Social",IF(ISNUMBER(SEARCH("monolito",PL[[#This Row],[DESCRIPTION]])),"Monolitos","Varios")))))</f>
        <v>Cerrados IUP</v>
      </c>
      <c r="Q5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4" spans="1:17" s="157" customFormat="1" hidden="1" x14ac:dyDescent="0.2">
      <c r="A504" s="151" t="s">
        <v>778</v>
      </c>
      <c r="B504" s="154" t="s">
        <v>8</v>
      </c>
      <c r="C504" s="154">
        <v>8</v>
      </c>
      <c r="D504" s="153" t="s">
        <v>3378</v>
      </c>
      <c r="E504" s="154"/>
      <c r="F504" s="154" t="s">
        <v>779</v>
      </c>
      <c r="G504" s="154" t="s">
        <v>1290</v>
      </c>
      <c r="H504" s="154"/>
      <c r="I504" s="154"/>
      <c r="J504" s="154" t="s">
        <v>74</v>
      </c>
      <c r="K504" s="154" t="s">
        <v>3394</v>
      </c>
      <c r="L504" s="154"/>
      <c r="M504" s="156"/>
      <c r="N504" s="154" t="str">
        <f>IF(ISNUMBER(PL[[#This Row],[CTO]]),"CTO "&amp;PL[[#This Row],[CTO]],"Otros")</f>
        <v>CTO 8</v>
      </c>
      <c r="O504" s="154" t="str">
        <f>IF(PL[[#This Row],[STATUS IUP]]="CERRADO","CERRADO",IF(ISNUMBER(SEARCH("validacion de enel",PL[[#This Row],[SUPPLIER NOTES]])),"PTE Validar Enel","ABIERTO"))</f>
        <v>CERRADO</v>
      </c>
      <c r="P504" s="154" t="str">
        <f>IF(PL[[#This Row],[ESTADO]]="CERRADO","Cerrados IUP",IF(PL[[#This Row],[ESTADO]]="PTE Validar Enel","Pendiente cierre ENEL",IF(ISNUMBER(SEARCH("suministro",PL[[#This Row],[SUPPLIER NOTES]])),"Suministros",IF(PL[[#This Row],[SC]]="SOCIAL","Social",IF(ISNUMBER(SEARCH("monolito",PL[[#This Row],[DESCRIPTION]])),"Monolitos","Varios")))))</f>
        <v>Cerrados IUP</v>
      </c>
      <c r="Q5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5" spans="1:17" s="157" customFormat="1" hidden="1" x14ac:dyDescent="0.2">
      <c r="A505" s="151" t="s">
        <v>780</v>
      </c>
      <c r="B505" s="154" t="s">
        <v>8</v>
      </c>
      <c r="C505" s="154">
        <v>8</v>
      </c>
      <c r="D505" s="153" t="s">
        <v>3378</v>
      </c>
      <c r="E505" s="154"/>
      <c r="F505" s="154" t="s">
        <v>781</v>
      </c>
      <c r="G505" s="154" t="s">
        <v>1289</v>
      </c>
      <c r="H505" s="154"/>
      <c r="I505" s="154"/>
      <c r="J505" s="154" t="s">
        <v>74</v>
      </c>
      <c r="K505" s="154" t="s">
        <v>3394</v>
      </c>
      <c r="L505" s="154"/>
      <c r="M505" s="156"/>
      <c r="N505" s="154" t="str">
        <f>IF(ISNUMBER(PL[[#This Row],[CTO]]),"CTO "&amp;PL[[#This Row],[CTO]],"Otros")</f>
        <v>CTO 8</v>
      </c>
      <c r="O505" s="154" t="str">
        <f>IF(PL[[#This Row],[STATUS IUP]]="CERRADO","CERRADO",IF(ISNUMBER(SEARCH("validacion de enel",PL[[#This Row],[SUPPLIER NOTES]])),"PTE Validar Enel","ABIERTO"))</f>
        <v>CERRADO</v>
      </c>
      <c r="P505" s="154" t="str">
        <f>IF(PL[[#This Row],[ESTADO]]="CERRADO","Cerrados IUP",IF(PL[[#This Row],[ESTADO]]="PTE Validar Enel","Pendiente cierre ENEL",IF(ISNUMBER(SEARCH("suministro",PL[[#This Row],[SUPPLIER NOTES]])),"Suministros",IF(PL[[#This Row],[SC]]="SOCIAL","Social",IF(ISNUMBER(SEARCH("monolito",PL[[#This Row],[DESCRIPTION]])),"Monolitos","Varios")))))</f>
        <v>Cerrados IUP</v>
      </c>
      <c r="Q5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6" spans="1:17" s="157" customFormat="1" hidden="1" x14ac:dyDescent="0.2">
      <c r="A506" s="151" t="s">
        <v>782</v>
      </c>
      <c r="B506" s="154" t="s">
        <v>8</v>
      </c>
      <c r="C506" s="154">
        <v>8</v>
      </c>
      <c r="D506" s="153" t="s">
        <v>3378</v>
      </c>
      <c r="E506" s="154"/>
      <c r="F506" s="154" t="s">
        <v>783</v>
      </c>
      <c r="G506" s="154" t="s">
        <v>1289</v>
      </c>
      <c r="H506" s="154"/>
      <c r="I506" s="154"/>
      <c r="J506" s="154" t="s">
        <v>74</v>
      </c>
      <c r="K506" s="154" t="s">
        <v>3394</v>
      </c>
      <c r="L506" s="154"/>
      <c r="M506" s="156"/>
      <c r="N506" s="154" t="str">
        <f>IF(ISNUMBER(PL[[#This Row],[CTO]]),"CTO "&amp;PL[[#This Row],[CTO]],"Otros")</f>
        <v>CTO 8</v>
      </c>
      <c r="O506" s="154" t="str">
        <f>IF(PL[[#This Row],[STATUS IUP]]="CERRADO","CERRADO",IF(ISNUMBER(SEARCH("validacion de enel",PL[[#This Row],[SUPPLIER NOTES]])),"PTE Validar Enel","ABIERTO"))</f>
        <v>CERRADO</v>
      </c>
      <c r="P506" s="154" t="str">
        <f>IF(PL[[#This Row],[ESTADO]]="CERRADO","Cerrados IUP",IF(PL[[#This Row],[ESTADO]]="PTE Validar Enel","Pendiente cierre ENEL",IF(ISNUMBER(SEARCH("suministro",PL[[#This Row],[SUPPLIER NOTES]])),"Suministros",IF(PL[[#This Row],[SC]]="SOCIAL","Social",IF(ISNUMBER(SEARCH("monolito",PL[[#This Row],[DESCRIPTION]])),"Monolitos","Varios")))))</f>
        <v>Cerrados IUP</v>
      </c>
      <c r="Q5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7" spans="1:17" s="157" customFormat="1" hidden="1" x14ac:dyDescent="0.2">
      <c r="A507" s="151" t="s">
        <v>784</v>
      </c>
      <c r="B507" s="154" t="s">
        <v>8</v>
      </c>
      <c r="C507" s="154">
        <v>8</v>
      </c>
      <c r="D507" s="153" t="s">
        <v>3378</v>
      </c>
      <c r="E507" s="154"/>
      <c r="F507" s="154" t="s">
        <v>785</v>
      </c>
      <c r="G507" s="154" t="s">
        <v>1290</v>
      </c>
      <c r="H507" s="154"/>
      <c r="I507" s="154"/>
      <c r="J507" s="154" t="s">
        <v>74</v>
      </c>
      <c r="K507" s="154" t="s">
        <v>3394</v>
      </c>
      <c r="L507" s="154"/>
      <c r="M507" s="156"/>
      <c r="N507" s="154" t="str">
        <f>IF(ISNUMBER(PL[[#This Row],[CTO]]),"CTO "&amp;PL[[#This Row],[CTO]],"Otros")</f>
        <v>CTO 8</v>
      </c>
      <c r="O507" s="154" t="str">
        <f>IF(PL[[#This Row],[STATUS IUP]]="CERRADO","CERRADO",IF(ISNUMBER(SEARCH("validacion de enel",PL[[#This Row],[SUPPLIER NOTES]])),"PTE Validar Enel","ABIERTO"))</f>
        <v>CERRADO</v>
      </c>
      <c r="P507" s="154" t="str">
        <f>IF(PL[[#This Row],[ESTADO]]="CERRADO","Cerrados IUP",IF(PL[[#This Row],[ESTADO]]="PTE Validar Enel","Pendiente cierre ENEL",IF(ISNUMBER(SEARCH("suministro",PL[[#This Row],[SUPPLIER NOTES]])),"Suministros",IF(PL[[#This Row],[SC]]="SOCIAL","Social",IF(ISNUMBER(SEARCH("monolito",PL[[#This Row],[DESCRIPTION]])),"Monolitos","Varios")))))</f>
        <v>Cerrados IUP</v>
      </c>
      <c r="Q5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8" spans="1:17" s="157" customFormat="1" hidden="1" x14ac:dyDescent="0.2">
      <c r="A508" s="151" t="s">
        <v>786</v>
      </c>
      <c r="B508" s="154" t="s">
        <v>8</v>
      </c>
      <c r="C508" s="154">
        <v>8</v>
      </c>
      <c r="D508" s="153" t="s">
        <v>3378</v>
      </c>
      <c r="E508" s="154"/>
      <c r="F508" s="154" t="s">
        <v>787</v>
      </c>
      <c r="G508" s="154" t="s">
        <v>43</v>
      </c>
      <c r="H508" s="154"/>
      <c r="I508" s="154"/>
      <c r="J508" s="154" t="s">
        <v>74</v>
      </c>
      <c r="K508" s="154" t="s">
        <v>3394</v>
      </c>
      <c r="L508" s="154"/>
      <c r="M508" s="156"/>
      <c r="N508" s="154" t="str">
        <f>IF(ISNUMBER(PL[[#This Row],[CTO]]),"CTO "&amp;PL[[#This Row],[CTO]],"Otros")</f>
        <v>CTO 8</v>
      </c>
      <c r="O508" s="154" t="str">
        <f>IF(PL[[#This Row],[STATUS IUP]]="CERRADO","CERRADO",IF(ISNUMBER(SEARCH("validacion de enel",PL[[#This Row],[SUPPLIER NOTES]])),"PTE Validar Enel","ABIERTO"))</f>
        <v>CERRADO</v>
      </c>
      <c r="P508" s="154" t="str">
        <f>IF(PL[[#This Row],[ESTADO]]="CERRADO","Cerrados IUP",IF(PL[[#This Row],[ESTADO]]="PTE Validar Enel","Pendiente cierre ENEL",IF(ISNUMBER(SEARCH("suministro",PL[[#This Row],[SUPPLIER NOTES]])),"Suministros",IF(PL[[#This Row],[SC]]="SOCIAL","Social",IF(ISNUMBER(SEARCH("monolito",PL[[#This Row],[DESCRIPTION]])),"Monolitos","Varios")))))</f>
        <v>Cerrados IUP</v>
      </c>
      <c r="Q5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09" spans="1:17" s="157" customFormat="1" hidden="1" x14ac:dyDescent="0.2">
      <c r="A509" s="151" t="s">
        <v>788</v>
      </c>
      <c r="B509" s="154" t="s">
        <v>8</v>
      </c>
      <c r="C509" s="154">
        <v>8</v>
      </c>
      <c r="D509" s="153" t="s">
        <v>3378</v>
      </c>
      <c r="E509" s="154"/>
      <c r="F509" s="154" t="s">
        <v>789</v>
      </c>
      <c r="G509" s="154" t="s">
        <v>43</v>
      </c>
      <c r="H509" s="154"/>
      <c r="I509" s="154"/>
      <c r="J509" s="154" t="s">
        <v>74</v>
      </c>
      <c r="K509" s="154" t="s">
        <v>3394</v>
      </c>
      <c r="L509" s="154"/>
      <c r="M509" s="156"/>
      <c r="N509" s="154" t="str">
        <f>IF(ISNUMBER(PL[[#This Row],[CTO]]),"CTO "&amp;PL[[#This Row],[CTO]],"Otros")</f>
        <v>CTO 8</v>
      </c>
      <c r="O509" s="154" t="str">
        <f>IF(PL[[#This Row],[STATUS IUP]]="CERRADO","CERRADO",IF(ISNUMBER(SEARCH("validacion de enel",PL[[#This Row],[SUPPLIER NOTES]])),"PTE Validar Enel","ABIERTO"))</f>
        <v>CERRADO</v>
      </c>
      <c r="P509" s="154" t="str">
        <f>IF(PL[[#This Row],[ESTADO]]="CERRADO","Cerrados IUP",IF(PL[[#This Row],[ESTADO]]="PTE Validar Enel","Pendiente cierre ENEL",IF(ISNUMBER(SEARCH("suministro",PL[[#This Row],[SUPPLIER NOTES]])),"Suministros",IF(PL[[#This Row],[SC]]="SOCIAL","Social",IF(ISNUMBER(SEARCH("monolito",PL[[#This Row],[DESCRIPTION]])),"Monolitos","Varios")))))</f>
        <v>Cerrados IUP</v>
      </c>
      <c r="Q5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0" spans="1:17" s="157" customFormat="1" hidden="1" x14ac:dyDescent="0.2">
      <c r="A510" s="151" t="s">
        <v>790</v>
      </c>
      <c r="B510" s="154" t="s">
        <v>8</v>
      </c>
      <c r="C510" s="154">
        <v>8</v>
      </c>
      <c r="D510" s="153" t="s">
        <v>3378</v>
      </c>
      <c r="E510" s="154"/>
      <c r="F510" s="154" t="s">
        <v>791</v>
      </c>
      <c r="G510" s="154" t="s">
        <v>43</v>
      </c>
      <c r="H510" s="154"/>
      <c r="I510" s="154"/>
      <c r="J510" s="154" t="s">
        <v>74</v>
      </c>
      <c r="K510" s="154" t="s">
        <v>3394</v>
      </c>
      <c r="L510" s="154"/>
      <c r="M510" s="156"/>
      <c r="N510" s="154" t="str">
        <f>IF(ISNUMBER(PL[[#This Row],[CTO]]),"CTO "&amp;PL[[#This Row],[CTO]],"Otros")</f>
        <v>CTO 8</v>
      </c>
      <c r="O510" s="154" t="str">
        <f>IF(PL[[#This Row],[STATUS IUP]]="CERRADO","CERRADO",IF(ISNUMBER(SEARCH("validacion de enel",PL[[#This Row],[SUPPLIER NOTES]])),"PTE Validar Enel","ABIERTO"))</f>
        <v>CERRADO</v>
      </c>
      <c r="P510" s="154" t="str">
        <f>IF(PL[[#This Row],[ESTADO]]="CERRADO","Cerrados IUP",IF(PL[[#This Row],[ESTADO]]="PTE Validar Enel","Pendiente cierre ENEL",IF(ISNUMBER(SEARCH("suministro",PL[[#This Row],[SUPPLIER NOTES]])),"Suministros",IF(PL[[#This Row],[SC]]="SOCIAL","Social",IF(ISNUMBER(SEARCH("monolito",PL[[#This Row],[DESCRIPTION]])),"Monolitos","Varios")))))</f>
        <v>Cerrados IUP</v>
      </c>
      <c r="Q5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1" spans="1:17" s="157" customFormat="1" hidden="1" x14ac:dyDescent="0.2">
      <c r="A511" s="151" t="s">
        <v>792</v>
      </c>
      <c r="B511" s="154" t="s">
        <v>8</v>
      </c>
      <c r="C511" s="154">
        <v>8</v>
      </c>
      <c r="D511" s="153" t="s">
        <v>3378</v>
      </c>
      <c r="E511" s="154"/>
      <c r="F511" s="154" t="s">
        <v>793</v>
      </c>
      <c r="G511" s="154" t="s">
        <v>1290</v>
      </c>
      <c r="H511" s="154"/>
      <c r="I511" s="154"/>
      <c r="J511" s="154" t="s">
        <v>74</v>
      </c>
      <c r="K511" s="154" t="s">
        <v>3394</v>
      </c>
      <c r="L511" s="154"/>
      <c r="M511" s="156"/>
      <c r="N511" s="154" t="str">
        <f>IF(ISNUMBER(PL[[#This Row],[CTO]]),"CTO "&amp;PL[[#This Row],[CTO]],"Otros")</f>
        <v>CTO 8</v>
      </c>
      <c r="O511" s="154" t="str">
        <f>IF(PL[[#This Row],[STATUS IUP]]="CERRADO","CERRADO",IF(ISNUMBER(SEARCH("validacion de enel",PL[[#This Row],[SUPPLIER NOTES]])),"PTE Validar Enel","ABIERTO"))</f>
        <v>CERRADO</v>
      </c>
      <c r="P511" s="154" t="str">
        <f>IF(PL[[#This Row],[ESTADO]]="CERRADO","Cerrados IUP",IF(PL[[#This Row],[ESTADO]]="PTE Validar Enel","Pendiente cierre ENEL",IF(ISNUMBER(SEARCH("suministro",PL[[#This Row],[SUPPLIER NOTES]])),"Suministros",IF(PL[[#This Row],[SC]]="SOCIAL","Social",IF(ISNUMBER(SEARCH("monolito",PL[[#This Row],[DESCRIPTION]])),"Monolitos","Varios")))))</f>
        <v>Cerrados IUP</v>
      </c>
      <c r="Q5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2" spans="1:17" s="157" customFormat="1" hidden="1" x14ac:dyDescent="0.2">
      <c r="A512" s="151" t="s">
        <v>794</v>
      </c>
      <c r="B512" s="154" t="s">
        <v>8</v>
      </c>
      <c r="C512" s="154">
        <v>8</v>
      </c>
      <c r="D512" s="153" t="s">
        <v>3378</v>
      </c>
      <c r="E512" s="154"/>
      <c r="F512" s="154" t="s">
        <v>795</v>
      </c>
      <c r="G512" s="154" t="s">
        <v>1290</v>
      </c>
      <c r="H512" s="154"/>
      <c r="I512" s="154"/>
      <c r="J512" s="154" t="s">
        <v>74</v>
      </c>
      <c r="K512" s="154" t="s">
        <v>3394</v>
      </c>
      <c r="L512" s="154"/>
      <c r="M512" s="156"/>
      <c r="N512" s="154" t="str">
        <f>IF(ISNUMBER(PL[[#This Row],[CTO]]),"CTO "&amp;PL[[#This Row],[CTO]],"Otros")</f>
        <v>CTO 8</v>
      </c>
      <c r="O512" s="154" t="str">
        <f>IF(PL[[#This Row],[STATUS IUP]]="CERRADO","CERRADO",IF(ISNUMBER(SEARCH("validacion de enel",PL[[#This Row],[SUPPLIER NOTES]])),"PTE Validar Enel","ABIERTO"))</f>
        <v>CERRADO</v>
      </c>
      <c r="P512" s="154" t="str">
        <f>IF(PL[[#This Row],[ESTADO]]="CERRADO","Cerrados IUP",IF(PL[[#This Row],[ESTADO]]="PTE Validar Enel","Pendiente cierre ENEL",IF(ISNUMBER(SEARCH("suministro",PL[[#This Row],[SUPPLIER NOTES]])),"Suministros",IF(PL[[#This Row],[SC]]="SOCIAL","Social",IF(ISNUMBER(SEARCH("monolito",PL[[#This Row],[DESCRIPTION]])),"Monolitos","Varios")))))</f>
        <v>Cerrados IUP</v>
      </c>
      <c r="Q5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3" spans="1:17" hidden="1" x14ac:dyDescent="0.2">
      <c r="A513" s="66" t="s">
        <v>700</v>
      </c>
      <c r="B513" s="67" t="s">
        <v>8</v>
      </c>
      <c r="C513" s="82">
        <v>8</v>
      </c>
      <c r="D513" s="68" t="s">
        <v>3378</v>
      </c>
      <c r="E513" s="67"/>
      <c r="F513" s="67" t="s">
        <v>701</v>
      </c>
      <c r="G513" s="82" t="s">
        <v>1289</v>
      </c>
      <c r="H513" s="90" t="s">
        <v>3463</v>
      </c>
      <c r="I513" s="67"/>
      <c r="J513" s="67" t="s">
        <v>11</v>
      </c>
      <c r="K513" s="67" t="s">
        <v>3393</v>
      </c>
      <c r="L513" s="67"/>
      <c r="M513" s="69"/>
      <c r="N513" s="67" t="str">
        <f>IF(ISNUMBER(PL[[#This Row],[CTO]]),"CTO "&amp;PL[[#This Row],[CTO]],"Otros")</f>
        <v>CTO 8</v>
      </c>
      <c r="O513" s="67" t="str">
        <f>IF(PL[[#This Row],[STATUS IUP]]="CERRADO","CERRADO",IF(ISNUMBER(SEARCH("validacion de enel",PL[[#This Row],[SUPPLIER NOTES]])),"PTE Validar Enel","ABIERTO"))</f>
        <v>ABIERTO</v>
      </c>
      <c r="P513" s="67" t="str">
        <f>IF(PL[[#This Row],[ESTADO]]="CERRADO","Cerrados IUP",IF(PL[[#This Row],[ESTADO]]="PTE Validar Enel","Pendiente cierre ENEL",IF(ISNUMBER(SEARCH("suministro",PL[[#This Row],[SUPPLIER NOTES]])),"Suministros",IF(PL[[#This Row],[SC]]="SOCIAL","Social",IF(ISNUMBER(SEARCH("monolito",PL[[#This Row],[DESCRIPTION]])),"Monolitos","Varios")))))</f>
        <v>Varios</v>
      </c>
      <c r="Q51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4" spans="1:17" hidden="1" x14ac:dyDescent="0.2">
      <c r="A514" s="66" t="s">
        <v>702</v>
      </c>
      <c r="B514" s="67" t="s">
        <v>8</v>
      </c>
      <c r="C514" s="82">
        <v>8</v>
      </c>
      <c r="D514" s="68" t="s">
        <v>3378</v>
      </c>
      <c r="E514" s="67"/>
      <c r="F514" s="67" t="s">
        <v>703</v>
      </c>
      <c r="G514" s="90" t="s">
        <v>108</v>
      </c>
      <c r="H514" s="90" t="s">
        <v>3458</v>
      </c>
      <c r="I514" s="67"/>
      <c r="J514" s="67" t="s">
        <v>11</v>
      </c>
      <c r="K514" s="67" t="s">
        <v>3393</v>
      </c>
      <c r="L514" s="67"/>
      <c r="M514" s="69"/>
      <c r="N514" s="67" t="str">
        <f>IF(ISNUMBER(PL[[#This Row],[CTO]]),"CTO "&amp;PL[[#This Row],[CTO]],"Otros")</f>
        <v>CTO 8</v>
      </c>
      <c r="O514" s="67" t="str">
        <f>IF(PL[[#This Row],[STATUS IUP]]="CERRADO","CERRADO",IF(ISNUMBER(SEARCH("validacion de enel",PL[[#This Row],[SUPPLIER NOTES]])),"PTE Validar Enel","ABIERTO"))</f>
        <v>ABIERTO</v>
      </c>
      <c r="P514" s="67" t="str">
        <f>IF(PL[[#This Row],[ESTADO]]="CERRADO","Cerrados IUP",IF(PL[[#This Row],[ESTADO]]="PTE Validar Enel","Pendiente cierre ENEL",IF(ISNUMBER(SEARCH("suministro",PL[[#This Row],[SUPPLIER NOTES]])),"Suministros",IF(PL[[#This Row],[SC]]="SOCIAL","Social",IF(ISNUMBER(SEARCH("monolito",PL[[#This Row],[DESCRIPTION]])),"Monolitos","Varios")))))</f>
        <v>Varios</v>
      </c>
      <c r="Q51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5" spans="1:17" hidden="1" x14ac:dyDescent="0.2">
      <c r="A515" s="66" t="s">
        <v>704</v>
      </c>
      <c r="B515" s="67" t="s">
        <v>8</v>
      </c>
      <c r="C515" s="82">
        <v>8</v>
      </c>
      <c r="D515" s="68" t="s">
        <v>3378</v>
      </c>
      <c r="E515" s="67"/>
      <c r="F515" s="67" t="s">
        <v>705</v>
      </c>
      <c r="G515" s="90" t="s">
        <v>108</v>
      </c>
      <c r="H515" s="90" t="s">
        <v>3458</v>
      </c>
      <c r="I515" s="67"/>
      <c r="J515" s="67" t="s">
        <v>11</v>
      </c>
      <c r="K515" s="67" t="s">
        <v>3393</v>
      </c>
      <c r="L515" s="67"/>
      <c r="M515" s="69"/>
      <c r="N515" s="67" t="str">
        <f>IF(ISNUMBER(PL[[#This Row],[CTO]]),"CTO "&amp;PL[[#This Row],[CTO]],"Otros")</f>
        <v>CTO 8</v>
      </c>
      <c r="O515" s="67" t="str">
        <f>IF(PL[[#This Row],[STATUS IUP]]="CERRADO","CERRADO",IF(ISNUMBER(SEARCH("validacion de enel",PL[[#This Row],[SUPPLIER NOTES]])),"PTE Validar Enel","ABIERTO"))</f>
        <v>ABIERTO</v>
      </c>
      <c r="P515" s="67" t="str">
        <f>IF(PL[[#This Row],[ESTADO]]="CERRADO","Cerrados IUP",IF(PL[[#This Row],[ESTADO]]="PTE Validar Enel","Pendiente cierre ENEL",IF(ISNUMBER(SEARCH("suministro",PL[[#This Row],[SUPPLIER NOTES]])),"Suministros",IF(PL[[#This Row],[SC]]="SOCIAL","Social",IF(ISNUMBER(SEARCH("monolito",PL[[#This Row],[DESCRIPTION]])),"Monolitos","Varios")))))</f>
        <v>Varios</v>
      </c>
      <c r="Q51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6" spans="1:17" hidden="1" x14ac:dyDescent="0.2">
      <c r="A516" s="66" t="s">
        <v>706</v>
      </c>
      <c r="B516" s="67" t="s">
        <v>8</v>
      </c>
      <c r="C516" s="82">
        <v>8</v>
      </c>
      <c r="D516" s="68" t="s">
        <v>3378</v>
      </c>
      <c r="E516" s="67"/>
      <c r="F516" s="67" t="s">
        <v>707</v>
      </c>
      <c r="G516" s="90" t="s">
        <v>108</v>
      </c>
      <c r="H516" s="90" t="s">
        <v>3458</v>
      </c>
      <c r="I516" s="67"/>
      <c r="J516" s="67" t="s">
        <v>11</v>
      </c>
      <c r="K516" s="67" t="s">
        <v>3393</v>
      </c>
      <c r="L516" s="67"/>
      <c r="M516" s="69"/>
      <c r="N516" s="67" t="str">
        <f>IF(ISNUMBER(PL[[#This Row],[CTO]]),"CTO "&amp;PL[[#This Row],[CTO]],"Otros")</f>
        <v>CTO 8</v>
      </c>
      <c r="O516" s="67" t="str">
        <f>IF(PL[[#This Row],[STATUS IUP]]="CERRADO","CERRADO",IF(ISNUMBER(SEARCH("validacion de enel",PL[[#This Row],[SUPPLIER NOTES]])),"PTE Validar Enel","ABIERTO"))</f>
        <v>ABIERTO</v>
      </c>
      <c r="P516" s="67" t="str">
        <f>IF(PL[[#This Row],[ESTADO]]="CERRADO","Cerrados IUP",IF(PL[[#This Row],[ESTADO]]="PTE Validar Enel","Pendiente cierre ENEL",IF(ISNUMBER(SEARCH("suministro",PL[[#This Row],[SUPPLIER NOTES]])),"Suministros",IF(PL[[#This Row],[SC]]="SOCIAL","Social",IF(ISNUMBER(SEARCH("monolito",PL[[#This Row],[DESCRIPTION]])),"Monolitos","Varios")))))</f>
        <v>Varios</v>
      </c>
      <c r="Q51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7" spans="1:17" hidden="1" x14ac:dyDescent="0.2">
      <c r="A517" s="66" t="s">
        <v>724</v>
      </c>
      <c r="B517" s="67" t="s">
        <v>8</v>
      </c>
      <c r="C517" s="82">
        <v>8</v>
      </c>
      <c r="D517" s="68" t="s">
        <v>3378</v>
      </c>
      <c r="E517" s="67"/>
      <c r="F517" s="67" t="s">
        <v>725</v>
      </c>
      <c r="G517" s="82" t="s">
        <v>128</v>
      </c>
      <c r="H517" s="90"/>
      <c r="I517" s="67"/>
      <c r="J517" s="67" t="s">
        <v>11</v>
      </c>
      <c r="K517" s="67" t="s">
        <v>3393</v>
      </c>
      <c r="L517" s="67"/>
      <c r="M517" s="69"/>
      <c r="N517" s="67" t="str">
        <f>IF(ISNUMBER(PL[[#This Row],[CTO]]),"CTO "&amp;PL[[#This Row],[CTO]],"Otros")</f>
        <v>CTO 8</v>
      </c>
      <c r="O517" s="67" t="str">
        <f>IF(PL[[#This Row],[STATUS IUP]]="CERRADO","CERRADO",IF(ISNUMBER(SEARCH("validacion de enel",PL[[#This Row],[SUPPLIER NOTES]])),"PTE Validar Enel","ABIERTO"))</f>
        <v>ABIERTO</v>
      </c>
      <c r="P517" s="67" t="str">
        <f>IF(PL[[#This Row],[ESTADO]]="CERRADO","Cerrados IUP",IF(PL[[#This Row],[ESTADO]]="PTE Validar Enel","Pendiente cierre ENEL",IF(ISNUMBER(SEARCH("suministro",PL[[#This Row],[SUPPLIER NOTES]])),"Suministros",IF(PL[[#This Row],[SC]]="SOCIAL","Social",IF(ISNUMBER(SEARCH("monolito",PL[[#This Row],[DESCRIPTION]])),"Monolitos","Varios")))))</f>
        <v>Varios</v>
      </c>
      <c r="Q517"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8" spans="1:17" hidden="1" x14ac:dyDescent="0.2">
      <c r="A518" s="66" t="s">
        <v>730</v>
      </c>
      <c r="B518" s="67" t="s">
        <v>8</v>
      </c>
      <c r="C518" s="82">
        <v>8</v>
      </c>
      <c r="D518" s="68" t="s">
        <v>3378</v>
      </c>
      <c r="E518" s="67"/>
      <c r="F518" s="67" t="s">
        <v>731</v>
      </c>
      <c r="G518" s="90" t="s">
        <v>108</v>
      </c>
      <c r="H518" s="90" t="s">
        <v>3458</v>
      </c>
      <c r="I518" s="67"/>
      <c r="J518" s="67" t="s">
        <v>11</v>
      </c>
      <c r="K518" s="67" t="s">
        <v>3393</v>
      </c>
      <c r="L518" s="67"/>
      <c r="M518" s="69"/>
      <c r="N518" s="67" t="str">
        <f>IF(ISNUMBER(PL[[#This Row],[CTO]]),"CTO "&amp;PL[[#This Row],[CTO]],"Otros")</f>
        <v>CTO 8</v>
      </c>
      <c r="O518" s="67" t="str">
        <f>IF(PL[[#This Row],[STATUS IUP]]="CERRADO","CERRADO",IF(ISNUMBER(SEARCH("validacion de enel",PL[[#This Row],[SUPPLIER NOTES]])),"PTE Validar Enel","ABIERTO"))</f>
        <v>ABIERTO</v>
      </c>
      <c r="P518" s="67" t="str">
        <f>IF(PL[[#This Row],[ESTADO]]="CERRADO","Cerrados IUP",IF(PL[[#This Row],[ESTADO]]="PTE Validar Enel","Pendiente cierre ENEL",IF(ISNUMBER(SEARCH("suministro",PL[[#This Row],[SUPPLIER NOTES]])),"Suministros",IF(PL[[#This Row],[SC]]="SOCIAL","Social",IF(ISNUMBER(SEARCH("monolito",PL[[#This Row],[DESCRIPTION]])),"Monolitos","Varios")))))</f>
        <v>Varios</v>
      </c>
      <c r="Q518"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19" spans="1:17" hidden="1" x14ac:dyDescent="0.2">
      <c r="A519" s="66" t="s">
        <v>732</v>
      </c>
      <c r="B519" s="67" t="s">
        <v>8</v>
      </c>
      <c r="C519" s="82">
        <v>8</v>
      </c>
      <c r="D519" s="68" t="s">
        <v>3378</v>
      </c>
      <c r="E519" s="67"/>
      <c r="F519" s="67" t="s">
        <v>733</v>
      </c>
      <c r="G519" s="82" t="s">
        <v>1289</v>
      </c>
      <c r="H519" s="90"/>
      <c r="I519" s="67"/>
      <c r="J519" s="67" t="s">
        <v>74</v>
      </c>
      <c r="K519" s="67" t="s">
        <v>3394</v>
      </c>
      <c r="L519" s="119">
        <v>46305</v>
      </c>
      <c r="M519" s="69"/>
      <c r="N519" s="67" t="str">
        <f>IF(ISNUMBER(PL[[#This Row],[CTO]]),"CTO "&amp;PL[[#This Row],[CTO]],"Otros")</f>
        <v>CTO 8</v>
      </c>
      <c r="O519" s="67" t="str">
        <f>IF(PL[[#This Row],[STATUS IUP]]="CERRADO","CERRADO",IF(ISNUMBER(SEARCH("validacion de enel",PL[[#This Row],[SUPPLIER NOTES]])),"PTE Validar Enel","ABIERTO"))</f>
        <v>CERRADO</v>
      </c>
      <c r="P519" s="67" t="str">
        <f>IF(PL[[#This Row],[ESTADO]]="CERRADO","Cerrados IUP",IF(PL[[#This Row],[ESTADO]]="PTE Validar Enel","Pendiente cierre ENEL",IF(ISNUMBER(SEARCH("suministro",PL[[#This Row],[SUPPLIER NOTES]])),"Suministros",IF(PL[[#This Row],[SC]]="SOCIAL","Social",IF(ISNUMBER(SEARCH("monolito",PL[[#This Row],[DESCRIPTION]])),"Monolitos","Varios")))))</f>
        <v>Cerrados IUP</v>
      </c>
      <c r="Q51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0" spans="1:17" hidden="1" x14ac:dyDescent="0.2">
      <c r="A520" s="66" t="s">
        <v>738</v>
      </c>
      <c r="B520" s="67" t="s">
        <v>8</v>
      </c>
      <c r="C520" s="82">
        <v>8</v>
      </c>
      <c r="D520" s="68" t="s">
        <v>3378</v>
      </c>
      <c r="E520" s="67"/>
      <c r="F520" s="67" t="s">
        <v>739</v>
      </c>
      <c r="G520" s="82" t="s">
        <v>1289</v>
      </c>
      <c r="H520" s="90"/>
      <c r="I520" s="67"/>
      <c r="J520" s="67" t="s">
        <v>74</v>
      </c>
      <c r="K520" s="67" t="s">
        <v>3394</v>
      </c>
      <c r="L520" s="119">
        <v>46305</v>
      </c>
      <c r="M520" s="69"/>
      <c r="N520" s="67" t="str">
        <f>IF(ISNUMBER(PL[[#This Row],[CTO]]),"CTO "&amp;PL[[#This Row],[CTO]],"Otros")</f>
        <v>CTO 8</v>
      </c>
      <c r="O520" s="67" t="str">
        <f>IF(PL[[#This Row],[STATUS IUP]]="CERRADO","CERRADO",IF(ISNUMBER(SEARCH("validacion de enel",PL[[#This Row],[SUPPLIER NOTES]])),"PTE Validar Enel","ABIERTO"))</f>
        <v>CERRADO</v>
      </c>
      <c r="P520" s="67" t="str">
        <f>IF(PL[[#This Row],[ESTADO]]="CERRADO","Cerrados IUP",IF(PL[[#This Row],[ESTADO]]="PTE Validar Enel","Pendiente cierre ENEL",IF(ISNUMBER(SEARCH("suministro",PL[[#This Row],[SUPPLIER NOTES]])),"Suministros",IF(PL[[#This Row],[SC]]="SOCIAL","Social",IF(ISNUMBER(SEARCH("monolito",PL[[#This Row],[DESCRIPTION]])),"Monolitos","Varios")))))</f>
        <v>Cerrados IUP</v>
      </c>
      <c r="Q52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1" spans="1:17" hidden="1" x14ac:dyDescent="0.2">
      <c r="A521" s="66" t="s">
        <v>762</v>
      </c>
      <c r="B521" s="67" t="s">
        <v>8</v>
      </c>
      <c r="C521" s="82">
        <v>8</v>
      </c>
      <c r="D521" s="68" t="s">
        <v>3378</v>
      </c>
      <c r="E521" s="67"/>
      <c r="F521" s="67" t="s">
        <v>763</v>
      </c>
      <c r="G521" s="82" t="s">
        <v>1289</v>
      </c>
      <c r="H521" s="90" t="s">
        <v>3463</v>
      </c>
      <c r="I521" s="67"/>
      <c r="J521" s="67" t="s">
        <v>11</v>
      </c>
      <c r="K521" s="67" t="s">
        <v>3393</v>
      </c>
      <c r="L521" s="67"/>
      <c r="M521" s="69"/>
      <c r="N521" s="67" t="str">
        <f>IF(ISNUMBER(PL[[#This Row],[CTO]]),"CTO "&amp;PL[[#This Row],[CTO]],"Otros")</f>
        <v>CTO 8</v>
      </c>
      <c r="O521" s="67" t="str">
        <f>IF(PL[[#This Row],[STATUS IUP]]="CERRADO","CERRADO",IF(ISNUMBER(SEARCH("validacion de enel",PL[[#This Row],[SUPPLIER NOTES]])),"PTE Validar Enel","ABIERTO"))</f>
        <v>ABIERTO</v>
      </c>
      <c r="P521" s="67" t="str">
        <f>IF(PL[[#This Row],[ESTADO]]="CERRADO","Cerrados IUP",IF(PL[[#This Row],[ESTADO]]="PTE Validar Enel","Pendiente cierre ENEL",IF(ISNUMBER(SEARCH("suministro",PL[[#This Row],[SUPPLIER NOTES]])),"Suministros",IF(PL[[#This Row],[SC]]="SOCIAL","Social",IF(ISNUMBER(SEARCH("monolito",PL[[#This Row],[DESCRIPTION]])),"Monolitos","Varios")))))</f>
        <v>Varios</v>
      </c>
      <c r="Q52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2" spans="1:17" hidden="1" x14ac:dyDescent="0.2">
      <c r="A522" s="66" t="s">
        <v>774</v>
      </c>
      <c r="B522" s="67" t="s">
        <v>8</v>
      </c>
      <c r="C522" s="82">
        <v>8</v>
      </c>
      <c r="D522" s="68" t="s">
        <v>3378</v>
      </c>
      <c r="E522" s="67"/>
      <c r="F522" s="67" t="s">
        <v>775</v>
      </c>
      <c r="G522" s="82" t="s">
        <v>1289</v>
      </c>
      <c r="H522" s="90"/>
      <c r="I522" s="67"/>
      <c r="J522" s="67" t="s">
        <v>11</v>
      </c>
      <c r="K522" s="67" t="s">
        <v>3393</v>
      </c>
      <c r="L522" s="67"/>
      <c r="M522" s="69"/>
      <c r="N522" s="67" t="str">
        <f>IF(ISNUMBER(PL[[#This Row],[CTO]]),"CTO "&amp;PL[[#This Row],[CTO]],"Otros")</f>
        <v>CTO 8</v>
      </c>
      <c r="O522" s="67" t="str">
        <f>IF(PL[[#This Row],[STATUS IUP]]="CERRADO","CERRADO",IF(ISNUMBER(SEARCH("validacion de enel",PL[[#This Row],[SUPPLIER NOTES]])),"PTE Validar Enel","ABIERTO"))</f>
        <v>ABIERTO</v>
      </c>
      <c r="P522" s="67" t="str">
        <f>IF(PL[[#This Row],[ESTADO]]="CERRADO","Cerrados IUP",IF(PL[[#This Row],[ESTADO]]="PTE Validar Enel","Pendiente cierre ENEL",IF(ISNUMBER(SEARCH("suministro",PL[[#This Row],[SUPPLIER NOTES]])),"Suministros",IF(PL[[#This Row],[SC]]="SOCIAL","Social",IF(ISNUMBER(SEARCH("monolito",PL[[#This Row],[DESCRIPTION]])),"Monolitos","Varios")))))</f>
        <v>Varios</v>
      </c>
      <c r="Q52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3" spans="1:17" s="157" customFormat="1" hidden="1" x14ac:dyDescent="0.2">
      <c r="A523" s="151" t="s">
        <v>1093</v>
      </c>
      <c r="B523" s="154" t="s">
        <v>41</v>
      </c>
      <c r="C523" s="154">
        <v>8</v>
      </c>
      <c r="D523" s="154" t="s">
        <v>3378</v>
      </c>
      <c r="E523" s="153" t="s">
        <v>3392</v>
      </c>
      <c r="F523" s="154" t="s">
        <v>1094</v>
      </c>
      <c r="G523" s="154" t="s">
        <v>49</v>
      </c>
      <c r="H523" s="154"/>
      <c r="I523" s="154"/>
      <c r="J523" s="154" t="s">
        <v>74</v>
      </c>
      <c r="K523" s="154" t="s">
        <v>3394</v>
      </c>
      <c r="L523" s="154"/>
      <c r="M523" s="156"/>
      <c r="N523" s="154" t="str">
        <f>IF(ISNUMBER(PL[[#This Row],[CTO]]),"CTO "&amp;PL[[#This Row],[CTO]],"Otros")</f>
        <v>CTO 8</v>
      </c>
      <c r="O523" s="154" t="str">
        <f>IF(PL[[#This Row],[STATUS IUP]]="CERRADO","CERRADO",IF(ISNUMBER(SEARCH("validacion de enel",PL[[#This Row],[SUPPLIER NOTES]])),"PTE Validar Enel","ABIERTO"))</f>
        <v>CERRADO</v>
      </c>
      <c r="P523" s="154" t="str">
        <f>IF(PL[[#This Row],[ESTADO]]="CERRADO","Cerrados IUP",IF(PL[[#This Row],[ESTADO]]="PTE Validar Enel","Pendiente cierre ENEL",IF(ISNUMBER(SEARCH("suministro",PL[[#This Row],[SUPPLIER NOTES]])),"Suministros",IF(PL[[#This Row],[SC]]="SOCIAL","Social",IF(ISNUMBER(SEARCH("monolito",PL[[#This Row],[DESCRIPTION]])),"Monolitos","Varios")))))</f>
        <v>Cerrados IUP</v>
      </c>
      <c r="Q5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24" spans="1:17" s="157" customFormat="1" hidden="1" x14ac:dyDescent="0.2">
      <c r="A524" s="151" t="s">
        <v>1095</v>
      </c>
      <c r="B524" s="154" t="s">
        <v>41</v>
      </c>
      <c r="C524" s="154">
        <v>8</v>
      </c>
      <c r="D524" s="154" t="s">
        <v>3378</v>
      </c>
      <c r="E524" s="153" t="s">
        <v>3392</v>
      </c>
      <c r="F524" s="154" t="s">
        <v>1096</v>
      </c>
      <c r="G524" s="154" t="s">
        <v>49</v>
      </c>
      <c r="H524" s="154"/>
      <c r="I524" s="154"/>
      <c r="J524" s="154" t="s">
        <v>74</v>
      </c>
      <c r="K524" s="154" t="s">
        <v>3394</v>
      </c>
      <c r="L524" s="154"/>
      <c r="M524" s="156"/>
      <c r="N524" s="154" t="str">
        <f>IF(ISNUMBER(PL[[#This Row],[CTO]]),"CTO "&amp;PL[[#This Row],[CTO]],"Otros")</f>
        <v>CTO 8</v>
      </c>
      <c r="O524" s="154" t="str">
        <f>IF(PL[[#This Row],[STATUS IUP]]="CERRADO","CERRADO",IF(ISNUMBER(SEARCH("validacion de enel",PL[[#This Row],[SUPPLIER NOTES]])),"PTE Validar Enel","ABIERTO"))</f>
        <v>CERRADO</v>
      </c>
      <c r="P524" s="154" t="str">
        <f>IF(PL[[#This Row],[ESTADO]]="CERRADO","Cerrados IUP",IF(PL[[#This Row],[ESTADO]]="PTE Validar Enel","Pendiente cierre ENEL",IF(ISNUMBER(SEARCH("suministro",PL[[#This Row],[SUPPLIER NOTES]])),"Suministros",IF(PL[[#This Row],[SC]]="SOCIAL","Social",IF(ISNUMBER(SEARCH("monolito",PL[[#This Row],[DESCRIPTION]])),"Monolitos","Varios")))))</f>
        <v>Cerrados IUP</v>
      </c>
      <c r="Q5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25" spans="1:17" s="157" customFormat="1" hidden="1" x14ac:dyDescent="0.2">
      <c r="A525" s="151" t="s">
        <v>1097</v>
      </c>
      <c r="B525" s="154" t="s">
        <v>41</v>
      </c>
      <c r="C525" s="154">
        <v>8</v>
      </c>
      <c r="D525" s="154" t="s">
        <v>3378</v>
      </c>
      <c r="E525" s="153" t="s">
        <v>3392</v>
      </c>
      <c r="F525" s="154" t="s">
        <v>1098</v>
      </c>
      <c r="G525" s="154" t="s">
        <v>49</v>
      </c>
      <c r="H525" s="154"/>
      <c r="I525" s="154"/>
      <c r="J525" s="154" t="s">
        <v>74</v>
      </c>
      <c r="K525" s="154" t="s">
        <v>3394</v>
      </c>
      <c r="L525" s="154"/>
      <c r="M525" s="156"/>
      <c r="N525" s="154" t="str">
        <f>IF(ISNUMBER(PL[[#This Row],[CTO]]),"CTO "&amp;PL[[#This Row],[CTO]],"Otros")</f>
        <v>CTO 8</v>
      </c>
      <c r="O525" s="154" t="str">
        <f>IF(PL[[#This Row],[STATUS IUP]]="CERRADO","CERRADO",IF(ISNUMBER(SEARCH("validacion de enel",PL[[#This Row],[SUPPLIER NOTES]])),"PTE Validar Enel","ABIERTO"))</f>
        <v>CERRADO</v>
      </c>
      <c r="P525" s="154" t="str">
        <f>IF(PL[[#This Row],[ESTADO]]="CERRADO","Cerrados IUP",IF(PL[[#This Row],[ESTADO]]="PTE Validar Enel","Pendiente cierre ENEL",IF(ISNUMBER(SEARCH("suministro",PL[[#This Row],[SUPPLIER NOTES]])),"Suministros",IF(PL[[#This Row],[SC]]="SOCIAL","Social",IF(ISNUMBER(SEARCH("monolito",PL[[#This Row],[DESCRIPTION]])),"Monolitos","Varios")))))</f>
        <v>Cerrados IUP</v>
      </c>
      <c r="Q5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26" spans="1:17" s="157" customFormat="1" hidden="1" x14ac:dyDescent="0.2">
      <c r="A526" s="151" t="s">
        <v>1099</v>
      </c>
      <c r="B526" s="154" t="s">
        <v>41</v>
      </c>
      <c r="C526" s="154">
        <v>8</v>
      </c>
      <c r="D526" s="154" t="s">
        <v>3378</v>
      </c>
      <c r="E526" s="153" t="s">
        <v>3392</v>
      </c>
      <c r="F526" s="154" t="s">
        <v>1100</v>
      </c>
      <c r="G526" s="154" t="s">
        <v>49</v>
      </c>
      <c r="H526" s="154"/>
      <c r="I526" s="154"/>
      <c r="J526" s="154" t="s">
        <v>74</v>
      </c>
      <c r="K526" s="154" t="s">
        <v>3394</v>
      </c>
      <c r="L526" s="154"/>
      <c r="M526" s="156"/>
      <c r="N526" s="154" t="str">
        <f>IF(ISNUMBER(PL[[#This Row],[CTO]]),"CTO "&amp;PL[[#This Row],[CTO]],"Otros")</f>
        <v>CTO 8</v>
      </c>
      <c r="O526" s="154" t="str">
        <f>IF(PL[[#This Row],[STATUS IUP]]="CERRADO","CERRADO",IF(ISNUMBER(SEARCH("validacion de enel",PL[[#This Row],[SUPPLIER NOTES]])),"PTE Validar Enel","ABIERTO"))</f>
        <v>CERRADO</v>
      </c>
      <c r="P526" s="154" t="str">
        <f>IF(PL[[#This Row],[ESTADO]]="CERRADO","Cerrados IUP",IF(PL[[#This Row],[ESTADO]]="PTE Validar Enel","Pendiente cierre ENEL",IF(ISNUMBER(SEARCH("suministro",PL[[#This Row],[SUPPLIER NOTES]])),"Suministros",IF(PL[[#This Row],[SC]]="SOCIAL","Social",IF(ISNUMBER(SEARCH("monolito",PL[[#This Row],[DESCRIPTION]])),"Monolitos","Varios")))))</f>
        <v>Cerrados IUP</v>
      </c>
      <c r="Q5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27" spans="1:17" s="157" customFormat="1" hidden="1" x14ac:dyDescent="0.2">
      <c r="A527" s="151" t="s">
        <v>1283</v>
      </c>
      <c r="B527" s="154" t="s">
        <v>1266</v>
      </c>
      <c r="C527" s="154">
        <v>8</v>
      </c>
      <c r="D527" s="153" t="s">
        <v>3378</v>
      </c>
      <c r="E527" s="154"/>
      <c r="F527" s="154" t="s">
        <v>1284</v>
      </c>
      <c r="G527" s="154" t="s">
        <v>43</v>
      </c>
      <c r="H527" s="154"/>
      <c r="I527" s="154"/>
      <c r="J527" s="154" t="s">
        <v>74</v>
      </c>
      <c r="K527" s="154" t="s">
        <v>3394</v>
      </c>
      <c r="L527" s="154"/>
      <c r="M527" s="156"/>
      <c r="N527" s="154" t="str">
        <f>IF(ISNUMBER(PL[[#This Row],[CTO]]),"CTO "&amp;PL[[#This Row],[CTO]],"Otros")</f>
        <v>CTO 8</v>
      </c>
      <c r="O527" s="154" t="str">
        <f>IF(PL[[#This Row],[STATUS IUP]]="CERRADO","CERRADO",IF(ISNUMBER(SEARCH("validacion de enel",PL[[#This Row],[SUPPLIER NOTES]])),"PTE Validar Enel","ABIERTO"))</f>
        <v>CERRADO</v>
      </c>
      <c r="P527" s="154" t="str">
        <f>IF(PL[[#This Row],[ESTADO]]="CERRADO","Cerrados IUP",IF(PL[[#This Row],[ESTADO]]="PTE Validar Enel","Pendiente cierre ENEL",IF(ISNUMBER(SEARCH("suministro",PL[[#This Row],[SUPPLIER NOTES]])),"Suministros",IF(PL[[#This Row],[SC]]="SOCIAL","Social",IF(ISNUMBER(SEARCH("monolito",PL[[#This Row],[DESCRIPTION]])),"Monolitos","Varios")))))</f>
        <v>Cerrados IUP</v>
      </c>
      <c r="Q5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28" spans="1:17" s="157" customFormat="1" hidden="1" x14ac:dyDescent="0.2">
      <c r="A528" s="151" t="s">
        <v>1256</v>
      </c>
      <c r="B528" s="154" t="s">
        <v>8</v>
      </c>
      <c r="C528" s="154">
        <v>8</v>
      </c>
      <c r="D528" s="153" t="s">
        <v>3378</v>
      </c>
      <c r="E528" s="154"/>
      <c r="F528" s="154" t="s">
        <v>1257</v>
      </c>
      <c r="G528" s="154" t="s">
        <v>43</v>
      </c>
      <c r="H528" s="154"/>
      <c r="I528" s="154"/>
      <c r="J528" s="154" t="s">
        <v>74</v>
      </c>
      <c r="K528" s="154" t="s">
        <v>3394</v>
      </c>
      <c r="L528" s="154"/>
      <c r="M528" s="156"/>
      <c r="N528" s="154" t="str">
        <f>IF(ISNUMBER(PL[[#This Row],[CTO]]),"CTO "&amp;PL[[#This Row],[CTO]],"Otros")</f>
        <v>CTO 8</v>
      </c>
      <c r="O528" s="154" t="str">
        <f>IF(PL[[#This Row],[STATUS IUP]]="CERRADO","CERRADO",IF(ISNUMBER(SEARCH("validacion de enel",PL[[#This Row],[SUPPLIER NOTES]])),"PTE Validar Enel","ABIERTO"))</f>
        <v>CERRADO</v>
      </c>
      <c r="P528" s="154" t="str">
        <f>IF(PL[[#This Row],[ESTADO]]="CERRADO","Cerrados IUP",IF(PL[[#This Row],[ESTADO]]="PTE Validar Enel","Pendiente cierre ENEL",IF(ISNUMBER(SEARCH("suministro",PL[[#This Row],[SUPPLIER NOTES]])),"Suministros",IF(PL[[#This Row],[SC]]="SOCIAL","Social",IF(ISNUMBER(SEARCH("monolito",PL[[#This Row],[DESCRIPTION]])),"Monolitos","Varios")))))</f>
        <v>Cerrados IUP</v>
      </c>
      <c r="Q5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529" spans="1:17" x14ac:dyDescent="0.2">
      <c r="A529" s="75" t="s">
        <v>1198</v>
      </c>
      <c r="B529" s="74" t="s">
        <v>8</v>
      </c>
      <c r="C529" s="82">
        <v>8</v>
      </c>
      <c r="D529" s="76" t="s">
        <v>3378</v>
      </c>
      <c r="E529" s="74"/>
      <c r="F529" s="74" t="s">
        <v>1199</v>
      </c>
      <c r="G529" s="74" t="s">
        <v>43</v>
      </c>
      <c r="H529" s="74" t="s">
        <v>3460</v>
      </c>
      <c r="I529" s="74"/>
      <c r="J529" s="74" t="s">
        <v>11</v>
      </c>
      <c r="K529" s="74" t="s">
        <v>3393</v>
      </c>
      <c r="L529" s="74"/>
      <c r="M529" s="77"/>
      <c r="N529" s="74" t="str">
        <f>IF(ISNUMBER(PL[[#This Row],[CTO]]),"CTO "&amp;PL[[#This Row],[CTO]],"Otros")</f>
        <v>CTO 8</v>
      </c>
      <c r="O529" s="74" t="str">
        <f>IF(PL[[#This Row],[STATUS IUP]]="CERRADO","CERRADO",IF(ISNUMBER(SEARCH("validacion de enel",PL[[#This Row],[SUPPLIER NOTES]])),"PTE Validar Enel","ABIERTO"))</f>
        <v>ABIERTO</v>
      </c>
      <c r="P529" s="74" t="str">
        <f>IF(PL[[#This Row],[ESTADO]]="CERRADO","Cerrados IUP",IF(PL[[#This Row],[ESTADO]]="PTE Validar Enel","Pendiente cierre ENEL",IF(ISNUMBER(SEARCH("suministro",PL[[#This Row],[SUPPLIER NOTES]])),"Suministros",IF(PL[[#This Row],[SC]]="SOCIAL","Social",IF(ISNUMBER(SEARCH("monolito",PL[[#This Row],[DESCRIPTION]])),"Monolitos","Varios")))))</f>
        <v>Suministros</v>
      </c>
      <c r="Q52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530" spans="1:17" s="157" customFormat="1" hidden="1" x14ac:dyDescent="0.2">
      <c r="A530" s="151" t="s">
        <v>1222</v>
      </c>
      <c r="B530" s="154" t="s">
        <v>8</v>
      </c>
      <c r="C530" s="154">
        <v>8</v>
      </c>
      <c r="D530" s="153" t="s">
        <v>3378</v>
      </c>
      <c r="E530" s="154"/>
      <c r="F530" s="154" t="s">
        <v>1223</v>
      </c>
      <c r="G530" s="154" t="s">
        <v>43</v>
      </c>
      <c r="H530" s="154"/>
      <c r="I530" s="154"/>
      <c r="J530" s="154" t="s">
        <v>74</v>
      </c>
      <c r="K530" s="154" t="s">
        <v>3394</v>
      </c>
      <c r="L530" s="154"/>
      <c r="M530" s="156"/>
      <c r="N530" s="154" t="str">
        <f>IF(ISNUMBER(PL[[#This Row],[CTO]]),"CTO "&amp;PL[[#This Row],[CTO]],"Otros")</f>
        <v>CTO 8</v>
      </c>
      <c r="O530" s="154" t="str">
        <f>IF(PL[[#This Row],[STATUS IUP]]="CERRADO","CERRADO",IF(ISNUMBER(SEARCH("validacion de enel",PL[[#This Row],[SUPPLIER NOTES]])),"PTE Validar Enel","ABIERTO"))</f>
        <v>CERRADO</v>
      </c>
      <c r="P530" s="154" t="str">
        <f>IF(PL[[#This Row],[ESTADO]]="CERRADO","Cerrados IUP",IF(PL[[#This Row],[ESTADO]]="PTE Validar Enel","Pendiente cierre ENEL",IF(ISNUMBER(SEARCH("suministro",PL[[#This Row],[SUPPLIER NOTES]])),"Suministros",IF(PL[[#This Row],[SC]]="SOCIAL","Social",IF(ISNUMBER(SEARCH("monolito",PL[[#This Row],[DESCRIPTION]])),"Monolitos","Varios")))))</f>
        <v>Cerrados IUP</v>
      </c>
      <c r="Q5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1" spans="1:17" ht="16" hidden="1" x14ac:dyDescent="0.2">
      <c r="A531" s="86" t="s">
        <v>798</v>
      </c>
      <c r="B531" s="115" t="s">
        <v>8</v>
      </c>
      <c r="C531" s="82">
        <v>8</v>
      </c>
      <c r="D531" s="88" t="s">
        <v>3379</v>
      </c>
      <c r="E531" s="87"/>
      <c r="F531" s="115" t="s">
        <v>799</v>
      </c>
      <c r="G531" s="82" t="s">
        <v>1289</v>
      </c>
      <c r="H531" s="87" t="s">
        <v>3454</v>
      </c>
      <c r="I531" s="87"/>
      <c r="J531" s="87" t="s">
        <v>11</v>
      </c>
      <c r="K531" s="87" t="s">
        <v>3393</v>
      </c>
      <c r="L531" s="87"/>
      <c r="M531" s="89"/>
      <c r="N531" s="87" t="str">
        <f>IF(ISNUMBER(PL[[#This Row],[CTO]]),"CTO "&amp;PL[[#This Row],[CTO]],"Otros")</f>
        <v>CTO 8</v>
      </c>
      <c r="O531" s="87" t="str">
        <f>IF(PL[[#This Row],[STATUS IUP]]="CERRADO","CERRADO",IF(ISNUMBER(SEARCH("validacion de enel",PL[[#This Row],[SUPPLIER NOTES]])),"PTE Validar Enel","ABIERTO"))</f>
        <v>PTE Validar Enel</v>
      </c>
      <c r="P53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53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2" spans="1:17" ht="16" hidden="1" x14ac:dyDescent="0.2">
      <c r="A532" s="86" t="s">
        <v>804</v>
      </c>
      <c r="B532" s="115" t="s">
        <v>8</v>
      </c>
      <c r="C532" s="82">
        <v>8</v>
      </c>
      <c r="D532" s="88" t="s">
        <v>3379</v>
      </c>
      <c r="E532" s="87"/>
      <c r="F532" s="115" t="s">
        <v>805</v>
      </c>
      <c r="G532" s="82" t="s">
        <v>1289</v>
      </c>
      <c r="H532" s="87" t="s">
        <v>3454</v>
      </c>
      <c r="I532" s="87"/>
      <c r="J532" s="87" t="s">
        <v>11</v>
      </c>
      <c r="K532" s="87" t="s">
        <v>3393</v>
      </c>
      <c r="L532" s="87"/>
      <c r="M532" s="89"/>
      <c r="N532" s="87" t="str">
        <f>IF(ISNUMBER(PL[[#This Row],[CTO]]),"CTO "&amp;PL[[#This Row],[CTO]],"Otros")</f>
        <v>CTO 8</v>
      </c>
      <c r="O532" s="87" t="str">
        <f>IF(PL[[#This Row],[STATUS IUP]]="CERRADO","CERRADO",IF(ISNUMBER(SEARCH("validacion de enel",PL[[#This Row],[SUPPLIER NOTES]])),"PTE Validar Enel","ABIERTO"))</f>
        <v>PTE Validar Enel</v>
      </c>
      <c r="P53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53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3" spans="1:17" ht="32" hidden="1" x14ac:dyDescent="0.2">
      <c r="A533" s="86" t="s">
        <v>863</v>
      </c>
      <c r="B533" s="115" t="s">
        <v>8</v>
      </c>
      <c r="C533" s="82">
        <v>8</v>
      </c>
      <c r="D533" s="88" t="s">
        <v>3379</v>
      </c>
      <c r="E533" s="87"/>
      <c r="F533" s="115" t="s">
        <v>864</v>
      </c>
      <c r="G533" s="82" t="s">
        <v>1289</v>
      </c>
      <c r="H533" s="87" t="s">
        <v>3454</v>
      </c>
      <c r="I533" s="87"/>
      <c r="J533" s="87" t="s">
        <v>11</v>
      </c>
      <c r="K533" s="87" t="s">
        <v>3393</v>
      </c>
      <c r="L533" s="87"/>
      <c r="M533" s="89"/>
      <c r="N533" s="87" t="str">
        <f>IF(ISNUMBER(PL[[#This Row],[CTO]]),"CTO "&amp;PL[[#This Row],[CTO]],"Otros")</f>
        <v>CTO 8</v>
      </c>
      <c r="O533" s="87" t="str">
        <f>IF(PL[[#This Row],[STATUS IUP]]="CERRADO","CERRADO",IF(ISNUMBER(SEARCH("validacion de enel",PL[[#This Row],[SUPPLIER NOTES]])),"PTE Validar Enel","ABIERTO"))</f>
        <v>PTE Validar Enel</v>
      </c>
      <c r="P53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53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4" spans="1:17" s="157" customFormat="1" ht="32" hidden="1" x14ac:dyDescent="0.2">
      <c r="A534" s="151" t="s">
        <v>873</v>
      </c>
      <c r="B534" s="152" t="s">
        <v>8</v>
      </c>
      <c r="C534" s="154">
        <v>8</v>
      </c>
      <c r="D534" s="153" t="s">
        <v>3379</v>
      </c>
      <c r="E534" s="154"/>
      <c r="F534" s="152" t="s">
        <v>874</v>
      </c>
      <c r="G534" s="154" t="s">
        <v>1290</v>
      </c>
      <c r="H534" s="154" t="s">
        <v>3454</v>
      </c>
      <c r="I534" s="154"/>
      <c r="J534" s="154" t="s">
        <v>74</v>
      </c>
      <c r="K534" s="154" t="s">
        <v>3394</v>
      </c>
      <c r="L534" s="155">
        <v>46293</v>
      </c>
      <c r="M534" s="156"/>
      <c r="N534" s="154" t="str">
        <f>IF(ISNUMBER(PL[[#This Row],[CTO]]),"CTO "&amp;PL[[#This Row],[CTO]],"Otros")</f>
        <v>CTO 8</v>
      </c>
      <c r="O534" s="154" t="str">
        <f>IF(PL[[#This Row],[STATUS IUP]]="CERRADO","CERRADO",IF(ISNUMBER(SEARCH("validacion de enel",PL[[#This Row],[SUPPLIER NOTES]])),"PTE Validar Enel","ABIERTO"))</f>
        <v>CERRADO</v>
      </c>
      <c r="P534" s="154" t="str">
        <f>IF(PL[[#This Row],[ESTADO]]="CERRADO","Cerrados IUP",IF(PL[[#This Row],[ESTADO]]="PTE Validar Enel","Pendiente cierre ENEL",IF(ISNUMBER(SEARCH("suministro",PL[[#This Row],[SUPPLIER NOTES]])),"Suministros",IF(PL[[#This Row],[SC]]="SOCIAL","Social",IF(ISNUMBER(SEARCH("monolito",PL[[#This Row],[DESCRIPTION]])),"Monolitos","Varios")))))</f>
        <v>Cerrados IUP</v>
      </c>
      <c r="Q5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5" spans="1:17" s="157" customFormat="1" hidden="1" x14ac:dyDescent="0.2">
      <c r="A535" s="151" t="s">
        <v>54</v>
      </c>
      <c r="B535" s="154" t="s">
        <v>47</v>
      </c>
      <c r="C535" s="154">
        <v>8</v>
      </c>
      <c r="D535" s="153" t="s">
        <v>3379</v>
      </c>
      <c r="E535" s="154"/>
      <c r="F535" s="154" t="s">
        <v>55</v>
      </c>
      <c r="G535" s="154" t="s">
        <v>49</v>
      </c>
      <c r="H535" s="154"/>
      <c r="I535" s="154"/>
      <c r="J535" s="154" t="s">
        <v>74</v>
      </c>
      <c r="K535" s="154" t="s">
        <v>3394</v>
      </c>
      <c r="L535" s="154"/>
      <c r="M535" s="156"/>
      <c r="N535" s="154" t="str">
        <f>IF(ISNUMBER(PL[[#This Row],[CTO]]),"CTO "&amp;PL[[#This Row],[CTO]],"Otros")</f>
        <v>CTO 8</v>
      </c>
      <c r="O535" s="154" t="str">
        <f>IF(PL[[#This Row],[STATUS IUP]]="CERRADO","CERRADO",IF(ISNUMBER(SEARCH("validacion de enel",PL[[#This Row],[SUPPLIER NOTES]])),"PTE Validar Enel","ABIERTO"))</f>
        <v>CERRADO</v>
      </c>
      <c r="P535" s="154" t="str">
        <f>IF(PL[[#This Row],[ESTADO]]="CERRADO","Cerrados IUP",IF(PL[[#This Row],[ESTADO]]="PTE Validar Enel","Pendiente cierre ENEL",IF(ISNUMBER(SEARCH("suministro",PL[[#This Row],[SUPPLIER NOTES]])),"Suministros",IF(PL[[#This Row],[SC]]="SOCIAL","Social",IF(ISNUMBER(SEARCH("monolito",PL[[#This Row],[DESCRIPTION]])),"Monolitos","Varios")))))</f>
        <v>Cerrados IUP</v>
      </c>
      <c r="Q5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6" spans="1:17" s="157" customFormat="1" hidden="1" x14ac:dyDescent="0.2">
      <c r="A536" s="151" t="s">
        <v>796</v>
      </c>
      <c r="B536" s="154" t="s">
        <v>8</v>
      </c>
      <c r="C536" s="154">
        <v>8</v>
      </c>
      <c r="D536" s="153" t="s">
        <v>3379</v>
      </c>
      <c r="E536" s="154"/>
      <c r="F536" s="154" t="s">
        <v>797</v>
      </c>
      <c r="G536" s="154" t="s">
        <v>1290</v>
      </c>
      <c r="H536" s="154"/>
      <c r="I536" s="154"/>
      <c r="J536" s="154" t="s">
        <v>74</v>
      </c>
      <c r="K536" s="154" t="s">
        <v>3394</v>
      </c>
      <c r="L536" s="154"/>
      <c r="M536" s="156"/>
      <c r="N536" s="154" t="str">
        <f>IF(ISNUMBER(PL[[#This Row],[CTO]]),"CTO "&amp;PL[[#This Row],[CTO]],"Otros")</f>
        <v>CTO 8</v>
      </c>
      <c r="O536" s="154" t="str">
        <f>IF(PL[[#This Row],[STATUS IUP]]="CERRADO","CERRADO",IF(ISNUMBER(SEARCH("validacion de enel",PL[[#This Row],[SUPPLIER NOTES]])),"PTE Validar Enel","ABIERTO"))</f>
        <v>CERRADO</v>
      </c>
      <c r="P536" s="154" t="str">
        <f>IF(PL[[#This Row],[ESTADO]]="CERRADO","Cerrados IUP",IF(PL[[#This Row],[ESTADO]]="PTE Validar Enel","Pendiente cierre ENEL",IF(ISNUMBER(SEARCH("suministro",PL[[#This Row],[SUPPLIER NOTES]])),"Suministros",IF(PL[[#This Row],[SC]]="SOCIAL","Social",IF(ISNUMBER(SEARCH("monolito",PL[[#This Row],[DESCRIPTION]])),"Monolitos","Varios")))))</f>
        <v>Cerrados IUP</v>
      </c>
      <c r="Q5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7" spans="1:17" s="157" customFormat="1" hidden="1" x14ac:dyDescent="0.2">
      <c r="A537" s="151" t="s">
        <v>800</v>
      </c>
      <c r="B537" s="154" t="s">
        <v>8</v>
      </c>
      <c r="C537" s="154">
        <v>8</v>
      </c>
      <c r="D537" s="153" t="s">
        <v>3379</v>
      </c>
      <c r="E537" s="154"/>
      <c r="F537" s="154" t="s">
        <v>801</v>
      </c>
      <c r="G537" s="154" t="s">
        <v>1290</v>
      </c>
      <c r="H537" s="154"/>
      <c r="I537" s="154"/>
      <c r="J537" s="154" t="s">
        <v>74</v>
      </c>
      <c r="K537" s="154" t="s">
        <v>3394</v>
      </c>
      <c r="L537" s="154"/>
      <c r="M537" s="156"/>
      <c r="N537" s="154" t="str">
        <f>IF(ISNUMBER(PL[[#This Row],[CTO]]),"CTO "&amp;PL[[#This Row],[CTO]],"Otros")</f>
        <v>CTO 8</v>
      </c>
      <c r="O537" s="154" t="str">
        <f>IF(PL[[#This Row],[STATUS IUP]]="CERRADO","CERRADO",IF(ISNUMBER(SEARCH("validacion de enel",PL[[#This Row],[SUPPLIER NOTES]])),"PTE Validar Enel","ABIERTO"))</f>
        <v>CERRADO</v>
      </c>
      <c r="P537" s="154" t="str">
        <f>IF(PL[[#This Row],[ESTADO]]="CERRADO","Cerrados IUP",IF(PL[[#This Row],[ESTADO]]="PTE Validar Enel","Pendiente cierre ENEL",IF(ISNUMBER(SEARCH("suministro",PL[[#This Row],[SUPPLIER NOTES]])),"Suministros",IF(PL[[#This Row],[SC]]="SOCIAL","Social",IF(ISNUMBER(SEARCH("monolito",PL[[#This Row],[DESCRIPTION]])),"Monolitos","Varios")))))</f>
        <v>Cerrados IUP</v>
      </c>
      <c r="Q5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8" spans="1:17" s="157" customFormat="1" hidden="1" x14ac:dyDescent="0.2">
      <c r="A538" s="151" t="s">
        <v>802</v>
      </c>
      <c r="B538" s="154" t="s">
        <v>8</v>
      </c>
      <c r="C538" s="154">
        <v>8</v>
      </c>
      <c r="D538" s="153" t="s">
        <v>3379</v>
      </c>
      <c r="E538" s="154"/>
      <c r="F538" s="154" t="s">
        <v>803</v>
      </c>
      <c r="G538" s="154" t="s">
        <v>1290</v>
      </c>
      <c r="H538" s="154"/>
      <c r="I538" s="154"/>
      <c r="J538" s="154" t="s">
        <v>74</v>
      </c>
      <c r="K538" s="154" t="s">
        <v>3394</v>
      </c>
      <c r="L538" s="154"/>
      <c r="M538" s="156"/>
      <c r="N538" s="154" t="str">
        <f>IF(ISNUMBER(PL[[#This Row],[CTO]]),"CTO "&amp;PL[[#This Row],[CTO]],"Otros")</f>
        <v>CTO 8</v>
      </c>
      <c r="O538" s="154" t="str">
        <f>IF(PL[[#This Row],[STATUS IUP]]="CERRADO","CERRADO",IF(ISNUMBER(SEARCH("validacion de enel",PL[[#This Row],[SUPPLIER NOTES]])),"PTE Validar Enel","ABIERTO"))</f>
        <v>CERRADO</v>
      </c>
      <c r="P538" s="154" t="str">
        <f>IF(PL[[#This Row],[ESTADO]]="CERRADO","Cerrados IUP",IF(PL[[#This Row],[ESTADO]]="PTE Validar Enel","Pendiente cierre ENEL",IF(ISNUMBER(SEARCH("suministro",PL[[#This Row],[SUPPLIER NOTES]])),"Suministros",IF(PL[[#This Row],[SC]]="SOCIAL","Social",IF(ISNUMBER(SEARCH("monolito",PL[[#This Row],[DESCRIPTION]])),"Monolitos","Varios")))))</f>
        <v>Cerrados IUP</v>
      </c>
      <c r="Q5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39" spans="1:17" s="157" customFormat="1" hidden="1" x14ac:dyDescent="0.2">
      <c r="A539" s="151" t="s">
        <v>806</v>
      </c>
      <c r="B539" s="154" t="s">
        <v>8</v>
      </c>
      <c r="C539" s="154">
        <v>8</v>
      </c>
      <c r="D539" s="153" t="s">
        <v>3379</v>
      </c>
      <c r="E539" s="154"/>
      <c r="F539" s="154" t="s">
        <v>807</v>
      </c>
      <c r="G539" s="154" t="s">
        <v>1289</v>
      </c>
      <c r="H539" s="154"/>
      <c r="I539" s="154"/>
      <c r="J539" s="154" t="s">
        <v>74</v>
      </c>
      <c r="K539" s="154" t="s">
        <v>3394</v>
      </c>
      <c r="L539" s="154"/>
      <c r="M539" s="156"/>
      <c r="N539" s="154" t="str">
        <f>IF(ISNUMBER(PL[[#This Row],[CTO]]),"CTO "&amp;PL[[#This Row],[CTO]],"Otros")</f>
        <v>CTO 8</v>
      </c>
      <c r="O539" s="154" t="str">
        <f>IF(PL[[#This Row],[STATUS IUP]]="CERRADO","CERRADO",IF(ISNUMBER(SEARCH("validacion de enel",PL[[#This Row],[SUPPLIER NOTES]])),"PTE Validar Enel","ABIERTO"))</f>
        <v>CERRADO</v>
      </c>
      <c r="P539" s="154" t="str">
        <f>IF(PL[[#This Row],[ESTADO]]="CERRADO","Cerrados IUP",IF(PL[[#This Row],[ESTADO]]="PTE Validar Enel","Pendiente cierre ENEL",IF(ISNUMBER(SEARCH("suministro",PL[[#This Row],[SUPPLIER NOTES]])),"Suministros",IF(PL[[#This Row],[SC]]="SOCIAL","Social",IF(ISNUMBER(SEARCH("monolito",PL[[#This Row],[DESCRIPTION]])),"Monolitos","Varios")))))</f>
        <v>Cerrados IUP</v>
      </c>
      <c r="Q5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0" spans="1:17" s="157" customFormat="1" hidden="1" x14ac:dyDescent="0.2">
      <c r="A540" s="151" t="s">
        <v>809</v>
      </c>
      <c r="B540" s="154" t="s">
        <v>8</v>
      </c>
      <c r="C540" s="154">
        <v>8</v>
      </c>
      <c r="D540" s="153" t="s">
        <v>3379</v>
      </c>
      <c r="E540" s="154"/>
      <c r="F540" s="154" t="s">
        <v>810</v>
      </c>
      <c r="G540" s="154" t="s">
        <v>1290</v>
      </c>
      <c r="H540" s="154"/>
      <c r="I540" s="154"/>
      <c r="J540" s="154" t="s">
        <v>74</v>
      </c>
      <c r="K540" s="154" t="s">
        <v>3394</v>
      </c>
      <c r="L540" s="154"/>
      <c r="M540" s="156"/>
      <c r="N540" s="154" t="str">
        <f>IF(ISNUMBER(PL[[#This Row],[CTO]]),"CTO "&amp;PL[[#This Row],[CTO]],"Otros")</f>
        <v>CTO 8</v>
      </c>
      <c r="O540" s="154" t="str">
        <f>IF(PL[[#This Row],[STATUS IUP]]="CERRADO","CERRADO",IF(ISNUMBER(SEARCH("validacion de enel",PL[[#This Row],[SUPPLIER NOTES]])),"PTE Validar Enel","ABIERTO"))</f>
        <v>CERRADO</v>
      </c>
      <c r="P540" s="154" t="str">
        <f>IF(PL[[#This Row],[ESTADO]]="CERRADO","Cerrados IUP",IF(PL[[#This Row],[ESTADO]]="PTE Validar Enel","Pendiente cierre ENEL",IF(ISNUMBER(SEARCH("suministro",PL[[#This Row],[SUPPLIER NOTES]])),"Suministros",IF(PL[[#This Row],[SC]]="SOCIAL","Social",IF(ISNUMBER(SEARCH("monolito",PL[[#This Row],[DESCRIPTION]])),"Monolitos","Varios")))))</f>
        <v>Cerrados IUP</v>
      </c>
      <c r="Q5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1" spans="1:17" s="157" customFormat="1" hidden="1" x14ac:dyDescent="0.2">
      <c r="A541" s="151" t="s">
        <v>813</v>
      </c>
      <c r="B541" s="154" t="s">
        <v>8</v>
      </c>
      <c r="C541" s="154">
        <v>8</v>
      </c>
      <c r="D541" s="153" t="s">
        <v>3379</v>
      </c>
      <c r="E541" s="154"/>
      <c r="F541" s="154" t="s">
        <v>814</v>
      </c>
      <c r="G541" s="154" t="s">
        <v>108</v>
      </c>
      <c r="H541" s="154"/>
      <c r="I541" s="154"/>
      <c r="J541" s="154" t="s">
        <v>74</v>
      </c>
      <c r="K541" s="154" t="s">
        <v>3394</v>
      </c>
      <c r="L541" s="154"/>
      <c r="M541" s="156"/>
      <c r="N541" s="154" t="str">
        <f>IF(ISNUMBER(PL[[#This Row],[CTO]]),"CTO "&amp;PL[[#This Row],[CTO]],"Otros")</f>
        <v>CTO 8</v>
      </c>
      <c r="O541" s="154" t="str">
        <f>IF(PL[[#This Row],[STATUS IUP]]="CERRADO","CERRADO",IF(ISNUMBER(SEARCH("validacion de enel",PL[[#This Row],[SUPPLIER NOTES]])),"PTE Validar Enel","ABIERTO"))</f>
        <v>CERRADO</v>
      </c>
      <c r="P541" s="154" t="str">
        <f>IF(PL[[#This Row],[ESTADO]]="CERRADO","Cerrados IUP",IF(PL[[#This Row],[ESTADO]]="PTE Validar Enel","Pendiente cierre ENEL",IF(ISNUMBER(SEARCH("suministro",PL[[#This Row],[SUPPLIER NOTES]])),"Suministros",IF(PL[[#This Row],[SC]]="SOCIAL","Social",IF(ISNUMBER(SEARCH("monolito",PL[[#This Row],[DESCRIPTION]])),"Monolitos","Varios")))))</f>
        <v>Cerrados IUP</v>
      </c>
      <c r="Q5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2" spans="1:17" s="157" customFormat="1" hidden="1" x14ac:dyDescent="0.2">
      <c r="A542" s="151" t="s">
        <v>817</v>
      </c>
      <c r="B542" s="154" t="s">
        <v>8</v>
      </c>
      <c r="C542" s="154">
        <v>8</v>
      </c>
      <c r="D542" s="153" t="s">
        <v>3379</v>
      </c>
      <c r="E542" s="154"/>
      <c r="F542" s="154" t="s">
        <v>818</v>
      </c>
      <c r="G542" s="154" t="s">
        <v>1289</v>
      </c>
      <c r="H542" s="154"/>
      <c r="I542" s="154"/>
      <c r="J542" s="154" t="s">
        <v>74</v>
      </c>
      <c r="K542" s="154" t="s">
        <v>3394</v>
      </c>
      <c r="L542" s="154"/>
      <c r="M542" s="156"/>
      <c r="N542" s="154" t="str">
        <f>IF(ISNUMBER(PL[[#This Row],[CTO]]),"CTO "&amp;PL[[#This Row],[CTO]],"Otros")</f>
        <v>CTO 8</v>
      </c>
      <c r="O542" s="154" t="str">
        <f>IF(PL[[#This Row],[STATUS IUP]]="CERRADO","CERRADO",IF(ISNUMBER(SEARCH("validacion de enel",PL[[#This Row],[SUPPLIER NOTES]])),"PTE Validar Enel","ABIERTO"))</f>
        <v>CERRADO</v>
      </c>
      <c r="P542" s="154" t="str">
        <f>IF(PL[[#This Row],[ESTADO]]="CERRADO","Cerrados IUP",IF(PL[[#This Row],[ESTADO]]="PTE Validar Enel","Pendiente cierre ENEL",IF(ISNUMBER(SEARCH("suministro",PL[[#This Row],[SUPPLIER NOTES]])),"Suministros",IF(PL[[#This Row],[SC]]="SOCIAL","Social",IF(ISNUMBER(SEARCH("monolito",PL[[#This Row],[DESCRIPTION]])),"Monolitos","Varios")))))</f>
        <v>Cerrados IUP</v>
      </c>
      <c r="Q5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3" spans="1:17" s="157" customFormat="1" hidden="1" x14ac:dyDescent="0.2">
      <c r="A543" s="151" t="s">
        <v>819</v>
      </c>
      <c r="B543" s="154" t="s">
        <v>8</v>
      </c>
      <c r="C543" s="154">
        <v>8</v>
      </c>
      <c r="D543" s="153" t="s">
        <v>3379</v>
      </c>
      <c r="E543" s="154"/>
      <c r="F543" s="154" t="s">
        <v>820</v>
      </c>
      <c r="G543" s="154" t="s">
        <v>1290</v>
      </c>
      <c r="H543" s="154"/>
      <c r="I543" s="154"/>
      <c r="J543" s="154" t="s">
        <v>74</v>
      </c>
      <c r="K543" s="154" t="s">
        <v>3394</v>
      </c>
      <c r="L543" s="154"/>
      <c r="M543" s="156"/>
      <c r="N543" s="154" t="str">
        <f>IF(ISNUMBER(PL[[#This Row],[CTO]]),"CTO "&amp;PL[[#This Row],[CTO]],"Otros")</f>
        <v>CTO 8</v>
      </c>
      <c r="O543" s="154" t="str">
        <f>IF(PL[[#This Row],[STATUS IUP]]="CERRADO","CERRADO",IF(ISNUMBER(SEARCH("validacion de enel",PL[[#This Row],[SUPPLIER NOTES]])),"PTE Validar Enel","ABIERTO"))</f>
        <v>CERRADO</v>
      </c>
      <c r="P543" s="154" t="str">
        <f>IF(PL[[#This Row],[ESTADO]]="CERRADO","Cerrados IUP",IF(PL[[#This Row],[ESTADO]]="PTE Validar Enel","Pendiente cierre ENEL",IF(ISNUMBER(SEARCH("suministro",PL[[#This Row],[SUPPLIER NOTES]])),"Suministros",IF(PL[[#This Row],[SC]]="SOCIAL","Social",IF(ISNUMBER(SEARCH("monolito",PL[[#This Row],[DESCRIPTION]])),"Monolitos","Varios")))))</f>
        <v>Cerrados IUP</v>
      </c>
      <c r="Q5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4" spans="1:17" s="157" customFormat="1" hidden="1" x14ac:dyDescent="0.2">
      <c r="A544" s="151" t="s">
        <v>821</v>
      </c>
      <c r="B544" s="154" t="s">
        <v>8</v>
      </c>
      <c r="C544" s="154">
        <v>8</v>
      </c>
      <c r="D544" s="153" t="s">
        <v>3379</v>
      </c>
      <c r="E544" s="154"/>
      <c r="F544" s="154" t="s">
        <v>822</v>
      </c>
      <c r="G544" s="154" t="s">
        <v>108</v>
      </c>
      <c r="H544" s="154"/>
      <c r="I544" s="154"/>
      <c r="J544" s="154" t="s">
        <v>74</v>
      </c>
      <c r="K544" s="154" t="s">
        <v>3394</v>
      </c>
      <c r="L544" s="154"/>
      <c r="M544" s="156"/>
      <c r="N544" s="154" t="str">
        <f>IF(ISNUMBER(PL[[#This Row],[CTO]]),"CTO "&amp;PL[[#This Row],[CTO]],"Otros")</f>
        <v>CTO 8</v>
      </c>
      <c r="O544" s="154" t="str">
        <f>IF(PL[[#This Row],[STATUS IUP]]="CERRADO","CERRADO",IF(ISNUMBER(SEARCH("validacion de enel",PL[[#This Row],[SUPPLIER NOTES]])),"PTE Validar Enel","ABIERTO"))</f>
        <v>CERRADO</v>
      </c>
      <c r="P544" s="154" t="str">
        <f>IF(PL[[#This Row],[ESTADO]]="CERRADO","Cerrados IUP",IF(PL[[#This Row],[ESTADO]]="PTE Validar Enel","Pendiente cierre ENEL",IF(ISNUMBER(SEARCH("suministro",PL[[#This Row],[SUPPLIER NOTES]])),"Suministros",IF(PL[[#This Row],[SC]]="SOCIAL","Social",IF(ISNUMBER(SEARCH("monolito",PL[[#This Row],[DESCRIPTION]])),"Monolitos","Varios")))))</f>
        <v>Cerrados IUP</v>
      </c>
      <c r="Q5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5" spans="1:17" s="157" customFormat="1" hidden="1" x14ac:dyDescent="0.2">
      <c r="A545" s="151" t="s">
        <v>825</v>
      </c>
      <c r="B545" s="154" t="s">
        <v>8</v>
      </c>
      <c r="C545" s="154">
        <v>8</v>
      </c>
      <c r="D545" s="153" t="s">
        <v>3379</v>
      </c>
      <c r="E545" s="154"/>
      <c r="F545" s="154" t="s">
        <v>826</v>
      </c>
      <c r="G545" s="154" t="s">
        <v>1290</v>
      </c>
      <c r="H545" s="154"/>
      <c r="I545" s="154"/>
      <c r="J545" s="154" t="s">
        <v>74</v>
      </c>
      <c r="K545" s="154" t="s">
        <v>3394</v>
      </c>
      <c r="L545" s="154"/>
      <c r="M545" s="156"/>
      <c r="N545" s="154" t="str">
        <f>IF(ISNUMBER(PL[[#This Row],[CTO]]),"CTO "&amp;PL[[#This Row],[CTO]],"Otros")</f>
        <v>CTO 8</v>
      </c>
      <c r="O545" s="154" t="str">
        <f>IF(PL[[#This Row],[STATUS IUP]]="CERRADO","CERRADO",IF(ISNUMBER(SEARCH("validacion de enel",PL[[#This Row],[SUPPLIER NOTES]])),"PTE Validar Enel","ABIERTO"))</f>
        <v>CERRADO</v>
      </c>
      <c r="P545" s="154" t="str">
        <f>IF(PL[[#This Row],[ESTADO]]="CERRADO","Cerrados IUP",IF(PL[[#This Row],[ESTADO]]="PTE Validar Enel","Pendiente cierre ENEL",IF(ISNUMBER(SEARCH("suministro",PL[[#This Row],[SUPPLIER NOTES]])),"Suministros",IF(PL[[#This Row],[SC]]="SOCIAL","Social",IF(ISNUMBER(SEARCH("monolito",PL[[#This Row],[DESCRIPTION]])),"Monolitos","Varios")))))</f>
        <v>Cerrados IUP</v>
      </c>
      <c r="Q5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6" spans="1:17" s="157" customFormat="1" hidden="1" x14ac:dyDescent="0.2">
      <c r="A546" s="151" t="s">
        <v>827</v>
      </c>
      <c r="B546" s="154" t="s">
        <v>8</v>
      </c>
      <c r="C546" s="154">
        <v>8</v>
      </c>
      <c r="D546" s="153" t="s">
        <v>3379</v>
      </c>
      <c r="E546" s="154"/>
      <c r="F546" s="154" t="s">
        <v>828</v>
      </c>
      <c r="G546" s="154" t="s">
        <v>1290</v>
      </c>
      <c r="H546" s="154"/>
      <c r="I546" s="154"/>
      <c r="J546" s="154" t="s">
        <v>74</v>
      </c>
      <c r="K546" s="154" t="s">
        <v>3394</v>
      </c>
      <c r="L546" s="154"/>
      <c r="M546" s="156"/>
      <c r="N546" s="154" t="str">
        <f>IF(ISNUMBER(PL[[#This Row],[CTO]]),"CTO "&amp;PL[[#This Row],[CTO]],"Otros")</f>
        <v>CTO 8</v>
      </c>
      <c r="O546" s="154" t="str">
        <f>IF(PL[[#This Row],[STATUS IUP]]="CERRADO","CERRADO",IF(ISNUMBER(SEARCH("validacion de enel",PL[[#This Row],[SUPPLIER NOTES]])),"PTE Validar Enel","ABIERTO"))</f>
        <v>CERRADO</v>
      </c>
      <c r="P546" s="154" t="str">
        <f>IF(PL[[#This Row],[ESTADO]]="CERRADO","Cerrados IUP",IF(PL[[#This Row],[ESTADO]]="PTE Validar Enel","Pendiente cierre ENEL",IF(ISNUMBER(SEARCH("suministro",PL[[#This Row],[SUPPLIER NOTES]])),"Suministros",IF(PL[[#This Row],[SC]]="SOCIAL","Social",IF(ISNUMBER(SEARCH("monolito",PL[[#This Row],[DESCRIPTION]])),"Monolitos","Varios")))))</f>
        <v>Cerrados IUP</v>
      </c>
      <c r="Q5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7" spans="1:17" s="157" customFormat="1" hidden="1" x14ac:dyDescent="0.2">
      <c r="A547" s="151" t="s">
        <v>829</v>
      </c>
      <c r="B547" s="154" t="s">
        <v>8</v>
      </c>
      <c r="C547" s="154">
        <v>8</v>
      </c>
      <c r="D547" s="153" t="s">
        <v>3379</v>
      </c>
      <c r="E547" s="154"/>
      <c r="F547" s="154" t="s">
        <v>830</v>
      </c>
      <c r="G547" s="154" t="s">
        <v>1290</v>
      </c>
      <c r="H547" s="154"/>
      <c r="I547" s="154"/>
      <c r="J547" s="154" t="s">
        <v>74</v>
      </c>
      <c r="K547" s="154" t="s">
        <v>3394</v>
      </c>
      <c r="L547" s="154"/>
      <c r="M547" s="156"/>
      <c r="N547" s="154" t="str">
        <f>IF(ISNUMBER(PL[[#This Row],[CTO]]),"CTO "&amp;PL[[#This Row],[CTO]],"Otros")</f>
        <v>CTO 8</v>
      </c>
      <c r="O547" s="154" t="str">
        <f>IF(PL[[#This Row],[STATUS IUP]]="CERRADO","CERRADO",IF(ISNUMBER(SEARCH("validacion de enel",PL[[#This Row],[SUPPLIER NOTES]])),"PTE Validar Enel","ABIERTO"))</f>
        <v>CERRADO</v>
      </c>
      <c r="P547" s="154" t="str">
        <f>IF(PL[[#This Row],[ESTADO]]="CERRADO","Cerrados IUP",IF(PL[[#This Row],[ESTADO]]="PTE Validar Enel","Pendiente cierre ENEL",IF(ISNUMBER(SEARCH("suministro",PL[[#This Row],[SUPPLIER NOTES]])),"Suministros",IF(PL[[#This Row],[SC]]="SOCIAL","Social",IF(ISNUMBER(SEARCH("monolito",PL[[#This Row],[DESCRIPTION]])),"Monolitos","Varios")))))</f>
        <v>Cerrados IUP</v>
      </c>
      <c r="Q5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8" spans="1:17" s="157" customFormat="1" hidden="1" x14ac:dyDescent="0.2">
      <c r="A548" s="151" t="s">
        <v>831</v>
      </c>
      <c r="B548" s="154" t="s">
        <v>8</v>
      </c>
      <c r="C548" s="154">
        <v>8</v>
      </c>
      <c r="D548" s="153" t="s">
        <v>3379</v>
      </c>
      <c r="E548" s="154"/>
      <c r="F548" s="154" t="s">
        <v>832</v>
      </c>
      <c r="G548" s="154" t="s">
        <v>1290</v>
      </c>
      <c r="H548" s="154"/>
      <c r="I548" s="154"/>
      <c r="J548" s="154" t="s">
        <v>74</v>
      </c>
      <c r="K548" s="154" t="s">
        <v>3394</v>
      </c>
      <c r="L548" s="154"/>
      <c r="M548" s="156"/>
      <c r="N548" s="154" t="str">
        <f>IF(ISNUMBER(PL[[#This Row],[CTO]]),"CTO "&amp;PL[[#This Row],[CTO]],"Otros")</f>
        <v>CTO 8</v>
      </c>
      <c r="O548" s="154" t="str">
        <f>IF(PL[[#This Row],[STATUS IUP]]="CERRADO","CERRADO",IF(ISNUMBER(SEARCH("validacion de enel",PL[[#This Row],[SUPPLIER NOTES]])),"PTE Validar Enel","ABIERTO"))</f>
        <v>CERRADO</v>
      </c>
      <c r="P548" s="154" t="str">
        <f>IF(PL[[#This Row],[ESTADO]]="CERRADO","Cerrados IUP",IF(PL[[#This Row],[ESTADO]]="PTE Validar Enel","Pendiente cierre ENEL",IF(ISNUMBER(SEARCH("suministro",PL[[#This Row],[SUPPLIER NOTES]])),"Suministros",IF(PL[[#This Row],[SC]]="SOCIAL","Social",IF(ISNUMBER(SEARCH("monolito",PL[[#This Row],[DESCRIPTION]])),"Monolitos","Varios")))))</f>
        <v>Cerrados IUP</v>
      </c>
      <c r="Q5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49" spans="1:17" s="157" customFormat="1" hidden="1" x14ac:dyDescent="0.2">
      <c r="A549" s="151" t="s">
        <v>833</v>
      </c>
      <c r="B549" s="154" t="s">
        <v>8</v>
      </c>
      <c r="C549" s="154">
        <v>8</v>
      </c>
      <c r="D549" s="153" t="s">
        <v>3379</v>
      </c>
      <c r="E549" s="154"/>
      <c r="F549" s="154" t="s">
        <v>834</v>
      </c>
      <c r="G549" s="154" t="s">
        <v>1290</v>
      </c>
      <c r="H549" s="154"/>
      <c r="I549" s="154"/>
      <c r="J549" s="154" t="s">
        <v>74</v>
      </c>
      <c r="K549" s="154" t="s">
        <v>3394</v>
      </c>
      <c r="L549" s="154"/>
      <c r="M549" s="156"/>
      <c r="N549" s="154" t="str">
        <f>IF(ISNUMBER(PL[[#This Row],[CTO]]),"CTO "&amp;PL[[#This Row],[CTO]],"Otros")</f>
        <v>CTO 8</v>
      </c>
      <c r="O549" s="154" t="str">
        <f>IF(PL[[#This Row],[STATUS IUP]]="CERRADO","CERRADO",IF(ISNUMBER(SEARCH("validacion de enel",PL[[#This Row],[SUPPLIER NOTES]])),"PTE Validar Enel","ABIERTO"))</f>
        <v>CERRADO</v>
      </c>
      <c r="P549" s="154" t="str">
        <f>IF(PL[[#This Row],[ESTADO]]="CERRADO","Cerrados IUP",IF(PL[[#This Row],[ESTADO]]="PTE Validar Enel","Pendiente cierre ENEL",IF(ISNUMBER(SEARCH("suministro",PL[[#This Row],[SUPPLIER NOTES]])),"Suministros",IF(PL[[#This Row],[SC]]="SOCIAL","Social",IF(ISNUMBER(SEARCH("monolito",PL[[#This Row],[DESCRIPTION]])),"Monolitos","Varios")))))</f>
        <v>Cerrados IUP</v>
      </c>
      <c r="Q5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0" spans="1:17" s="157" customFormat="1" hidden="1" x14ac:dyDescent="0.2">
      <c r="A550" s="151" t="s">
        <v>835</v>
      </c>
      <c r="B550" s="154" t="s">
        <v>8</v>
      </c>
      <c r="C550" s="154">
        <v>8</v>
      </c>
      <c r="D550" s="153" t="s">
        <v>3379</v>
      </c>
      <c r="E550" s="154"/>
      <c r="F550" s="154" t="s">
        <v>836</v>
      </c>
      <c r="G550" s="154" t="s">
        <v>1290</v>
      </c>
      <c r="H550" s="154"/>
      <c r="I550" s="154"/>
      <c r="J550" s="154" t="s">
        <v>74</v>
      </c>
      <c r="K550" s="154" t="s">
        <v>3394</v>
      </c>
      <c r="L550" s="154"/>
      <c r="M550" s="156"/>
      <c r="N550" s="154" t="str">
        <f>IF(ISNUMBER(PL[[#This Row],[CTO]]),"CTO "&amp;PL[[#This Row],[CTO]],"Otros")</f>
        <v>CTO 8</v>
      </c>
      <c r="O550" s="154" t="str">
        <f>IF(PL[[#This Row],[STATUS IUP]]="CERRADO","CERRADO",IF(ISNUMBER(SEARCH("validacion de enel",PL[[#This Row],[SUPPLIER NOTES]])),"PTE Validar Enel","ABIERTO"))</f>
        <v>CERRADO</v>
      </c>
      <c r="P550" s="154" t="str">
        <f>IF(PL[[#This Row],[ESTADO]]="CERRADO","Cerrados IUP",IF(PL[[#This Row],[ESTADO]]="PTE Validar Enel","Pendiente cierre ENEL",IF(ISNUMBER(SEARCH("suministro",PL[[#This Row],[SUPPLIER NOTES]])),"Suministros",IF(PL[[#This Row],[SC]]="SOCIAL","Social",IF(ISNUMBER(SEARCH("monolito",PL[[#This Row],[DESCRIPTION]])),"Monolitos","Varios")))))</f>
        <v>Cerrados IUP</v>
      </c>
      <c r="Q5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1" spans="1:17" s="157" customFormat="1" hidden="1" x14ac:dyDescent="0.2">
      <c r="A551" s="151" t="s">
        <v>837</v>
      </c>
      <c r="B551" s="154" t="s">
        <v>8</v>
      </c>
      <c r="C551" s="154">
        <v>8</v>
      </c>
      <c r="D551" s="153" t="s">
        <v>3379</v>
      </c>
      <c r="E551" s="154"/>
      <c r="F551" s="154" t="s">
        <v>838</v>
      </c>
      <c r="G551" s="154" t="s">
        <v>1290</v>
      </c>
      <c r="H551" s="154"/>
      <c r="I551" s="154"/>
      <c r="J551" s="154" t="s">
        <v>74</v>
      </c>
      <c r="K551" s="154" t="s">
        <v>3394</v>
      </c>
      <c r="L551" s="154"/>
      <c r="M551" s="156"/>
      <c r="N551" s="154" t="str">
        <f>IF(ISNUMBER(PL[[#This Row],[CTO]]),"CTO "&amp;PL[[#This Row],[CTO]],"Otros")</f>
        <v>CTO 8</v>
      </c>
      <c r="O551" s="154" t="str">
        <f>IF(PL[[#This Row],[STATUS IUP]]="CERRADO","CERRADO",IF(ISNUMBER(SEARCH("validacion de enel",PL[[#This Row],[SUPPLIER NOTES]])),"PTE Validar Enel","ABIERTO"))</f>
        <v>CERRADO</v>
      </c>
      <c r="P551" s="154" t="str">
        <f>IF(PL[[#This Row],[ESTADO]]="CERRADO","Cerrados IUP",IF(PL[[#This Row],[ESTADO]]="PTE Validar Enel","Pendiente cierre ENEL",IF(ISNUMBER(SEARCH("suministro",PL[[#This Row],[SUPPLIER NOTES]])),"Suministros",IF(PL[[#This Row],[SC]]="SOCIAL","Social",IF(ISNUMBER(SEARCH("monolito",PL[[#This Row],[DESCRIPTION]])),"Monolitos","Varios")))))</f>
        <v>Cerrados IUP</v>
      </c>
      <c r="Q5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2" spans="1:17" s="157" customFormat="1" ht="48" hidden="1" x14ac:dyDescent="0.2">
      <c r="A552" s="151" t="s">
        <v>867</v>
      </c>
      <c r="B552" s="152" t="s">
        <v>8</v>
      </c>
      <c r="C552" s="154">
        <v>8</v>
      </c>
      <c r="D552" s="153" t="s">
        <v>3379</v>
      </c>
      <c r="E552" s="154"/>
      <c r="F552" s="152" t="s">
        <v>868</v>
      </c>
      <c r="G552" s="154" t="s">
        <v>128</v>
      </c>
      <c r="H552" s="154"/>
      <c r="I552" s="154"/>
      <c r="J552" s="154" t="s">
        <v>74</v>
      </c>
      <c r="K552" s="154" t="s">
        <v>3394</v>
      </c>
      <c r="L552" s="154"/>
      <c r="M552" s="156"/>
      <c r="N552" s="154" t="str">
        <f>IF(ISNUMBER(PL[[#This Row],[CTO]]),"CTO "&amp;PL[[#This Row],[CTO]],"Otros")</f>
        <v>CTO 8</v>
      </c>
      <c r="O552" s="154" t="str">
        <f>IF(PL[[#This Row],[STATUS IUP]]="CERRADO","CERRADO",IF(ISNUMBER(SEARCH("validacion de enel",PL[[#This Row],[SUPPLIER NOTES]])),"PTE Validar Enel","ABIERTO"))</f>
        <v>CERRADO</v>
      </c>
      <c r="P552" s="154" t="str">
        <f>IF(PL[[#This Row],[ESTADO]]="CERRADO","Cerrados IUP",IF(PL[[#This Row],[ESTADO]]="PTE Validar Enel","Pendiente cierre ENEL",IF(ISNUMBER(SEARCH("suministro",PL[[#This Row],[SUPPLIER NOTES]])),"Suministros",IF(PL[[#This Row],[SC]]="SOCIAL","Social",IF(ISNUMBER(SEARCH("monolito",PL[[#This Row],[DESCRIPTION]])),"Monolitos","Varios")))))</f>
        <v>Cerrados IUP</v>
      </c>
      <c r="Q5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3" spans="1:17" s="157" customFormat="1" hidden="1" x14ac:dyDescent="0.2">
      <c r="A553" s="151" t="s">
        <v>869</v>
      </c>
      <c r="B553" s="154" t="s">
        <v>8</v>
      </c>
      <c r="C553" s="154">
        <v>8</v>
      </c>
      <c r="D553" s="153" t="s">
        <v>3379</v>
      </c>
      <c r="E553" s="154"/>
      <c r="F553" s="154" t="s">
        <v>870</v>
      </c>
      <c r="G553" s="154" t="s">
        <v>1290</v>
      </c>
      <c r="H553" s="154"/>
      <c r="I553" s="154"/>
      <c r="J553" s="154" t="s">
        <v>74</v>
      </c>
      <c r="K553" s="154" t="s">
        <v>3394</v>
      </c>
      <c r="L553" s="154"/>
      <c r="M553" s="156"/>
      <c r="N553" s="154" t="str">
        <f>IF(ISNUMBER(PL[[#This Row],[CTO]]),"CTO "&amp;PL[[#This Row],[CTO]],"Otros")</f>
        <v>CTO 8</v>
      </c>
      <c r="O553" s="154" t="str">
        <f>IF(PL[[#This Row],[STATUS IUP]]="CERRADO","CERRADO",IF(ISNUMBER(SEARCH("validacion de enel",PL[[#This Row],[SUPPLIER NOTES]])),"PTE Validar Enel","ABIERTO"))</f>
        <v>CERRADO</v>
      </c>
      <c r="P553" s="154" t="str">
        <f>IF(PL[[#This Row],[ESTADO]]="CERRADO","Cerrados IUP",IF(PL[[#This Row],[ESTADO]]="PTE Validar Enel","Pendiente cierre ENEL",IF(ISNUMBER(SEARCH("suministro",PL[[#This Row],[SUPPLIER NOTES]])),"Suministros",IF(PL[[#This Row],[SC]]="SOCIAL","Social",IF(ISNUMBER(SEARCH("monolito",PL[[#This Row],[DESCRIPTION]])),"Monolitos","Varios")))))</f>
        <v>Cerrados IUP</v>
      </c>
      <c r="Q5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4" spans="1:17" s="157" customFormat="1" hidden="1" x14ac:dyDescent="0.2">
      <c r="A554" s="151" t="s">
        <v>871</v>
      </c>
      <c r="B554" s="154" t="s">
        <v>8</v>
      </c>
      <c r="C554" s="154">
        <v>8</v>
      </c>
      <c r="D554" s="153" t="s">
        <v>3379</v>
      </c>
      <c r="E554" s="154"/>
      <c r="F554" s="154" t="s">
        <v>872</v>
      </c>
      <c r="G554" s="154" t="s">
        <v>1290</v>
      </c>
      <c r="H554" s="154"/>
      <c r="I554" s="154"/>
      <c r="J554" s="154" t="s">
        <v>74</v>
      </c>
      <c r="K554" s="154" t="s">
        <v>3394</v>
      </c>
      <c r="L554" s="154"/>
      <c r="M554" s="156"/>
      <c r="N554" s="154" t="str">
        <f>IF(ISNUMBER(PL[[#This Row],[CTO]]),"CTO "&amp;PL[[#This Row],[CTO]],"Otros")</f>
        <v>CTO 8</v>
      </c>
      <c r="O554" s="154" t="str">
        <f>IF(PL[[#This Row],[STATUS IUP]]="CERRADO","CERRADO",IF(ISNUMBER(SEARCH("validacion de enel",PL[[#This Row],[SUPPLIER NOTES]])),"PTE Validar Enel","ABIERTO"))</f>
        <v>CERRADO</v>
      </c>
      <c r="P554" s="154" t="str">
        <f>IF(PL[[#This Row],[ESTADO]]="CERRADO","Cerrados IUP",IF(PL[[#This Row],[ESTADO]]="PTE Validar Enel","Pendiente cierre ENEL",IF(ISNUMBER(SEARCH("suministro",PL[[#This Row],[SUPPLIER NOTES]])),"Suministros",IF(PL[[#This Row],[SC]]="SOCIAL","Social",IF(ISNUMBER(SEARCH("monolito",PL[[#This Row],[DESCRIPTION]])),"Monolitos","Varios")))))</f>
        <v>Cerrados IUP</v>
      </c>
      <c r="Q5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5" spans="1:17" s="157" customFormat="1" hidden="1" x14ac:dyDescent="0.2">
      <c r="A555" s="151" t="s">
        <v>903</v>
      </c>
      <c r="B555" s="154" t="s">
        <v>8</v>
      </c>
      <c r="C555" s="154">
        <v>8</v>
      </c>
      <c r="D555" s="153" t="s">
        <v>3379</v>
      </c>
      <c r="E555" s="154"/>
      <c r="F555" s="154" t="s">
        <v>904</v>
      </c>
      <c r="G555" s="154" t="s">
        <v>1290</v>
      </c>
      <c r="H555" s="154"/>
      <c r="I555" s="154"/>
      <c r="J555" s="154" t="s">
        <v>74</v>
      </c>
      <c r="K555" s="154" t="s">
        <v>3394</v>
      </c>
      <c r="L555" s="154"/>
      <c r="M555" s="156"/>
      <c r="N555" s="154" t="str">
        <f>IF(ISNUMBER(PL[[#This Row],[CTO]]),"CTO "&amp;PL[[#This Row],[CTO]],"Otros")</f>
        <v>CTO 8</v>
      </c>
      <c r="O555" s="154" t="str">
        <f>IF(PL[[#This Row],[STATUS IUP]]="CERRADO","CERRADO",IF(ISNUMBER(SEARCH("validacion de enel",PL[[#This Row],[SUPPLIER NOTES]])),"PTE Validar Enel","ABIERTO"))</f>
        <v>CERRADO</v>
      </c>
      <c r="P555" s="154" t="str">
        <f>IF(PL[[#This Row],[ESTADO]]="CERRADO","Cerrados IUP",IF(PL[[#This Row],[ESTADO]]="PTE Validar Enel","Pendiente cierre ENEL",IF(ISNUMBER(SEARCH("suministro",PL[[#This Row],[SUPPLIER NOTES]])),"Suministros",IF(PL[[#This Row],[SC]]="SOCIAL","Social",IF(ISNUMBER(SEARCH("monolito",PL[[#This Row],[DESCRIPTION]])),"Monolitos","Varios")))))</f>
        <v>Cerrados IUP</v>
      </c>
      <c r="Q5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6" spans="1:17" s="157" customFormat="1" hidden="1" x14ac:dyDescent="0.2">
      <c r="A556" s="151" t="s">
        <v>905</v>
      </c>
      <c r="B556" s="154" t="s">
        <v>8</v>
      </c>
      <c r="C556" s="154">
        <v>8</v>
      </c>
      <c r="D556" s="153" t="s">
        <v>3379</v>
      </c>
      <c r="E556" s="154"/>
      <c r="F556" s="154" t="s">
        <v>906</v>
      </c>
      <c r="G556" s="154" t="s">
        <v>1290</v>
      </c>
      <c r="H556" s="154"/>
      <c r="I556" s="154"/>
      <c r="J556" s="154" t="s">
        <v>74</v>
      </c>
      <c r="K556" s="154" t="s">
        <v>3394</v>
      </c>
      <c r="L556" s="154"/>
      <c r="M556" s="156"/>
      <c r="N556" s="154" t="str">
        <f>IF(ISNUMBER(PL[[#This Row],[CTO]]),"CTO "&amp;PL[[#This Row],[CTO]],"Otros")</f>
        <v>CTO 8</v>
      </c>
      <c r="O556" s="154" t="str">
        <f>IF(PL[[#This Row],[STATUS IUP]]="CERRADO","CERRADO",IF(ISNUMBER(SEARCH("validacion de enel",PL[[#This Row],[SUPPLIER NOTES]])),"PTE Validar Enel","ABIERTO"))</f>
        <v>CERRADO</v>
      </c>
      <c r="P556" s="154" t="str">
        <f>IF(PL[[#This Row],[ESTADO]]="CERRADO","Cerrados IUP",IF(PL[[#This Row],[ESTADO]]="PTE Validar Enel","Pendiente cierre ENEL",IF(ISNUMBER(SEARCH("suministro",PL[[#This Row],[SUPPLIER NOTES]])),"Suministros",IF(PL[[#This Row],[SC]]="SOCIAL","Social",IF(ISNUMBER(SEARCH("monolito",PL[[#This Row],[DESCRIPTION]])),"Monolitos","Varios")))))</f>
        <v>Cerrados IUP</v>
      </c>
      <c r="Q5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7" spans="1:17" s="157" customFormat="1" hidden="1" x14ac:dyDescent="0.2">
      <c r="A557" s="151" t="s">
        <v>907</v>
      </c>
      <c r="B557" s="154" t="s">
        <v>8</v>
      </c>
      <c r="C557" s="154">
        <v>8</v>
      </c>
      <c r="D557" s="153" t="s">
        <v>3379</v>
      </c>
      <c r="E557" s="154"/>
      <c r="F557" s="154" t="s">
        <v>908</v>
      </c>
      <c r="G557" s="154" t="s">
        <v>1290</v>
      </c>
      <c r="H557" s="154"/>
      <c r="I557" s="154"/>
      <c r="J557" s="154" t="s">
        <v>74</v>
      </c>
      <c r="K557" s="154" t="s">
        <v>3394</v>
      </c>
      <c r="L557" s="154"/>
      <c r="M557" s="156"/>
      <c r="N557" s="154" t="str">
        <f>IF(ISNUMBER(PL[[#This Row],[CTO]]),"CTO "&amp;PL[[#This Row],[CTO]],"Otros")</f>
        <v>CTO 8</v>
      </c>
      <c r="O557" s="154" t="str">
        <f>IF(PL[[#This Row],[STATUS IUP]]="CERRADO","CERRADO",IF(ISNUMBER(SEARCH("validacion de enel",PL[[#This Row],[SUPPLIER NOTES]])),"PTE Validar Enel","ABIERTO"))</f>
        <v>CERRADO</v>
      </c>
      <c r="P557" s="154" t="str">
        <f>IF(PL[[#This Row],[ESTADO]]="CERRADO","Cerrados IUP",IF(PL[[#This Row],[ESTADO]]="PTE Validar Enel","Pendiente cierre ENEL",IF(ISNUMBER(SEARCH("suministro",PL[[#This Row],[SUPPLIER NOTES]])),"Suministros",IF(PL[[#This Row],[SC]]="SOCIAL","Social",IF(ISNUMBER(SEARCH("monolito",PL[[#This Row],[DESCRIPTION]])),"Monolitos","Varios")))))</f>
        <v>Cerrados IUP</v>
      </c>
      <c r="Q5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8" spans="1:17" s="157" customFormat="1" hidden="1" x14ac:dyDescent="0.2">
      <c r="A558" s="151" t="s">
        <v>909</v>
      </c>
      <c r="B558" s="154" t="s">
        <v>8</v>
      </c>
      <c r="C558" s="154">
        <v>8</v>
      </c>
      <c r="D558" s="153" t="s">
        <v>3379</v>
      </c>
      <c r="E558" s="154"/>
      <c r="F558" s="154" t="s">
        <v>910</v>
      </c>
      <c r="G558" s="154" t="s">
        <v>1289</v>
      </c>
      <c r="H558" s="154"/>
      <c r="I558" s="154"/>
      <c r="J558" s="154" t="s">
        <v>74</v>
      </c>
      <c r="K558" s="154" t="s">
        <v>3394</v>
      </c>
      <c r="L558" s="154"/>
      <c r="M558" s="156"/>
      <c r="N558" s="154" t="str">
        <f>IF(ISNUMBER(PL[[#This Row],[CTO]]),"CTO "&amp;PL[[#This Row],[CTO]],"Otros")</f>
        <v>CTO 8</v>
      </c>
      <c r="O558" s="154" t="str">
        <f>IF(PL[[#This Row],[STATUS IUP]]="CERRADO","CERRADO",IF(ISNUMBER(SEARCH("validacion de enel",PL[[#This Row],[SUPPLIER NOTES]])),"PTE Validar Enel","ABIERTO"))</f>
        <v>CERRADO</v>
      </c>
      <c r="P558" s="154" t="str">
        <f>IF(PL[[#This Row],[ESTADO]]="CERRADO","Cerrados IUP",IF(PL[[#This Row],[ESTADO]]="PTE Validar Enel","Pendiente cierre ENEL",IF(ISNUMBER(SEARCH("suministro",PL[[#This Row],[SUPPLIER NOTES]])),"Suministros",IF(PL[[#This Row],[SC]]="SOCIAL","Social",IF(ISNUMBER(SEARCH("monolito",PL[[#This Row],[DESCRIPTION]])),"Monolitos","Varios")))))</f>
        <v>Cerrados IUP</v>
      </c>
      <c r="Q5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59" spans="1:17" s="157" customFormat="1" hidden="1" x14ac:dyDescent="0.2">
      <c r="A559" s="151" t="s">
        <v>911</v>
      </c>
      <c r="B559" s="154" t="s">
        <v>8</v>
      </c>
      <c r="C559" s="154">
        <v>8</v>
      </c>
      <c r="D559" s="153" t="s">
        <v>3379</v>
      </c>
      <c r="E559" s="154"/>
      <c r="F559" s="154" t="s">
        <v>912</v>
      </c>
      <c r="G559" s="154" t="s">
        <v>1290</v>
      </c>
      <c r="H559" s="154"/>
      <c r="I559" s="154"/>
      <c r="J559" s="154" t="s">
        <v>74</v>
      </c>
      <c r="K559" s="154" t="s">
        <v>3394</v>
      </c>
      <c r="L559" s="154"/>
      <c r="M559" s="156"/>
      <c r="N559" s="154" t="str">
        <f>IF(ISNUMBER(PL[[#This Row],[CTO]]),"CTO "&amp;PL[[#This Row],[CTO]],"Otros")</f>
        <v>CTO 8</v>
      </c>
      <c r="O559" s="154" t="str">
        <f>IF(PL[[#This Row],[STATUS IUP]]="CERRADO","CERRADO",IF(ISNUMBER(SEARCH("validacion de enel",PL[[#This Row],[SUPPLIER NOTES]])),"PTE Validar Enel","ABIERTO"))</f>
        <v>CERRADO</v>
      </c>
      <c r="P559" s="154" t="str">
        <f>IF(PL[[#This Row],[ESTADO]]="CERRADO","Cerrados IUP",IF(PL[[#This Row],[ESTADO]]="PTE Validar Enel","Pendiente cierre ENEL",IF(ISNUMBER(SEARCH("suministro",PL[[#This Row],[SUPPLIER NOTES]])),"Suministros",IF(PL[[#This Row],[SC]]="SOCIAL","Social",IF(ISNUMBER(SEARCH("monolito",PL[[#This Row],[DESCRIPTION]])),"Monolitos","Varios")))))</f>
        <v>Cerrados IUP</v>
      </c>
      <c r="Q5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0" spans="1:17" s="157" customFormat="1" hidden="1" x14ac:dyDescent="0.2">
      <c r="A560" s="151" t="s">
        <v>913</v>
      </c>
      <c r="B560" s="154" t="s">
        <v>8</v>
      </c>
      <c r="C560" s="154">
        <v>8</v>
      </c>
      <c r="D560" s="153" t="s">
        <v>3379</v>
      </c>
      <c r="E560" s="154"/>
      <c r="F560" s="154" t="s">
        <v>914</v>
      </c>
      <c r="G560" s="154" t="s">
        <v>1290</v>
      </c>
      <c r="H560" s="154"/>
      <c r="I560" s="154"/>
      <c r="J560" s="154" t="s">
        <v>74</v>
      </c>
      <c r="K560" s="154" t="s">
        <v>3394</v>
      </c>
      <c r="L560" s="154"/>
      <c r="M560" s="156"/>
      <c r="N560" s="154" t="str">
        <f>IF(ISNUMBER(PL[[#This Row],[CTO]]),"CTO "&amp;PL[[#This Row],[CTO]],"Otros")</f>
        <v>CTO 8</v>
      </c>
      <c r="O560" s="154" t="str">
        <f>IF(PL[[#This Row],[STATUS IUP]]="CERRADO","CERRADO",IF(ISNUMBER(SEARCH("validacion de enel",PL[[#This Row],[SUPPLIER NOTES]])),"PTE Validar Enel","ABIERTO"))</f>
        <v>CERRADO</v>
      </c>
      <c r="P560" s="154" t="str">
        <f>IF(PL[[#This Row],[ESTADO]]="CERRADO","Cerrados IUP",IF(PL[[#This Row],[ESTADO]]="PTE Validar Enel","Pendiente cierre ENEL",IF(ISNUMBER(SEARCH("suministro",PL[[#This Row],[SUPPLIER NOTES]])),"Suministros",IF(PL[[#This Row],[SC]]="SOCIAL","Social",IF(ISNUMBER(SEARCH("monolito",PL[[#This Row],[DESCRIPTION]])),"Monolitos","Varios")))))</f>
        <v>Cerrados IUP</v>
      </c>
      <c r="Q5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1" spans="1:17" s="157" customFormat="1" hidden="1" x14ac:dyDescent="0.2">
      <c r="A561" s="151" t="s">
        <v>915</v>
      </c>
      <c r="B561" s="154" t="s">
        <v>8</v>
      </c>
      <c r="C561" s="154">
        <v>8</v>
      </c>
      <c r="D561" s="153" t="s">
        <v>3379</v>
      </c>
      <c r="E561" s="154"/>
      <c r="F561" s="154" t="s">
        <v>916</v>
      </c>
      <c r="G561" s="154" t="s">
        <v>1290</v>
      </c>
      <c r="H561" s="154"/>
      <c r="I561" s="154"/>
      <c r="J561" s="154" t="s">
        <v>74</v>
      </c>
      <c r="K561" s="154" t="s">
        <v>3394</v>
      </c>
      <c r="L561" s="154"/>
      <c r="M561" s="156"/>
      <c r="N561" s="154" t="str">
        <f>IF(ISNUMBER(PL[[#This Row],[CTO]]),"CTO "&amp;PL[[#This Row],[CTO]],"Otros")</f>
        <v>CTO 8</v>
      </c>
      <c r="O561" s="154" t="str">
        <f>IF(PL[[#This Row],[STATUS IUP]]="CERRADO","CERRADO",IF(ISNUMBER(SEARCH("validacion de enel",PL[[#This Row],[SUPPLIER NOTES]])),"PTE Validar Enel","ABIERTO"))</f>
        <v>CERRADO</v>
      </c>
      <c r="P561" s="154" t="str">
        <f>IF(PL[[#This Row],[ESTADO]]="CERRADO","Cerrados IUP",IF(PL[[#This Row],[ESTADO]]="PTE Validar Enel","Pendiente cierre ENEL",IF(ISNUMBER(SEARCH("suministro",PL[[#This Row],[SUPPLIER NOTES]])),"Suministros",IF(PL[[#This Row],[SC]]="SOCIAL","Social",IF(ISNUMBER(SEARCH("monolito",PL[[#This Row],[DESCRIPTION]])),"Monolitos","Varios")))))</f>
        <v>Cerrados IUP</v>
      </c>
      <c r="Q5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2" spans="1:17" s="157" customFormat="1" hidden="1" x14ac:dyDescent="0.2">
      <c r="A562" s="151" t="s">
        <v>917</v>
      </c>
      <c r="B562" s="154" t="s">
        <v>8</v>
      </c>
      <c r="C562" s="154">
        <v>8</v>
      </c>
      <c r="D562" s="153" t="s">
        <v>3379</v>
      </c>
      <c r="E562" s="154"/>
      <c r="F562" s="154" t="s">
        <v>918</v>
      </c>
      <c r="G562" s="154" t="s">
        <v>1290</v>
      </c>
      <c r="H562" s="154"/>
      <c r="I562" s="154"/>
      <c r="J562" s="154" t="s">
        <v>74</v>
      </c>
      <c r="K562" s="154" t="s">
        <v>3394</v>
      </c>
      <c r="L562" s="154"/>
      <c r="M562" s="156"/>
      <c r="N562" s="154" t="str">
        <f>IF(ISNUMBER(PL[[#This Row],[CTO]]),"CTO "&amp;PL[[#This Row],[CTO]],"Otros")</f>
        <v>CTO 8</v>
      </c>
      <c r="O562" s="154" t="str">
        <f>IF(PL[[#This Row],[STATUS IUP]]="CERRADO","CERRADO",IF(ISNUMBER(SEARCH("validacion de enel",PL[[#This Row],[SUPPLIER NOTES]])),"PTE Validar Enel","ABIERTO"))</f>
        <v>CERRADO</v>
      </c>
      <c r="P562" s="154" t="str">
        <f>IF(PL[[#This Row],[ESTADO]]="CERRADO","Cerrados IUP",IF(PL[[#This Row],[ESTADO]]="PTE Validar Enel","Pendiente cierre ENEL",IF(ISNUMBER(SEARCH("suministro",PL[[#This Row],[SUPPLIER NOTES]])),"Suministros",IF(PL[[#This Row],[SC]]="SOCIAL","Social",IF(ISNUMBER(SEARCH("monolito",PL[[#This Row],[DESCRIPTION]])),"Monolitos","Varios")))))</f>
        <v>Cerrados IUP</v>
      </c>
      <c r="Q5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3" spans="1:17" s="157" customFormat="1" hidden="1" x14ac:dyDescent="0.2">
      <c r="A563" s="151" t="s">
        <v>919</v>
      </c>
      <c r="B563" s="154" t="s">
        <v>8</v>
      </c>
      <c r="C563" s="154">
        <v>8</v>
      </c>
      <c r="D563" s="153" t="s">
        <v>3379</v>
      </c>
      <c r="E563" s="154"/>
      <c r="F563" s="154" t="s">
        <v>920</v>
      </c>
      <c r="G563" s="154" t="s">
        <v>1290</v>
      </c>
      <c r="H563" s="154"/>
      <c r="I563" s="154"/>
      <c r="J563" s="154" t="s">
        <v>74</v>
      </c>
      <c r="K563" s="154" t="s">
        <v>3394</v>
      </c>
      <c r="L563" s="154"/>
      <c r="M563" s="156"/>
      <c r="N563" s="154" t="str">
        <f>IF(ISNUMBER(PL[[#This Row],[CTO]]),"CTO "&amp;PL[[#This Row],[CTO]],"Otros")</f>
        <v>CTO 8</v>
      </c>
      <c r="O563" s="154" t="str">
        <f>IF(PL[[#This Row],[STATUS IUP]]="CERRADO","CERRADO",IF(ISNUMBER(SEARCH("validacion de enel",PL[[#This Row],[SUPPLIER NOTES]])),"PTE Validar Enel","ABIERTO"))</f>
        <v>CERRADO</v>
      </c>
      <c r="P563" s="154" t="str">
        <f>IF(PL[[#This Row],[ESTADO]]="CERRADO","Cerrados IUP",IF(PL[[#This Row],[ESTADO]]="PTE Validar Enel","Pendiente cierre ENEL",IF(ISNUMBER(SEARCH("suministro",PL[[#This Row],[SUPPLIER NOTES]])),"Suministros",IF(PL[[#This Row],[SC]]="SOCIAL","Social",IF(ISNUMBER(SEARCH("monolito",PL[[#This Row],[DESCRIPTION]])),"Monolitos","Varios")))))</f>
        <v>Cerrados IUP</v>
      </c>
      <c r="Q5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4" spans="1:17" s="157" customFormat="1" hidden="1" x14ac:dyDescent="0.2">
      <c r="A564" s="151" t="s">
        <v>921</v>
      </c>
      <c r="B564" s="154" t="s">
        <v>8</v>
      </c>
      <c r="C564" s="154">
        <v>8</v>
      </c>
      <c r="D564" s="153" t="s">
        <v>3379</v>
      </c>
      <c r="E564" s="154"/>
      <c r="F564" s="154" t="s">
        <v>922</v>
      </c>
      <c r="G564" s="154" t="s">
        <v>1290</v>
      </c>
      <c r="H564" s="154"/>
      <c r="I564" s="154"/>
      <c r="J564" s="154" t="s">
        <v>74</v>
      </c>
      <c r="K564" s="154" t="s">
        <v>3394</v>
      </c>
      <c r="L564" s="154"/>
      <c r="M564" s="156"/>
      <c r="N564" s="154" t="str">
        <f>IF(ISNUMBER(PL[[#This Row],[CTO]]),"CTO "&amp;PL[[#This Row],[CTO]],"Otros")</f>
        <v>CTO 8</v>
      </c>
      <c r="O564" s="154" t="str">
        <f>IF(PL[[#This Row],[STATUS IUP]]="CERRADO","CERRADO",IF(ISNUMBER(SEARCH("validacion de enel",PL[[#This Row],[SUPPLIER NOTES]])),"PTE Validar Enel","ABIERTO"))</f>
        <v>CERRADO</v>
      </c>
      <c r="P564" s="154" t="str">
        <f>IF(PL[[#This Row],[ESTADO]]="CERRADO","Cerrados IUP",IF(PL[[#This Row],[ESTADO]]="PTE Validar Enel","Pendiente cierre ENEL",IF(ISNUMBER(SEARCH("suministro",PL[[#This Row],[SUPPLIER NOTES]])),"Suministros",IF(PL[[#This Row],[SC]]="SOCIAL","Social",IF(ISNUMBER(SEARCH("monolito",PL[[#This Row],[DESCRIPTION]])),"Monolitos","Varios")))))</f>
        <v>Cerrados IUP</v>
      </c>
      <c r="Q5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5" spans="1:17" s="157" customFormat="1" hidden="1" x14ac:dyDescent="0.2">
      <c r="A565" s="151" t="s">
        <v>923</v>
      </c>
      <c r="B565" s="154" t="s">
        <v>8</v>
      </c>
      <c r="C565" s="154">
        <v>8</v>
      </c>
      <c r="D565" s="153" t="s">
        <v>3379</v>
      </c>
      <c r="E565" s="154"/>
      <c r="F565" s="154" t="s">
        <v>924</v>
      </c>
      <c r="G565" s="154" t="s">
        <v>1289</v>
      </c>
      <c r="H565" s="154"/>
      <c r="I565" s="154"/>
      <c r="J565" s="154" t="s">
        <v>74</v>
      </c>
      <c r="K565" s="154" t="s">
        <v>3394</v>
      </c>
      <c r="L565" s="154"/>
      <c r="M565" s="156"/>
      <c r="N565" s="154" t="str">
        <f>IF(ISNUMBER(PL[[#This Row],[CTO]]),"CTO "&amp;PL[[#This Row],[CTO]],"Otros")</f>
        <v>CTO 8</v>
      </c>
      <c r="O565" s="154" t="str">
        <f>IF(PL[[#This Row],[STATUS IUP]]="CERRADO","CERRADO",IF(ISNUMBER(SEARCH("validacion de enel",PL[[#This Row],[SUPPLIER NOTES]])),"PTE Validar Enel","ABIERTO"))</f>
        <v>CERRADO</v>
      </c>
      <c r="P565" s="154" t="str">
        <f>IF(PL[[#This Row],[ESTADO]]="CERRADO","Cerrados IUP",IF(PL[[#This Row],[ESTADO]]="PTE Validar Enel","Pendiente cierre ENEL",IF(ISNUMBER(SEARCH("suministro",PL[[#This Row],[SUPPLIER NOTES]])),"Suministros",IF(PL[[#This Row],[SC]]="SOCIAL","Social",IF(ISNUMBER(SEARCH("monolito",PL[[#This Row],[DESCRIPTION]])),"Monolitos","Varios")))))</f>
        <v>Cerrados IUP</v>
      </c>
      <c r="Q5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6" spans="1:17" s="157" customFormat="1" hidden="1" x14ac:dyDescent="0.2">
      <c r="A566" s="151" t="s">
        <v>925</v>
      </c>
      <c r="B566" s="154" t="s">
        <v>8</v>
      </c>
      <c r="C566" s="154">
        <v>8</v>
      </c>
      <c r="D566" s="153" t="s">
        <v>3379</v>
      </c>
      <c r="E566" s="154"/>
      <c r="F566" s="154" t="s">
        <v>926</v>
      </c>
      <c r="G566" s="154" t="s">
        <v>1289</v>
      </c>
      <c r="H566" s="154"/>
      <c r="I566" s="154"/>
      <c r="J566" s="154" t="s">
        <v>74</v>
      </c>
      <c r="K566" s="154" t="s">
        <v>3394</v>
      </c>
      <c r="L566" s="154"/>
      <c r="M566" s="156"/>
      <c r="N566" s="154" t="str">
        <f>IF(ISNUMBER(PL[[#This Row],[CTO]]),"CTO "&amp;PL[[#This Row],[CTO]],"Otros")</f>
        <v>CTO 8</v>
      </c>
      <c r="O566" s="154" t="str">
        <f>IF(PL[[#This Row],[STATUS IUP]]="CERRADO","CERRADO",IF(ISNUMBER(SEARCH("validacion de enel",PL[[#This Row],[SUPPLIER NOTES]])),"PTE Validar Enel","ABIERTO"))</f>
        <v>CERRADO</v>
      </c>
      <c r="P566" s="154" t="str">
        <f>IF(PL[[#This Row],[ESTADO]]="CERRADO","Cerrados IUP",IF(PL[[#This Row],[ESTADO]]="PTE Validar Enel","Pendiente cierre ENEL",IF(ISNUMBER(SEARCH("suministro",PL[[#This Row],[SUPPLIER NOTES]])),"Suministros",IF(PL[[#This Row],[SC]]="SOCIAL","Social",IF(ISNUMBER(SEARCH("monolito",PL[[#This Row],[DESCRIPTION]])),"Monolitos","Varios")))))</f>
        <v>Cerrados IUP</v>
      </c>
      <c r="Q5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7" spans="1:17" s="157" customFormat="1" hidden="1" x14ac:dyDescent="0.2">
      <c r="A567" s="151" t="s">
        <v>512</v>
      </c>
      <c r="B567" s="154" t="s">
        <v>8</v>
      </c>
      <c r="C567" s="154">
        <v>8</v>
      </c>
      <c r="D567" s="153" t="s">
        <v>3379</v>
      </c>
      <c r="E567" s="154"/>
      <c r="F567" s="154" t="s">
        <v>513</v>
      </c>
      <c r="G567" s="154" t="s">
        <v>1289</v>
      </c>
      <c r="H567" s="154"/>
      <c r="I567" s="154"/>
      <c r="J567" s="154" t="s">
        <v>74</v>
      </c>
      <c r="K567" s="154" t="s">
        <v>3394</v>
      </c>
      <c r="L567" s="154"/>
      <c r="M567" s="156"/>
      <c r="N567" s="154" t="str">
        <f>IF(ISNUMBER(PL[[#This Row],[CTO]]),"CTO "&amp;PL[[#This Row],[CTO]],"Otros")</f>
        <v>CTO 8</v>
      </c>
      <c r="O567" s="154" t="str">
        <f>IF(PL[[#This Row],[STATUS IUP]]="CERRADO","CERRADO",IF(ISNUMBER(SEARCH("validacion de enel",PL[[#This Row],[SUPPLIER NOTES]])),"PTE Validar Enel","ABIERTO"))</f>
        <v>CERRADO</v>
      </c>
      <c r="P567" s="154" t="str">
        <f>IF(PL[[#This Row],[ESTADO]]="CERRADO","Cerrados IUP",IF(PL[[#This Row],[ESTADO]]="PTE Validar Enel","Pendiente cierre ENEL",IF(ISNUMBER(SEARCH("suministro",PL[[#This Row],[SUPPLIER NOTES]])),"Suministros",IF(PL[[#This Row],[SC]]="SOCIAL","Social",IF(ISNUMBER(SEARCH("monolito",PL[[#This Row],[DESCRIPTION]])),"Monolitos","Varios")))))</f>
        <v>Cerrados IUP</v>
      </c>
      <c r="Q5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8" spans="1:17" s="157" customFormat="1" hidden="1" x14ac:dyDescent="0.2">
      <c r="A568" s="151" t="s">
        <v>514</v>
      </c>
      <c r="B568" s="154" t="s">
        <v>8</v>
      </c>
      <c r="C568" s="154">
        <v>8</v>
      </c>
      <c r="D568" s="153" t="s">
        <v>3379</v>
      </c>
      <c r="E568" s="154"/>
      <c r="F568" s="154" t="s">
        <v>515</v>
      </c>
      <c r="G568" s="154" t="s">
        <v>1289</v>
      </c>
      <c r="H568" s="154"/>
      <c r="I568" s="154"/>
      <c r="J568" s="154" t="s">
        <v>74</v>
      </c>
      <c r="K568" s="154" t="s">
        <v>3394</v>
      </c>
      <c r="L568" s="154"/>
      <c r="M568" s="156"/>
      <c r="N568" s="154" t="str">
        <f>IF(ISNUMBER(PL[[#This Row],[CTO]]),"CTO "&amp;PL[[#This Row],[CTO]],"Otros")</f>
        <v>CTO 8</v>
      </c>
      <c r="O568" s="154" t="str">
        <f>IF(PL[[#This Row],[STATUS IUP]]="CERRADO","CERRADO",IF(ISNUMBER(SEARCH("validacion de enel",PL[[#This Row],[SUPPLIER NOTES]])),"PTE Validar Enel","ABIERTO"))</f>
        <v>CERRADO</v>
      </c>
      <c r="P568" s="154" t="str">
        <f>IF(PL[[#This Row],[ESTADO]]="CERRADO","Cerrados IUP",IF(PL[[#This Row],[ESTADO]]="PTE Validar Enel","Pendiente cierre ENEL",IF(ISNUMBER(SEARCH("suministro",PL[[#This Row],[SUPPLIER NOTES]])),"Suministros",IF(PL[[#This Row],[SC]]="SOCIAL","Social",IF(ISNUMBER(SEARCH("monolito",PL[[#This Row],[DESCRIPTION]])),"Monolitos","Varios")))))</f>
        <v>Cerrados IUP</v>
      </c>
      <c r="Q5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69" spans="1:17" s="157" customFormat="1" hidden="1" x14ac:dyDescent="0.2">
      <c r="A569" s="151" t="s">
        <v>516</v>
      </c>
      <c r="B569" s="154" t="s">
        <v>8</v>
      </c>
      <c r="C569" s="154">
        <v>8</v>
      </c>
      <c r="D569" s="153" t="s">
        <v>3379</v>
      </c>
      <c r="E569" s="154"/>
      <c r="F569" s="154" t="s">
        <v>517</v>
      </c>
      <c r="G569" s="154" t="s">
        <v>1290</v>
      </c>
      <c r="H569" s="154"/>
      <c r="I569" s="154"/>
      <c r="J569" s="154" t="s">
        <v>74</v>
      </c>
      <c r="K569" s="154" t="s">
        <v>3394</v>
      </c>
      <c r="L569" s="154"/>
      <c r="M569" s="156"/>
      <c r="N569" s="154" t="str">
        <f>IF(ISNUMBER(PL[[#This Row],[CTO]]),"CTO "&amp;PL[[#This Row],[CTO]],"Otros")</f>
        <v>CTO 8</v>
      </c>
      <c r="O569" s="154" t="str">
        <f>IF(PL[[#This Row],[STATUS IUP]]="CERRADO","CERRADO",IF(ISNUMBER(SEARCH("validacion de enel",PL[[#This Row],[SUPPLIER NOTES]])),"PTE Validar Enel","ABIERTO"))</f>
        <v>CERRADO</v>
      </c>
      <c r="P569" s="154" t="str">
        <f>IF(PL[[#This Row],[ESTADO]]="CERRADO","Cerrados IUP",IF(PL[[#This Row],[ESTADO]]="PTE Validar Enel","Pendiente cierre ENEL",IF(ISNUMBER(SEARCH("suministro",PL[[#This Row],[SUPPLIER NOTES]])),"Suministros",IF(PL[[#This Row],[SC]]="SOCIAL","Social",IF(ISNUMBER(SEARCH("monolito",PL[[#This Row],[DESCRIPTION]])),"Monolitos","Varios")))))</f>
        <v>Cerrados IUP</v>
      </c>
      <c r="Q5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0" spans="1:17" s="157" customFormat="1" hidden="1" x14ac:dyDescent="0.2">
      <c r="A570" s="151" t="s">
        <v>518</v>
      </c>
      <c r="B570" s="154" t="s">
        <v>8</v>
      </c>
      <c r="C570" s="154">
        <v>8</v>
      </c>
      <c r="D570" s="153" t="s">
        <v>3379</v>
      </c>
      <c r="E570" s="154"/>
      <c r="F570" s="154" t="s">
        <v>519</v>
      </c>
      <c r="G570" s="154" t="s">
        <v>1290</v>
      </c>
      <c r="H570" s="154"/>
      <c r="I570" s="154"/>
      <c r="J570" s="154" t="s">
        <v>74</v>
      </c>
      <c r="K570" s="154" t="s">
        <v>3394</v>
      </c>
      <c r="L570" s="154"/>
      <c r="M570" s="156"/>
      <c r="N570" s="154" t="str">
        <f>IF(ISNUMBER(PL[[#This Row],[CTO]]),"CTO "&amp;PL[[#This Row],[CTO]],"Otros")</f>
        <v>CTO 8</v>
      </c>
      <c r="O570" s="154" t="str">
        <f>IF(PL[[#This Row],[STATUS IUP]]="CERRADO","CERRADO",IF(ISNUMBER(SEARCH("validacion de enel",PL[[#This Row],[SUPPLIER NOTES]])),"PTE Validar Enel","ABIERTO"))</f>
        <v>CERRADO</v>
      </c>
      <c r="P570" s="154" t="str">
        <f>IF(PL[[#This Row],[ESTADO]]="CERRADO","Cerrados IUP",IF(PL[[#This Row],[ESTADO]]="PTE Validar Enel","Pendiente cierre ENEL",IF(ISNUMBER(SEARCH("suministro",PL[[#This Row],[SUPPLIER NOTES]])),"Suministros",IF(PL[[#This Row],[SC]]="SOCIAL","Social",IF(ISNUMBER(SEARCH("monolito",PL[[#This Row],[DESCRIPTION]])),"Monolitos","Varios")))))</f>
        <v>Cerrados IUP</v>
      </c>
      <c r="Q5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1" spans="1:17" s="157" customFormat="1" hidden="1" x14ac:dyDescent="0.2">
      <c r="A571" s="151" t="s">
        <v>524</v>
      </c>
      <c r="B571" s="154" t="s">
        <v>8</v>
      </c>
      <c r="C571" s="154">
        <v>8</v>
      </c>
      <c r="D571" s="153" t="s">
        <v>3379</v>
      </c>
      <c r="E571" s="154"/>
      <c r="F571" s="154" t="s">
        <v>525</v>
      </c>
      <c r="G571" s="154" t="s">
        <v>1289</v>
      </c>
      <c r="H571" s="154"/>
      <c r="I571" s="154"/>
      <c r="J571" s="154" t="s">
        <v>74</v>
      </c>
      <c r="K571" s="154" t="s">
        <v>3394</v>
      </c>
      <c r="L571" s="154"/>
      <c r="M571" s="156"/>
      <c r="N571" s="154" t="str">
        <f>IF(ISNUMBER(PL[[#This Row],[CTO]]),"CTO "&amp;PL[[#This Row],[CTO]],"Otros")</f>
        <v>CTO 8</v>
      </c>
      <c r="O571" s="154" t="str">
        <f>IF(PL[[#This Row],[STATUS IUP]]="CERRADO","CERRADO",IF(ISNUMBER(SEARCH("validacion de enel",PL[[#This Row],[SUPPLIER NOTES]])),"PTE Validar Enel","ABIERTO"))</f>
        <v>CERRADO</v>
      </c>
      <c r="P571" s="154" t="str">
        <f>IF(PL[[#This Row],[ESTADO]]="CERRADO","Cerrados IUP",IF(PL[[#This Row],[ESTADO]]="PTE Validar Enel","Pendiente cierre ENEL",IF(ISNUMBER(SEARCH("suministro",PL[[#This Row],[SUPPLIER NOTES]])),"Suministros",IF(PL[[#This Row],[SC]]="SOCIAL","Social",IF(ISNUMBER(SEARCH("monolito",PL[[#This Row],[DESCRIPTION]])),"Monolitos","Varios")))))</f>
        <v>Cerrados IUP</v>
      </c>
      <c r="Q5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2" spans="1:17" s="157" customFormat="1" hidden="1" x14ac:dyDescent="0.2">
      <c r="A572" s="151" t="s">
        <v>526</v>
      </c>
      <c r="B572" s="154" t="s">
        <v>8</v>
      </c>
      <c r="C572" s="154">
        <v>8</v>
      </c>
      <c r="D572" s="153" t="s">
        <v>3379</v>
      </c>
      <c r="E572" s="154"/>
      <c r="F572" s="154" t="s">
        <v>527</v>
      </c>
      <c r="G572" s="154" t="s">
        <v>1289</v>
      </c>
      <c r="H572" s="154"/>
      <c r="I572" s="154"/>
      <c r="J572" s="154" t="s">
        <v>74</v>
      </c>
      <c r="K572" s="154" t="s">
        <v>3394</v>
      </c>
      <c r="L572" s="154"/>
      <c r="M572" s="156"/>
      <c r="N572" s="154" t="str">
        <f>IF(ISNUMBER(PL[[#This Row],[CTO]]),"CTO "&amp;PL[[#This Row],[CTO]],"Otros")</f>
        <v>CTO 8</v>
      </c>
      <c r="O572" s="154" t="str">
        <f>IF(PL[[#This Row],[STATUS IUP]]="CERRADO","CERRADO",IF(ISNUMBER(SEARCH("validacion de enel",PL[[#This Row],[SUPPLIER NOTES]])),"PTE Validar Enel","ABIERTO"))</f>
        <v>CERRADO</v>
      </c>
      <c r="P572" s="154" t="str">
        <f>IF(PL[[#This Row],[ESTADO]]="CERRADO","Cerrados IUP",IF(PL[[#This Row],[ESTADO]]="PTE Validar Enel","Pendiente cierre ENEL",IF(ISNUMBER(SEARCH("suministro",PL[[#This Row],[SUPPLIER NOTES]])),"Suministros",IF(PL[[#This Row],[SC]]="SOCIAL","Social",IF(ISNUMBER(SEARCH("monolito",PL[[#This Row],[DESCRIPTION]])),"Monolitos","Varios")))))</f>
        <v>Cerrados IUP</v>
      </c>
      <c r="Q5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3" spans="1:17" s="157" customFormat="1" hidden="1" x14ac:dyDescent="0.2">
      <c r="A573" s="151" t="s">
        <v>528</v>
      </c>
      <c r="B573" s="154" t="s">
        <v>8</v>
      </c>
      <c r="C573" s="154">
        <v>8</v>
      </c>
      <c r="D573" s="153" t="s">
        <v>3379</v>
      </c>
      <c r="E573" s="154"/>
      <c r="F573" s="154" t="s">
        <v>529</v>
      </c>
      <c r="G573" s="154" t="s">
        <v>1289</v>
      </c>
      <c r="H573" s="154"/>
      <c r="I573" s="154"/>
      <c r="J573" s="154" t="s">
        <v>74</v>
      </c>
      <c r="K573" s="154" t="s">
        <v>3394</v>
      </c>
      <c r="L573" s="154"/>
      <c r="M573" s="156"/>
      <c r="N573" s="154" t="str">
        <f>IF(ISNUMBER(PL[[#This Row],[CTO]]),"CTO "&amp;PL[[#This Row],[CTO]],"Otros")</f>
        <v>CTO 8</v>
      </c>
      <c r="O573" s="154" t="str">
        <f>IF(PL[[#This Row],[STATUS IUP]]="CERRADO","CERRADO",IF(ISNUMBER(SEARCH("validacion de enel",PL[[#This Row],[SUPPLIER NOTES]])),"PTE Validar Enel","ABIERTO"))</f>
        <v>CERRADO</v>
      </c>
      <c r="P573" s="154" t="str">
        <f>IF(PL[[#This Row],[ESTADO]]="CERRADO","Cerrados IUP",IF(PL[[#This Row],[ESTADO]]="PTE Validar Enel","Pendiente cierre ENEL",IF(ISNUMBER(SEARCH("suministro",PL[[#This Row],[SUPPLIER NOTES]])),"Suministros",IF(PL[[#This Row],[SC]]="SOCIAL","Social",IF(ISNUMBER(SEARCH("monolito",PL[[#This Row],[DESCRIPTION]])),"Monolitos","Varios")))))</f>
        <v>Cerrados IUP</v>
      </c>
      <c r="Q5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4" spans="1:17" s="157" customFormat="1" ht="32" hidden="1" x14ac:dyDescent="0.2">
      <c r="A574" s="151" t="s">
        <v>530</v>
      </c>
      <c r="B574" s="152" t="s">
        <v>8</v>
      </c>
      <c r="C574" s="154">
        <v>8</v>
      </c>
      <c r="D574" s="153" t="s">
        <v>3379</v>
      </c>
      <c r="E574" s="154"/>
      <c r="F574" s="152" t="s">
        <v>531</v>
      </c>
      <c r="G574" s="154" t="s">
        <v>1290</v>
      </c>
      <c r="H574" s="154"/>
      <c r="I574" s="154"/>
      <c r="J574" s="154" t="s">
        <v>74</v>
      </c>
      <c r="K574" s="154" t="s">
        <v>3394</v>
      </c>
      <c r="L574" s="155">
        <v>46293</v>
      </c>
      <c r="M574" s="156"/>
      <c r="N574" s="154" t="str">
        <f>IF(ISNUMBER(PL[[#This Row],[CTO]]),"CTO "&amp;PL[[#This Row],[CTO]],"Otros")</f>
        <v>CTO 8</v>
      </c>
      <c r="O574" s="154" t="str">
        <f>IF(PL[[#This Row],[STATUS IUP]]="CERRADO","CERRADO",IF(ISNUMBER(SEARCH("validacion de enel",PL[[#This Row],[SUPPLIER NOTES]])),"PTE Validar Enel","ABIERTO"))</f>
        <v>CERRADO</v>
      </c>
      <c r="P574" s="154" t="str">
        <f>IF(PL[[#This Row],[ESTADO]]="CERRADO","Cerrados IUP",IF(PL[[#This Row],[ESTADO]]="PTE Validar Enel","Pendiente cierre ENEL",IF(ISNUMBER(SEARCH("suministro",PL[[#This Row],[SUPPLIER NOTES]])),"Suministros",IF(PL[[#This Row],[SC]]="SOCIAL","Social",IF(ISNUMBER(SEARCH("monolito",PL[[#This Row],[DESCRIPTION]])),"Monolitos","Varios")))))</f>
        <v>Cerrados IUP</v>
      </c>
      <c r="Q5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5" spans="1:17" s="157" customFormat="1" hidden="1" x14ac:dyDescent="0.2">
      <c r="A575" s="151" t="s">
        <v>532</v>
      </c>
      <c r="B575" s="154" t="s">
        <v>8</v>
      </c>
      <c r="C575" s="154">
        <v>8</v>
      </c>
      <c r="D575" s="153" t="s">
        <v>3379</v>
      </c>
      <c r="E575" s="154"/>
      <c r="F575" s="154" t="s">
        <v>533</v>
      </c>
      <c r="G575" s="154" t="s">
        <v>1290</v>
      </c>
      <c r="H575" s="154" t="s">
        <v>163</v>
      </c>
      <c r="I575" s="154" t="s">
        <v>163</v>
      </c>
      <c r="J575" s="154" t="s">
        <v>74</v>
      </c>
      <c r="K575" s="154" t="s">
        <v>3394</v>
      </c>
      <c r="L575" s="161">
        <v>46231</v>
      </c>
      <c r="M575" s="160">
        <v>46231</v>
      </c>
      <c r="N575" s="154" t="str">
        <f>IF(ISNUMBER(PL[[#This Row],[CTO]]),"CTO "&amp;PL[[#This Row],[CTO]],"Otros")</f>
        <v>CTO 8</v>
      </c>
      <c r="O575" s="154" t="str">
        <f>IF(PL[[#This Row],[STATUS IUP]]="CERRADO","CERRADO",IF(ISNUMBER(SEARCH("validacion de enel",PL[[#This Row],[SUPPLIER NOTES]])),"PTE Validar Enel","ABIERTO"))</f>
        <v>CERRADO</v>
      </c>
      <c r="P575" s="154" t="str">
        <f>IF(PL[[#This Row],[ESTADO]]="CERRADO","Cerrados IUP",IF(PL[[#This Row],[ESTADO]]="PTE Validar Enel","Pendiente cierre ENEL",IF(ISNUMBER(SEARCH("suministro",PL[[#This Row],[SUPPLIER NOTES]])),"Suministros",IF(PL[[#This Row],[SC]]="SOCIAL","Social",IF(ISNUMBER(SEARCH("monolito",PL[[#This Row],[DESCRIPTION]])),"Monolitos","Varios")))))</f>
        <v>Cerrados IUP</v>
      </c>
      <c r="Q5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6" spans="1:17" s="157" customFormat="1" hidden="1" x14ac:dyDescent="0.2">
      <c r="A576" s="151" t="s">
        <v>558</v>
      </c>
      <c r="B576" s="154" t="s">
        <v>8</v>
      </c>
      <c r="C576" s="154">
        <v>8</v>
      </c>
      <c r="D576" s="153" t="s">
        <v>3379</v>
      </c>
      <c r="E576" s="154"/>
      <c r="F576" s="154" t="s">
        <v>559</v>
      </c>
      <c r="G576" s="154" t="s">
        <v>1289</v>
      </c>
      <c r="H576" s="154"/>
      <c r="I576" s="154"/>
      <c r="J576" s="154" t="s">
        <v>74</v>
      </c>
      <c r="K576" s="154" t="s">
        <v>3394</v>
      </c>
      <c r="L576" s="154"/>
      <c r="M576" s="156"/>
      <c r="N576" s="154" t="str">
        <f>IF(ISNUMBER(PL[[#This Row],[CTO]]),"CTO "&amp;PL[[#This Row],[CTO]],"Otros")</f>
        <v>CTO 8</v>
      </c>
      <c r="O576" s="154" t="str">
        <f>IF(PL[[#This Row],[STATUS IUP]]="CERRADO","CERRADO",IF(ISNUMBER(SEARCH("validacion de enel",PL[[#This Row],[SUPPLIER NOTES]])),"PTE Validar Enel","ABIERTO"))</f>
        <v>CERRADO</v>
      </c>
      <c r="P576" s="154" t="str">
        <f>IF(PL[[#This Row],[ESTADO]]="CERRADO","Cerrados IUP",IF(PL[[#This Row],[ESTADO]]="PTE Validar Enel","Pendiente cierre ENEL",IF(ISNUMBER(SEARCH("suministro",PL[[#This Row],[SUPPLIER NOTES]])),"Suministros",IF(PL[[#This Row],[SC]]="SOCIAL","Social",IF(ISNUMBER(SEARCH("monolito",PL[[#This Row],[DESCRIPTION]])),"Monolitos","Varios")))))</f>
        <v>Cerrados IUP</v>
      </c>
      <c r="Q5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7" spans="1:17" s="157" customFormat="1" hidden="1" x14ac:dyDescent="0.2">
      <c r="A577" s="151" t="s">
        <v>560</v>
      </c>
      <c r="B577" s="154" t="s">
        <v>8</v>
      </c>
      <c r="C577" s="154">
        <v>8</v>
      </c>
      <c r="D577" s="153" t="s">
        <v>3379</v>
      </c>
      <c r="E577" s="154"/>
      <c r="F577" s="154" t="s">
        <v>561</v>
      </c>
      <c r="G577" s="154" t="s">
        <v>43</v>
      </c>
      <c r="H577" s="154"/>
      <c r="I577" s="154"/>
      <c r="J577" s="154" t="s">
        <v>74</v>
      </c>
      <c r="K577" s="154" t="s">
        <v>3394</v>
      </c>
      <c r="L577" s="154"/>
      <c r="M577" s="156"/>
      <c r="N577" s="154" t="str">
        <f>IF(ISNUMBER(PL[[#This Row],[CTO]]),"CTO "&amp;PL[[#This Row],[CTO]],"Otros")</f>
        <v>CTO 8</v>
      </c>
      <c r="O577" s="154" t="str">
        <f>IF(PL[[#This Row],[STATUS IUP]]="CERRADO","CERRADO",IF(ISNUMBER(SEARCH("validacion de enel",PL[[#This Row],[SUPPLIER NOTES]])),"PTE Validar Enel","ABIERTO"))</f>
        <v>CERRADO</v>
      </c>
      <c r="P577" s="154" t="str">
        <f>IF(PL[[#This Row],[ESTADO]]="CERRADO","Cerrados IUP",IF(PL[[#This Row],[ESTADO]]="PTE Validar Enel","Pendiente cierre ENEL",IF(ISNUMBER(SEARCH("suministro",PL[[#This Row],[SUPPLIER NOTES]])),"Suministros",IF(PL[[#This Row],[SC]]="SOCIAL","Social",IF(ISNUMBER(SEARCH("monolito",PL[[#This Row],[DESCRIPTION]])),"Monolitos","Varios")))))</f>
        <v>Cerrados IUP</v>
      </c>
      <c r="Q5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8" spans="1:17" s="157" customFormat="1" hidden="1" x14ac:dyDescent="0.2">
      <c r="A578" s="151" t="s">
        <v>562</v>
      </c>
      <c r="B578" s="154" t="s">
        <v>8</v>
      </c>
      <c r="C578" s="154">
        <v>8</v>
      </c>
      <c r="D578" s="153" t="s">
        <v>3379</v>
      </c>
      <c r="E578" s="154"/>
      <c r="F578" s="154" t="s">
        <v>563</v>
      </c>
      <c r="G578" s="154" t="s">
        <v>43</v>
      </c>
      <c r="H578" s="154"/>
      <c r="I578" s="154"/>
      <c r="J578" s="154" t="s">
        <v>74</v>
      </c>
      <c r="K578" s="154" t="s">
        <v>3394</v>
      </c>
      <c r="L578" s="154"/>
      <c r="M578" s="156"/>
      <c r="N578" s="154" t="str">
        <f>IF(ISNUMBER(PL[[#This Row],[CTO]]),"CTO "&amp;PL[[#This Row],[CTO]],"Otros")</f>
        <v>CTO 8</v>
      </c>
      <c r="O578" s="154" t="str">
        <f>IF(PL[[#This Row],[STATUS IUP]]="CERRADO","CERRADO",IF(ISNUMBER(SEARCH("validacion de enel",PL[[#This Row],[SUPPLIER NOTES]])),"PTE Validar Enel","ABIERTO"))</f>
        <v>CERRADO</v>
      </c>
      <c r="P578" s="154" t="str">
        <f>IF(PL[[#This Row],[ESTADO]]="CERRADO","Cerrados IUP",IF(PL[[#This Row],[ESTADO]]="PTE Validar Enel","Pendiente cierre ENEL",IF(ISNUMBER(SEARCH("suministro",PL[[#This Row],[SUPPLIER NOTES]])),"Suministros",IF(PL[[#This Row],[SC]]="SOCIAL","Social",IF(ISNUMBER(SEARCH("monolito",PL[[#This Row],[DESCRIPTION]])),"Monolitos","Varios")))))</f>
        <v>Cerrados IUP</v>
      </c>
      <c r="Q5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79" spans="1:17" s="157" customFormat="1" hidden="1" x14ac:dyDescent="0.2">
      <c r="A579" s="151" t="s">
        <v>564</v>
      </c>
      <c r="B579" s="154" t="s">
        <v>8</v>
      </c>
      <c r="C579" s="154">
        <v>8</v>
      </c>
      <c r="D579" s="153" t="s">
        <v>3379</v>
      </c>
      <c r="E579" s="154"/>
      <c r="F579" s="154" t="s">
        <v>565</v>
      </c>
      <c r="G579" s="154" t="s">
        <v>43</v>
      </c>
      <c r="H579" s="154"/>
      <c r="I579" s="154"/>
      <c r="J579" s="154" t="s">
        <v>74</v>
      </c>
      <c r="K579" s="154" t="s">
        <v>3394</v>
      </c>
      <c r="L579" s="154"/>
      <c r="M579" s="156"/>
      <c r="N579" s="154" t="str">
        <f>IF(ISNUMBER(PL[[#This Row],[CTO]]),"CTO "&amp;PL[[#This Row],[CTO]],"Otros")</f>
        <v>CTO 8</v>
      </c>
      <c r="O579" s="154" t="str">
        <f>IF(PL[[#This Row],[STATUS IUP]]="CERRADO","CERRADO",IF(ISNUMBER(SEARCH("validacion de enel",PL[[#This Row],[SUPPLIER NOTES]])),"PTE Validar Enel","ABIERTO"))</f>
        <v>CERRADO</v>
      </c>
      <c r="P579" s="154" t="str">
        <f>IF(PL[[#This Row],[ESTADO]]="CERRADO","Cerrados IUP",IF(PL[[#This Row],[ESTADO]]="PTE Validar Enel","Pendiente cierre ENEL",IF(ISNUMBER(SEARCH("suministro",PL[[#This Row],[SUPPLIER NOTES]])),"Suministros",IF(PL[[#This Row],[SC]]="SOCIAL","Social",IF(ISNUMBER(SEARCH("monolito",PL[[#This Row],[DESCRIPTION]])),"Monolitos","Varios")))))</f>
        <v>Cerrados IUP</v>
      </c>
      <c r="Q5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0" spans="1:17" s="157" customFormat="1" hidden="1" x14ac:dyDescent="0.2">
      <c r="A580" s="151" t="s">
        <v>566</v>
      </c>
      <c r="B580" s="154" t="s">
        <v>8</v>
      </c>
      <c r="C580" s="154">
        <v>8</v>
      </c>
      <c r="D580" s="153" t="s">
        <v>3379</v>
      </c>
      <c r="E580" s="154"/>
      <c r="F580" s="154" t="s">
        <v>567</v>
      </c>
      <c r="G580" s="154" t="s">
        <v>1290</v>
      </c>
      <c r="H580" s="154"/>
      <c r="I580" s="154"/>
      <c r="J580" s="154" t="s">
        <v>74</v>
      </c>
      <c r="K580" s="154" t="s">
        <v>3394</v>
      </c>
      <c r="L580" s="154"/>
      <c r="M580" s="156"/>
      <c r="N580" s="154" t="str">
        <f>IF(ISNUMBER(PL[[#This Row],[CTO]]),"CTO "&amp;PL[[#This Row],[CTO]],"Otros")</f>
        <v>CTO 8</v>
      </c>
      <c r="O580" s="154" t="str">
        <f>IF(PL[[#This Row],[STATUS IUP]]="CERRADO","CERRADO",IF(ISNUMBER(SEARCH("validacion de enel",PL[[#This Row],[SUPPLIER NOTES]])),"PTE Validar Enel","ABIERTO"))</f>
        <v>CERRADO</v>
      </c>
      <c r="P580" s="154" t="str">
        <f>IF(PL[[#This Row],[ESTADO]]="CERRADO","Cerrados IUP",IF(PL[[#This Row],[ESTADO]]="PTE Validar Enel","Pendiente cierre ENEL",IF(ISNUMBER(SEARCH("suministro",PL[[#This Row],[SUPPLIER NOTES]])),"Suministros",IF(PL[[#This Row],[SC]]="SOCIAL","Social",IF(ISNUMBER(SEARCH("monolito",PL[[#This Row],[DESCRIPTION]])),"Monolitos","Varios")))))</f>
        <v>Cerrados IUP</v>
      </c>
      <c r="Q5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1" spans="1:17" s="157" customFormat="1" hidden="1" x14ac:dyDescent="0.2">
      <c r="A581" s="151" t="s">
        <v>568</v>
      </c>
      <c r="B581" s="154" t="s">
        <v>8</v>
      </c>
      <c r="C581" s="154">
        <v>8</v>
      </c>
      <c r="D581" s="153" t="s">
        <v>3379</v>
      </c>
      <c r="E581" s="154"/>
      <c r="F581" s="154" t="s">
        <v>569</v>
      </c>
      <c r="G581" s="154" t="s">
        <v>43</v>
      </c>
      <c r="H581" s="154" t="s">
        <v>163</v>
      </c>
      <c r="I581" s="154" t="s">
        <v>163</v>
      </c>
      <c r="J581" s="154" t="s">
        <v>74</v>
      </c>
      <c r="K581" s="154" t="s">
        <v>3394</v>
      </c>
      <c r="L581" s="161">
        <v>46226</v>
      </c>
      <c r="M581" s="160">
        <v>46226</v>
      </c>
      <c r="N581" s="154" t="str">
        <f>IF(ISNUMBER(PL[[#This Row],[CTO]]),"CTO "&amp;PL[[#This Row],[CTO]],"Otros")</f>
        <v>CTO 8</v>
      </c>
      <c r="O581" s="154" t="str">
        <f>IF(PL[[#This Row],[STATUS IUP]]="CERRADO","CERRADO",IF(ISNUMBER(SEARCH("validacion de enel",PL[[#This Row],[SUPPLIER NOTES]])),"PTE Validar Enel","ABIERTO"))</f>
        <v>CERRADO</v>
      </c>
      <c r="P581" s="154" t="str">
        <f>IF(PL[[#This Row],[ESTADO]]="CERRADO","Cerrados IUP",IF(PL[[#This Row],[ESTADO]]="PTE Validar Enel","Pendiente cierre ENEL",IF(ISNUMBER(SEARCH("suministro",PL[[#This Row],[SUPPLIER NOTES]])),"Suministros",IF(PL[[#This Row],[SC]]="SOCIAL","Social",IF(ISNUMBER(SEARCH("monolito",PL[[#This Row],[DESCRIPTION]])),"Monolitos","Varios")))))</f>
        <v>Cerrados IUP</v>
      </c>
      <c r="Q5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2" spans="1:17" s="157" customFormat="1" hidden="1" x14ac:dyDescent="0.2">
      <c r="A582" s="151" t="s">
        <v>570</v>
      </c>
      <c r="B582" s="154" t="s">
        <v>8</v>
      </c>
      <c r="C582" s="154">
        <v>8</v>
      </c>
      <c r="D582" s="153" t="s">
        <v>3379</v>
      </c>
      <c r="E582" s="154"/>
      <c r="F582" s="154" t="s">
        <v>571</v>
      </c>
      <c r="G582" s="154" t="s">
        <v>43</v>
      </c>
      <c r="H582" s="154" t="s">
        <v>163</v>
      </c>
      <c r="I582" s="154" t="s">
        <v>163</v>
      </c>
      <c r="J582" s="154" t="s">
        <v>74</v>
      </c>
      <c r="K582" s="154" t="s">
        <v>3394</v>
      </c>
      <c r="L582" s="161">
        <v>46226</v>
      </c>
      <c r="M582" s="160">
        <v>46226</v>
      </c>
      <c r="N582" s="154" t="str">
        <f>IF(ISNUMBER(PL[[#This Row],[CTO]]),"CTO "&amp;PL[[#This Row],[CTO]],"Otros")</f>
        <v>CTO 8</v>
      </c>
      <c r="O582" s="154" t="str">
        <f>IF(PL[[#This Row],[STATUS IUP]]="CERRADO","CERRADO",IF(ISNUMBER(SEARCH("validacion de enel",PL[[#This Row],[SUPPLIER NOTES]])),"PTE Validar Enel","ABIERTO"))</f>
        <v>CERRADO</v>
      </c>
      <c r="P582" s="154" t="str">
        <f>IF(PL[[#This Row],[ESTADO]]="CERRADO","Cerrados IUP",IF(PL[[#This Row],[ESTADO]]="PTE Validar Enel","Pendiente cierre ENEL",IF(ISNUMBER(SEARCH("suministro",PL[[#This Row],[SUPPLIER NOTES]])),"Suministros",IF(PL[[#This Row],[SC]]="SOCIAL","Social",IF(ISNUMBER(SEARCH("monolito",PL[[#This Row],[DESCRIPTION]])),"Monolitos","Varios")))))</f>
        <v>Cerrados IUP</v>
      </c>
      <c r="Q5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3" spans="1:17" s="157" customFormat="1" hidden="1" x14ac:dyDescent="0.2">
      <c r="A583" s="151" t="s">
        <v>572</v>
      </c>
      <c r="B583" s="154" t="s">
        <v>8</v>
      </c>
      <c r="C583" s="154">
        <v>8</v>
      </c>
      <c r="D583" s="153" t="s">
        <v>3379</v>
      </c>
      <c r="E583" s="154"/>
      <c r="F583" s="154" t="s">
        <v>573</v>
      </c>
      <c r="G583" s="154" t="s">
        <v>43</v>
      </c>
      <c r="H583" s="154"/>
      <c r="I583" s="154"/>
      <c r="J583" s="154" t="s">
        <v>74</v>
      </c>
      <c r="K583" s="154" t="s">
        <v>3394</v>
      </c>
      <c r="L583" s="154"/>
      <c r="M583" s="156"/>
      <c r="N583" s="154" t="str">
        <f>IF(ISNUMBER(PL[[#This Row],[CTO]]),"CTO "&amp;PL[[#This Row],[CTO]],"Otros")</f>
        <v>CTO 8</v>
      </c>
      <c r="O583" s="154" t="str">
        <f>IF(PL[[#This Row],[STATUS IUP]]="CERRADO","CERRADO",IF(ISNUMBER(SEARCH("validacion de enel",PL[[#This Row],[SUPPLIER NOTES]])),"PTE Validar Enel","ABIERTO"))</f>
        <v>CERRADO</v>
      </c>
      <c r="P583" s="154" t="str">
        <f>IF(PL[[#This Row],[ESTADO]]="CERRADO","Cerrados IUP",IF(PL[[#This Row],[ESTADO]]="PTE Validar Enel","Pendiente cierre ENEL",IF(ISNUMBER(SEARCH("suministro",PL[[#This Row],[SUPPLIER NOTES]])),"Suministros",IF(PL[[#This Row],[SC]]="SOCIAL","Social",IF(ISNUMBER(SEARCH("monolito",PL[[#This Row],[DESCRIPTION]])),"Monolitos","Varios")))))</f>
        <v>Cerrados IUP</v>
      </c>
      <c r="Q5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584" spans="1:17" s="157" customFormat="1" hidden="1" x14ac:dyDescent="0.2">
      <c r="A584" s="151" t="s">
        <v>574</v>
      </c>
      <c r="B584" s="154" t="s">
        <v>8</v>
      </c>
      <c r="C584" s="154">
        <v>8</v>
      </c>
      <c r="D584" s="153" t="s">
        <v>3379</v>
      </c>
      <c r="E584" s="154"/>
      <c r="F584" s="154" t="s">
        <v>575</v>
      </c>
      <c r="G584" s="154" t="s">
        <v>43</v>
      </c>
      <c r="H584" s="154"/>
      <c r="I584" s="154"/>
      <c r="J584" s="154" t="s">
        <v>74</v>
      </c>
      <c r="K584" s="154" t="s">
        <v>3394</v>
      </c>
      <c r="L584" s="154"/>
      <c r="M584" s="156"/>
      <c r="N584" s="154" t="str">
        <f>IF(ISNUMBER(PL[[#This Row],[CTO]]),"CTO "&amp;PL[[#This Row],[CTO]],"Otros")</f>
        <v>CTO 8</v>
      </c>
      <c r="O584" s="154" t="str">
        <f>IF(PL[[#This Row],[STATUS IUP]]="CERRADO","CERRADO",IF(ISNUMBER(SEARCH("validacion de enel",PL[[#This Row],[SUPPLIER NOTES]])),"PTE Validar Enel","ABIERTO"))</f>
        <v>CERRADO</v>
      </c>
      <c r="P584" s="154" t="str">
        <f>IF(PL[[#This Row],[ESTADO]]="CERRADO","Cerrados IUP",IF(PL[[#This Row],[ESTADO]]="PTE Validar Enel","Pendiente cierre ENEL",IF(ISNUMBER(SEARCH("suministro",PL[[#This Row],[SUPPLIER NOTES]])),"Suministros",IF(PL[[#This Row],[SC]]="SOCIAL","Social",IF(ISNUMBER(SEARCH("monolito",PL[[#This Row],[DESCRIPTION]])),"Monolitos","Varios")))))</f>
        <v>Cerrados IUP</v>
      </c>
      <c r="Q5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585" spans="1:17" s="157" customFormat="1" hidden="1" x14ac:dyDescent="0.2">
      <c r="A585" s="151" t="s">
        <v>576</v>
      </c>
      <c r="B585" s="154" t="s">
        <v>8</v>
      </c>
      <c r="C585" s="154">
        <v>8</v>
      </c>
      <c r="D585" s="153" t="s">
        <v>3379</v>
      </c>
      <c r="E585" s="154"/>
      <c r="F585" s="154" t="s">
        <v>577</v>
      </c>
      <c r="G585" s="154" t="s">
        <v>43</v>
      </c>
      <c r="H585" s="154"/>
      <c r="I585" s="154"/>
      <c r="J585" s="154" t="s">
        <v>74</v>
      </c>
      <c r="K585" s="154" t="s">
        <v>3394</v>
      </c>
      <c r="L585" s="154"/>
      <c r="M585" s="156"/>
      <c r="N585" s="154" t="str">
        <f>IF(ISNUMBER(PL[[#This Row],[CTO]]),"CTO "&amp;PL[[#This Row],[CTO]],"Otros")</f>
        <v>CTO 8</v>
      </c>
      <c r="O585" s="154" t="str">
        <f>IF(PL[[#This Row],[STATUS IUP]]="CERRADO","CERRADO",IF(ISNUMBER(SEARCH("validacion de enel",PL[[#This Row],[SUPPLIER NOTES]])),"PTE Validar Enel","ABIERTO"))</f>
        <v>CERRADO</v>
      </c>
      <c r="P585" s="154" t="str">
        <f>IF(PL[[#This Row],[ESTADO]]="CERRADO","Cerrados IUP",IF(PL[[#This Row],[ESTADO]]="PTE Validar Enel","Pendiente cierre ENEL",IF(ISNUMBER(SEARCH("suministro",PL[[#This Row],[SUPPLIER NOTES]])),"Suministros",IF(PL[[#This Row],[SC]]="SOCIAL","Social",IF(ISNUMBER(SEARCH("monolito",PL[[#This Row],[DESCRIPTION]])),"Monolitos","Varios")))))</f>
        <v>Cerrados IUP</v>
      </c>
      <c r="Q5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586" spans="1:17" s="157" customFormat="1" hidden="1" x14ac:dyDescent="0.2">
      <c r="A586" s="151" t="s">
        <v>578</v>
      </c>
      <c r="B586" s="154" t="s">
        <v>8</v>
      </c>
      <c r="C586" s="154">
        <v>8</v>
      </c>
      <c r="D586" s="153" t="s">
        <v>3379</v>
      </c>
      <c r="E586" s="154"/>
      <c r="F586" s="154" t="s">
        <v>579</v>
      </c>
      <c r="G586" s="154" t="s">
        <v>43</v>
      </c>
      <c r="H586" s="154" t="s">
        <v>163</v>
      </c>
      <c r="I586" s="154" t="s">
        <v>163</v>
      </c>
      <c r="J586" s="154" t="s">
        <v>74</v>
      </c>
      <c r="K586" s="154" t="s">
        <v>3394</v>
      </c>
      <c r="L586" s="161">
        <v>46226</v>
      </c>
      <c r="M586" s="160">
        <v>46226</v>
      </c>
      <c r="N586" s="154" t="str">
        <f>IF(ISNUMBER(PL[[#This Row],[CTO]]),"CTO "&amp;PL[[#This Row],[CTO]],"Otros")</f>
        <v>CTO 8</v>
      </c>
      <c r="O586" s="154" t="str">
        <f>IF(PL[[#This Row],[STATUS IUP]]="CERRADO","CERRADO",IF(ISNUMBER(SEARCH("validacion de enel",PL[[#This Row],[SUPPLIER NOTES]])),"PTE Validar Enel","ABIERTO"))</f>
        <v>CERRADO</v>
      </c>
      <c r="P586" s="154" t="str">
        <f>IF(PL[[#This Row],[ESTADO]]="CERRADO","Cerrados IUP",IF(PL[[#This Row],[ESTADO]]="PTE Validar Enel","Pendiente cierre ENEL",IF(ISNUMBER(SEARCH("suministro",PL[[#This Row],[SUPPLIER NOTES]])),"Suministros",IF(PL[[#This Row],[SC]]="SOCIAL","Social",IF(ISNUMBER(SEARCH("monolito",PL[[#This Row],[DESCRIPTION]])),"Monolitos","Varios")))))</f>
        <v>Cerrados IUP</v>
      </c>
      <c r="Q5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7" spans="1:17" s="157" customFormat="1" hidden="1" x14ac:dyDescent="0.2">
      <c r="A587" s="151" t="s">
        <v>625</v>
      </c>
      <c r="B587" s="154" t="s">
        <v>8</v>
      </c>
      <c r="C587" s="154">
        <v>8</v>
      </c>
      <c r="D587" s="153" t="s">
        <v>3379</v>
      </c>
      <c r="E587" s="154"/>
      <c r="F587" s="154" t="s">
        <v>626</v>
      </c>
      <c r="G587" s="154" t="s">
        <v>43</v>
      </c>
      <c r="H587" s="154" t="s">
        <v>163</v>
      </c>
      <c r="I587" s="154" t="s">
        <v>163</v>
      </c>
      <c r="J587" s="154" t="s">
        <v>74</v>
      </c>
      <c r="K587" s="154" t="s">
        <v>3394</v>
      </c>
      <c r="L587" s="161">
        <v>46226</v>
      </c>
      <c r="M587" s="160">
        <v>46226</v>
      </c>
      <c r="N587" s="154" t="str">
        <f>IF(ISNUMBER(PL[[#This Row],[CTO]]),"CTO "&amp;PL[[#This Row],[CTO]],"Otros")</f>
        <v>CTO 8</v>
      </c>
      <c r="O587" s="154" t="str">
        <f>IF(PL[[#This Row],[STATUS IUP]]="CERRADO","CERRADO",IF(ISNUMBER(SEARCH("validacion de enel",PL[[#This Row],[SUPPLIER NOTES]])),"PTE Validar Enel","ABIERTO"))</f>
        <v>CERRADO</v>
      </c>
      <c r="P587" s="154" t="str">
        <f>IF(PL[[#This Row],[ESTADO]]="CERRADO","Cerrados IUP",IF(PL[[#This Row],[ESTADO]]="PTE Validar Enel","Pendiente cierre ENEL",IF(ISNUMBER(SEARCH("suministro",PL[[#This Row],[SUPPLIER NOTES]])),"Suministros",IF(PL[[#This Row],[SC]]="SOCIAL","Social",IF(ISNUMBER(SEARCH("monolito",PL[[#This Row],[DESCRIPTION]])),"Monolitos","Varios")))))</f>
        <v>Cerrados IUP</v>
      </c>
      <c r="Q5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8" spans="1:17" hidden="1" x14ac:dyDescent="0.2">
      <c r="A588" s="66" t="s">
        <v>811</v>
      </c>
      <c r="B588" s="67" t="s">
        <v>8</v>
      </c>
      <c r="C588" s="82">
        <v>8</v>
      </c>
      <c r="D588" s="68" t="s">
        <v>3379</v>
      </c>
      <c r="E588" s="67"/>
      <c r="F588" s="67" t="s">
        <v>812</v>
      </c>
      <c r="G588" s="90" t="s">
        <v>108</v>
      </c>
      <c r="H588" s="90" t="s">
        <v>3458</v>
      </c>
      <c r="I588" s="67"/>
      <c r="J588" s="67" t="s">
        <v>11</v>
      </c>
      <c r="K588" s="67" t="s">
        <v>3393</v>
      </c>
      <c r="L588" s="67"/>
      <c r="M588" s="69"/>
      <c r="N588" s="67" t="str">
        <f>IF(ISNUMBER(PL[[#This Row],[CTO]]),"CTO "&amp;PL[[#This Row],[CTO]],"Otros")</f>
        <v>CTO 8</v>
      </c>
      <c r="O588" s="67" t="str">
        <f>IF(PL[[#This Row],[STATUS IUP]]="CERRADO","CERRADO",IF(ISNUMBER(SEARCH("validacion de enel",PL[[#This Row],[SUPPLIER NOTES]])),"PTE Validar Enel","ABIERTO"))</f>
        <v>ABIERTO</v>
      </c>
      <c r="P588" s="67" t="str">
        <f>IF(PL[[#This Row],[ESTADO]]="CERRADO","Cerrados IUP",IF(PL[[#This Row],[ESTADO]]="PTE Validar Enel","Pendiente cierre ENEL",IF(ISNUMBER(SEARCH("suministro",PL[[#This Row],[SUPPLIER NOTES]])),"Suministros",IF(PL[[#This Row],[SC]]="SOCIAL","Social",IF(ISNUMBER(SEARCH("monolito",PL[[#This Row],[DESCRIPTION]])),"Monolitos","Varios")))))</f>
        <v>Varios</v>
      </c>
      <c r="Q588"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89" spans="1:17" hidden="1" x14ac:dyDescent="0.2">
      <c r="A589" s="66" t="s">
        <v>815</v>
      </c>
      <c r="B589" s="67" t="s">
        <v>8</v>
      </c>
      <c r="C589" s="82">
        <v>8</v>
      </c>
      <c r="D589" s="68" t="s">
        <v>3379</v>
      </c>
      <c r="E589" s="67"/>
      <c r="F589" s="67" t="s">
        <v>816</v>
      </c>
      <c r="G589" s="82" t="s">
        <v>1290</v>
      </c>
      <c r="H589" s="90" t="s">
        <v>3459</v>
      </c>
      <c r="I589" s="67"/>
      <c r="J589" s="67" t="s">
        <v>11</v>
      </c>
      <c r="K589" s="67" t="s">
        <v>3393</v>
      </c>
      <c r="L589" s="67"/>
      <c r="M589" s="69"/>
      <c r="N589" s="67" t="str">
        <f>IF(ISNUMBER(PL[[#This Row],[CTO]]),"CTO "&amp;PL[[#This Row],[CTO]],"Otros")</f>
        <v>CTO 8</v>
      </c>
      <c r="O589" s="67" t="str">
        <f>IF(PL[[#This Row],[STATUS IUP]]="CERRADO","CERRADO",IF(ISNUMBER(SEARCH("validacion de enel",PL[[#This Row],[SUPPLIER NOTES]])),"PTE Validar Enel","ABIERTO"))</f>
        <v>ABIERTO</v>
      </c>
      <c r="P589" s="67" t="str">
        <f>IF(PL[[#This Row],[ESTADO]]="CERRADO","Cerrados IUP",IF(PL[[#This Row],[ESTADO]]="PTE Validar Enel","Pendiente cierre ENEL",IF(ISNUMBER(SEARCH("suministro",PL[[#This Row],[SUPPLIER NOTES]])),"Suministros",IF(PL[[#This Row],[SC]]="SOCIAL","Social",IF(ISNUMBER(SEARCH("monolito",PL[[#This Row],[DESCRIPTION]])),"Monolitos","Varios")))))</f>
        <v>Varios</v>
      </c>
      <c r="Q58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0" spans="1:17" hidden="1" x14ac:dyDescent="0.2">
      <c r="A590" s="66" t="s">
        <v>823</v>
      </c>
      <c r="B590" s="67" t="s">
        <v>8</v>
      </c>
      <c r="C590" s="82">
        <v>8</v>
      </c>
      <c r="D590" s="68" t="s">
        <v>3379</v>
      </c>
      <c r="E590" s="67"/>
      <c r="F590" s="67" t="s">
        <v>824</v>
      </c>
      <c r="G590" s="90" t="s">
        <v>108</v>
      </c>
      <c r="H590" s="90" t="s">
        <v>3458</v>
      </c>
      <c r="I590" s="67"/>
      <c r="J590" s="67" t="s">
        <v>11</v>
      </c>
      <c r="K590" s="67" t="s">
        <v>3393</v>
      </c>
      <c r="L590" s="67"/>
      <c r="M590" s="69"/>
      <c r="N590" s="67" t="str">
        <f>IF(ISNUMBER(PL[[#This Row],[CTO]]),"CTO "&amp;PL[[#This Row],[CTO]],"Otros")</f>
        <v>CTO 8</v>
      </c>
      <c r="O590" s="67" t="str">
        <f>IF(PL[[#This Row],[STATUS IUP]]="CERRADO","CERRADO",IF(ISNUMBER(SEARCH("validacion de enel",PL[[#This Row],[SUPPLIER NOTES]])),"PTE Validar Enel","ABIERTO"))</f>
        <v>ABIERTO</v>
      </c>
      <c r="P590" s="67" t="str">
        <f>IF(PL[[#This Row],[ESTADO]]="CERRADO","Cerrados IUP",IF(PL[[#This Row],[ESTADO]]="PTE Validar Enel","Pendiente cierre ENEL",IF(ISNUMBER(SEARCH("suministro",PL[[#This Row],[SUPPLIER NOTES]])),"Suministros",IF(PL[[#This Row],[SC]]="SOCIAL","Social",IF(ISNUMBER(SEARCH("monolito",PL[[#This Row],[DESCRIPTION]])),"Monolitos","Varios")))))</f>
        <v>Varios</v>
      </c>
      <c r="Q59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1" spans="1:17" s="157" customFormat="1" hidden="1" x14ac:dyDescent="0.2">
      <c r="A591" s="151" t="s">
        <v>865</v>
      </c>
      <c r="B591" s="154" t="s">
        <v>8</v>
      </c>
      <c r="C591" s="154">
        <v>8</v>
      </c>
      <c r="D591" s="153" t="s">
        <v>3379</v>
      </c>
      <c r="E591" s="154"/>
      <c r="F591" s="154" t="s">
        <v>866</v>
      </c>
      <c r="G591" s="154" t="s">
        <v>1289</v>
      </c>
      <c r="H591" s="154" t="s">
        <v>3463</v>
      </c>
      <c r="I591" s="154"/>
      <c r="J591" s="154" t="s">
        <v>74</v>
      </c>
      <c r="K591" s="154" t="s">
        <v>3394</v>
      </c>
      <c r="L591" s="154"/>
      <c r="M591" s="156"/>
      <c r="N591" s="154" t="str">
        <f>IF(ISNUMBER(PL[[#This Row],[CTO]]),"CTO "&amp;PL[[#This Row],[CTO]],"Otros")</f>
        <v>CTO 8</v>
      </c>
      <c r="O591" s="154" t="str">
        <f>IF(PL[[#This Row],[STATUS IUP]]="CERRADO","CERRADO",IF(ISNUMBER(SEARCH("validacion de enel",PL[[#This Row],[SUPPLIER NOTES]])),"PTE Validar Enel","ABIERTO"))</f>
        <v>CERRADO</v>
      </c>
      <c r="P591" s="154" t="str">
        <f>IF(PL[[#This Row],[ESTADO]]="CERRADO","Cerrados IUP",IF(PL[[#This Row],[ESTADO]]="PTE Validar Enel","Pendiente cierre ENEL",IF(ISNUMBER(SEARCH("suministro",PL[[#This Row],[SUPPLIER NOTES]])),"Suministros",IF(PL[[#This Row],[SC]]="SOCIAL","Social",IF(ISNUMBER(SEARCH("monolito",PL[[#This Row],[DESCRIPTION]])),"Monolitos","Varios")))))</f>
        <v>Cerrados IUP</v>
      </c>
      <c r="Q5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2" spans="1:17" hidden="1" x14ac:dyDescent="0.2">
      <c r="A592" s="66" t="s">
        <v>875</v>
      </c>
      <c r="B592" s="67" t="s">
        <v>8</v>
      </c>
      <c r="C592" s="82">
        <v>8</v>
      </c>
      <c r="D592" s="68" t="s">
        <v>3379</v>
      </c>
      <c r="E592" s="67"/>
      <c r="F592" s="67" t="s">
        <v>876</v>
      </c>
      <c r="G592" s="82" t="s">
        <v>1289</v>
      </c>
      <c r="H592" s="90" t="s">
        <v>3463</v>
      </c>
      <c r="I592" s="67"/>
      <c r="J592" s="67" t="s">
        <v>11</v>
      </c>
      <c r="K592" s="67" t="s">
        <v>3393</v>
      </c>
      <c r="L592" s="67"/>
      <c r="M592" s="69"/>
      <c r="N592" s="67" t="str">
        <f>IF(ISNUMBER(PL[[#This Row],[CTO]]),"CTO "&amp;PL[[#This Row],[CTO]],"Otros")</f>
        <v>CTO 8</v>
      </c>
      <c r="O592" s="67" t="str">
        <f>IF(PL[[#This Row],[STATUS IUP]]="CERRADO","CERRADO",IF(ISNUMBER(SEARCH("validacion de enel",PL[[#This Row],[SUPPLIER NOTES]])),"PTE Validar Enel","ABIERTO"))</f>
        <v>ABIERTO</v>
      </c>
      <c r="P592" s="67" t="str">
        <f>IF(PL[[#This Row],[ESTADO]]="CERRADO","Cerrados IUP",IF(PL[[#This Row],[ESTADO]]="PTE Validar Enel","Pendiente cierre ENEL",IF(ISNUMBER(SEARCH("suministro",PL[[#This Row],[SUPPLIER NOTES]])),"Suministros",IF(PL[[#This Row],[SC]]="SOCIAL","Social",IF(ISNUMBER(SEARCH("monolito",PL[[#This Row],[DESCRIPTION]])),"Monolitos","Varios")))))</f>
        <v>Varios</v>
      </c>
      <c r="Q59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3" spans="1:17" hidden="1" x14ac:dyDescent="0.2">
      <c r="A593" s="66" t="s">
        <v>927</v>
      </c>
      <c r="B593" s="67" t="s">
        <v>8</v>
      </c>
      <c r="C593" s="82">
        <v>8</v>
      </c>
      <c r="D593" s="68" t="s">
        <v>3379</v>
      </c>
      <c r="E593" s="67"/>
      <c r="F593" s="67" t="s">
        <v>928</v>
      </c>
      <c r="G593" s="82" t="s">
        <v>1290</v>
      </c>
      <c r="H593" s="90"/>
      <c r="I593" s="67"/>
      <c r="J593" s="67" t="s">
        <v>11</v>
      </c>
      <c r="K593" s="67" t="s">
        <v>3393</v>
      </c>
      <c r="L593" s="67"/>
      <c r="M593" s="69"/>
      <c r="N593" s="67" t="str">
        <f>IF(ISNUMBER(PL[[#This Row],[CTO]]),"CTO "&amp;PL[[#This Row],[CTO]],"Otros")</f>
        <v>CTO 8</v>
      </c>
      <c r="O593" s="67" t="str">
        <f>IF(PL[[#This Row],[STATUS IUP]]="CERRADO","CERRADO",IF(ISNUMBER(SEARCH("validacion de enel",PL[[#This Row],[SUPPLIER NOTES]])),"PTE Validar Enel","ABIERTO"))</f>
        <v>ABIERTO</v>
      </c>
      <c r="P593" s="67" t="str">
        <f>IF(PL[[#This Row],[ESTADO]]="CERRADO","Cerrados IUP",IF(PL[[#This Row],[ESTADO]]="PTE Validar Enel","Pendiente cierre ENEL",IF(ISNUMBER(SEARCH("suministro",PL[[#This Row],[SUPPLIER NOTES]])),"Suministros",IF(PL[[#This Row],[SC]]="SOCIAL","Social",IF(ISNUMBER(SEARCH("monolito",PL[[#This Row],[DESCRIPTION]])),"Monolitos","Varios")))))</f>
        <v>Varios</v>
      </c>
      <c r="Q59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4" spans="1:17" hidden="1" x14ac:dyDescent="0.2">
      <c r="A594" s="66" t="s">
        <v>520</v>
      </c>
      <c r="B594" s="67" t="s">
        <v>8</v>
      </c>
      <c r="C594" s="82">
        <v>8</v>
      </c>
      <c r="D594" s="68" t="s">
        <v>3379</v>
      </c>
      <c r="E594" s="67"/>
      <c r="F594" s="67" t="s">
        <v>521</v>
      </c>
      <c r="G594" s="82" t="s">
        <v>1289</v>
      </c>
      <c r="H594" s="90" t="s">
        <v>3463</v>
      </c>
      <c r="I594" s="67"/>
      <c r="J594" s="67" t="s">
        <v>11</v>
      </c>
      <c r="K594" s="67" t="s">
        <v>3393</v>
      </c>
      <c r="L594" s="67"/>
      <c r="M594" s="69"/>
      <c r="N594" s="67" t="str">
        <f>IF(ISNUMBER(PL[[#This Row],[CTO]]),"CTO "&amp;PL[[#This Row],[CTO]],"Otros")</f>
        <v>CTO 8</v>
      </c>
      <c r="O594" s="67" t="str">
        <f>IF(PL[[#This Row],[STATUS IUP]]="CERRADO","CERRADO",IF(ISNUMBER(SEARCH("validacion de enel",PL[[#This Row],[SUPPLIER NOTES]])),"PTE Validar Enel","ABIERTO"))</f>
        <v>ABIERTO</v>
      </c>
      <c r="P594" s="67" t="str">
        <f>IF(PL[[#This Row],[ESTADO]]="CERRADO","Cerrados IUP",IF(PL[[#This Row],[ESTADO]]="PTE Validar Enel","Pendiente cierre ENEL",IF(ISNUMBER(SEARCH("suministro",PL[[#This Row],[SUPPLIER NOTES]])),"Suministros",IF(PL[[#This Row],[SC]]="SOCIAL","Social",IF(ISNUMBER(SEARCH("monolito",PL[[#This Row],[DESCRIPTION]])),"Monolitos","Varios")))))</f>
        <v>Varios</v>
      </c>
      <c r="Q59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5" spans="1:17" hidden="1" x14ac:dyDescent="0.2">
      <c r="A595" s="66" t="s">
        <v>522</v>
      </c>
      <c r="B595" s="67" t="s">
        <v>8</v>
      </c>
      <c r="C595" s="82">
        <v>8</v>
      </c>
      <c r="D595" s="68" t="s">
        <v>3379</v>
      </c>
      <c r="E595" s="67"/>
      <c r="F595" s="67" t="s">
        <v>523</v>
      </c>
      <c r="G595" s="82" t="s">
        <v>1289</v>
      </c>
      <c r="H595" s="90" t="s">
        <v>3464</v>
      </c>
      <c r="I595" s="67"/>
      <c r="J595" s="67" t="s">
        <v>11</v>
      </c>
      <c r="K595" s="67" t="s">
        <v>3393</v>
      </c>
      <c r="L595" s="67"/>
      <c r="M595" s="69"/>
      <c r="N595" s="67" t="str">
        <f>IF(ISNUMBER(PL[[#This Row],[CTO]]),"CTO "&amp;PL[[#This Row],[CTO]],"Otros")</f>
        <v>CTO 8</v>
      </c>
      <c r="O595" s="67" t="str">
        <f>IF(PL[[#This Row],[STATUS IUP]]="CERRADO","CERRADO",IF(ISNUMBER(SEARCH("validacion de enel",PL[[#This Row],[SUPPLIER NOTES]])),"PTE Validar Enel","ABIERTO"))</f>
        <v>ABIERTO</v>
      </c>
      <c r="P595" s="67" t="str">
        <f>IF(PL[[#This Row],[ESTADO]]="CERRADO","Cerrados IUP",IF(PL[[#This Row],[ESTADO]]="PTE Validar Enel","Pendiente cierre ENEL",IF(ISNUMBER(SEARCH("suministro",PL[[#This Row],[SUPPLIER NOTES]])),"Suministros",IF(PL[[#This Row],[SC]]="SOCIAL","Social",IF(ISNUMBER(SEARCH("monolito",PL[[#This Row],[DESCRIPTION]])),"Monolitos","Varios")))))</f>
        <v>Varios</v>
      </c>
      <c r="Q59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596" spans="1:17" s="157" customFormat="1" hidden="1" x14ac:dyDescent="0.2">
      <c r="A596" s="151" t="s">
        <v>1101</v>
      </c>
      <c r="B596" s="154" t="s">
        <v>41</v>
      </c>
      <c r="C596" s="154">
        <v>8</v>
      </c>
      <c r="D596" s="154" t="s">
        <v>3379</v>
      </c>
      <c r="E596" s="153" t="s">
        <v>3392</v>
      </c>
      <c r="F596" s="154" t="s">
        <v>1102</v>
      </c>
      <c r="G596" s="154" t="s">
        <v>49</v>
      </c>
      <c r="H596" s="154"/>
      <c r="I596" s="154"/>
      <c r="J596" s="154" t="s">
        <v>74</v>
      </c>
      <c r="K596" s="154" t="s">
        <v>3394</v>
      </c>
      <c r="L596" s="154"/>
      <c r="M596" s="156"/>
      <c r="N596" s="154" t="str">
        <f>IF(ISNUMBER(PL[[#This Row],[CTO]]),"CTO "&amp;PL[[#This Row],[CTO]],"Otros")</f>
        <v>CTO 8</v>
      </c>
      <c r="O596" s="154" t="str">
        <f>IF(PL[[#This Row],[STATUS IUP]]="CERRADO","CERRADO",IF(ISNUMBER(SEARCH("validacion de enel",PL[[#This Row],[SUPPLIER NOTES]])),"PTE Validar Enel","ABIERTO"))</f>
        <v>CERRADO</v>
      </c>
      <c r="P596" s="154" t="str">
        <f>IF(PL[[#This Row],[ESTADO]]="CERRADO","Cerrados IUP",IF(PL[[#This Row],[ESTADO]]="PTE Validar Enel","Pendiente cierre ENEL",IF(ISNUMBER(SEARCH("suministro",PL[[#This Row],[SUPPLIER NOTES]])),"Suministros",IF(PL[[#This Row],[SC]]="SOCIAL","Social",IF(ISNUMBER(SEARCH("monolito",PL[[#This Row],[DESCRIPTION]])),"Monolitos","Varios")))))</f>
        <v>Cerrados IUP</v>
      </c>
      <c r="Q5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97" spans="1:17" s="157" customFormat="1" hidden="1" x14ac:dyDescent="0.2">
      <c r="A597" s="151" t="s">
        <v>1103</v>
      </c>
      <c r="B597" s="154" t="s">
        <v>41</v>
      </c>
      <c r="C597" s="154">
        <v>8</v>
      </c>
      <c r="D597" s="154" t="s">
        <v>3379</v>
      </c>
      <c r="E597" s="153" t="s">
        <v>3392</v>
      </c>
      <c r="F597" s="154" t="s">
        <v>1104</v>
      </c>
      <c r="G597" s="154" t="s">
        <v>49</v>
      </c>
      <c r="H597" s="154"/>
      <c r="I597" s="154"/>
      <c r="J597" s="154" t="s">
        <v>74</v>
      </c>
      <c r="K597" s="154" t="s">
        <v>3394</v>
      </c>
      <c r="L597" s="154"/>
      <c r="M597" s="156"/>
      <c r="N597" s="154" t="str">
        <f>IF(ISNUMBER(PL[[#This Row],[CTO]]),"CTO "&amp;PL[[#This Row],[CTO]],"Otros")</f>
        <v>CTO 8</v>
      </c>
      <c r="O597" s="154" t="str">
        <f>IF(PL[[#This Row],[STATUS IUP]]="CERRADO","CERRADO",IF(ISNUMBER(SEARCH("validacion de enel",PL[[#This Row],[SUPPLIER NOTES]])),"PTE Validar Enel","ABIERTO"))</f>
        <v>CERRADO</v>
      </c>
      <c r="P597" s="154" t="str">
        <f>IF(PL[[#This Row],[ESTADO]]="CERRADO","Cerrados IUP",IF(PL[[#This Row],[ESTADO]]="PTE Validar Enel","Pendiente cierre ENEL",IF(ISNUMBER(SEARCH("suministro",PL[[#This Row],[SUPPLIER NOTES]])),"Suministros",IF(PL[[#This Row],[SC]]="SOCIAL","Social",IF(ISNUMBER(SEARCH("monolito",PL[[#This Row],[DESCRIPTION]])),"Monolitos","Varios")))))</f>
        <v>Cerrados IUP</v>
      </c>
      <c r="Q5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98" spans="1:17" s="157" customFormat="1" hidden="1" x14ac:dyDescent="0.2">
      <c r="A598" s="151" t="s">
        <v>1105</v>
      </c>
      <c r="B598" s="154" t="s">
        <v>41</v>
      </c>
      <c r="C598" s="154">
        <v>8</v>
      </c>
      <c r="D598" s="154" t="s">
        <v>3379</v>
      </c>
      <c r="E598" s="153" t="s">
        <v>3392</v>
      </c>
      <c r="F598" s="154" t="s">
        <v>1106</v>
      </c>
      <c r="G598" s="154" t="s">
        <v>49</v>
      </c>
      <c r="H598" s="154"/>
      <c r="I598" s="154"/>
      <c r="J598" s="154" t="s">
        <v>74</v>
      </c>
      <c r="K598" s="154" t="s">
        <v>3394</v>
      </c>
      <c r="L598" s="154"/>
      <c r="M598" s="156"/>
      <c r="N598" s="154" t="str">
        <f>IF(ISNUMBER(PL[[#This Row],[CTO]]),"CTO "&amp;PL[[#This Row],[CTO]],"Otros")</f>
        <v>CTO 8</v>
      </c>
      <c r="O598" s="154" t="str">
        <f>IF(PL[[#This Row],[STATUS IUP]]="CERRADO","CERRADO",IF(ISNUMBER(SEARCH("validacion de enel",PL[[#This Row],[SUPPLIER NOTES]])),"PTE Validar Enel","ABIERTO"))</f>
        <v>CERRADO</v>
      </c>
      <c r="P598" s="154" t="str">
        <f>IF(PL[[#This Row],[ESTADO]]="CERRADO","Cerrados IUP",IF(PL[[#This Row],[ESTADO]]="PTE Validar Enel","Pendiente cierre ENEL",IF(ISNUMBER(SEARCH("suministro",PL[[#This Row],[SUPPLIER NOTES]])),"Suministros",IF(PL[[#This Row],[SC]]="SOCIAL","Social",IF(ISNUMBER(SEARCH("monolito",PL[[#This Row],[DESCRIPTION]])),"Monolitos","Varios")))))</f>
        <v>Cerrados IUP</v>
      </c>
      <c r="Q5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599" spans="1:17" hidden="1" x14ac:dyDescent="0.2">
      <c r="A599" s="75" t="s">
        <v>1123</v>
      </c>
      <c r="B599" s="74" t="s">
        <v>41</v>
      </c>
      <c r="C599" s="82">
        <v>8</v>
      </c>
      <c r="D599" s="74" t="s">
        <v>3379</v>
      </c>
      <c r="E599" s="76" t="s">
        <v>3392</v>
      </c>
      <c r="F599" s="74" t="s">
        <v>1124</v>
      </c>
      <c r="G599" s="74" t="s">
        <v>49</v>
      </c>
      <c r="H599" s="74" t="s">
        <v>3462</v>
      </c>
      <c r="I599" s="74"/>
      <c r="J599" s="74" t="s">
        <v>11</v>
      </c>
      <c r="K599" s="74" t="s">
        <v>3393</v>
      </c>
      <c r="L599" s="74"/>
      <c r="M599" s="77"/>
      <c r="N599" s="74" t="str">
        <f>IF(ISNUMBER(PL[[#This Row],[CTO]]),"CTO "&amp;PL[[#This Row],[CTO]],"Otros")</f>
        <v>CTO 8</v>
      </c>
      <c r="O599" s="74" t="str">
        <f>IF(PL[[#This Row],[STATUS IUP]]="CERRADO","CERRADO",IF(ISNUMBER(SEARCH("validacion de enel",PL[[#This Row],[SUPPLIER NOTES]])),"PTE Validar Enel","ABIERTO"))</f>
        <v>ABIERTO</v>
      </c>
      <c r="P599" s="74" t="str">
        <f>IF(PL[[#This Row],[ESTADO]]="CERRADO","Cerrados IUP",IF(PL[[#This Row],[ESTADO]]="PTE Validar Enel","Pendiente cierre ENEL",IF(ISNUMBER(SEARCH("suministro",PL[[#This Row],[SUPPLIER NOTES]])),"Suministros",IF(PL[[#This Row],[SC]]="SOCIAL","Social",IF(ISNUMBER(SEARCH("monolito",PL[[#This Row],[DESCRIPTION]])),"Monolitos","Varios")))))</f>
        <v>Suministros</v>
      </c>
      <c r="Q59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600" spans="1:17" s="157" customFormat="1" hidden="1" x14ac:dyDescent="0.2">
      <c r="A600" s="151" t="s">
        <v>1125</v>
      </c>
      <c r="B600" s="154" t="s">
        <v>41</v>
      </c>
      <c r="C600" s="154">
        <v>8</v>
      </c>
      <c r="D600" s="154" t="s">
        <v>3379</v>
      </c>
      <c r="E600" s="153" t="s">
        <v>3392</v>
      </c>
      <c r="F600" s="154" t="s">
        <v>1126</v>
      </c>
      <c r="G600" s="154" t="s">
        <v>49</v>
      </c>
      <c r="H600" s="154"/>
      <c r="I600" s="154"/>
      <c r="J600" s="154" t="s">
        <v>74</v>
      </c>
      <c r="K600" s="154" t="s">
        <v>3394</v>
      </c>
      <c r="L600" s="154"/>
      <c r="M600" s="156"/>
      <c r="N600" s="154" t="str">
        <f>IF(ISNUMBER(PL[[#This Row],[CTO]]),"CTO "&amp;PL[[#This Row],[CTO]],"Otros")</f>
        <v>CTO 8</v>
      </c>
      <c r="O600" s="154" t="str">
        <f>IF(PL[[#This Row],[STATUS IUP]]="CERRADO","CERRADO",IF(ISNUMBER(SEARCH("validacion de enel",PL[[#This Row],[SUPPLIER NOTES]])),"PTE Validar Enel","ABIERTO"))</f>
        <v>CERRADO</v>
      </c>
      <c r="P600" s="154" t="str">
        <f>IF(PL[[#This Row],[ESTADO]]="CERRADO","Cerrados IUP",IF(PL[[#This Row],[ESTADO]]="PTE Validar Enel","Pendiente cierre ENEL",IF(ISNUMBER(SEARCH("suministro",PL[[#This Row],[SUPPLIER NOTES]])),"Suministros",IF(PL[[#This Row],[SC]]="SOCIAL","Social",IF(ISNUMBER(SEARCH("monolito",PL[[#This Row],[DESCRIPTION]])),"Monolitos","Varios")))))</f>
        <v>Cerrados IUP</v>
      </c>
      <c r="Q6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601" spans="1:17" ht="48" x14ac:dyDescent="0.2">
      <c r="A601" s="86" t="s">
        <v>1258</v>
      </c>
      <c r="B601" s="115" t="s">
        <v>8</v>
      </c>
      <c r="C601" s="82">
        <v>8</v>
      </c>
      <c r="D601" s="88" t="s">
        <v>3379</v>
      </c>
      <c r="E601" s="87"/>
      <c r="F601" s="115" t="s">
        <v>1259</v>
      </c>
      <c r="G601" s="87" t="s">
        <v>43</v>
      </c>
      <c r="H601" s="87" t="s">
        <v>3454</v>
      </c>
      <c r="I601" s="87"/>
      <c r="J601" s="87" t="s">
        <v>11</v>
      </c>
      <c r="K601" s="87" t="s">
        <v>3393</v>
      </c>
      <c r="L601" s="87"/>
      <c r="M601" s="89"/>
      <c r="N601" s="87" t="str">
        <f>IF(ISNUMBER(PL[[#This Row],[CTO]]),"CTO "&amp;PL[[#This Row],[CTO]],"Otros")</f>
        <v>CTO 8</v>
      </c>
      <c r="O601" s="87" t="str">
        <f>IF(PL[[#This Row],[STATUS IUP]]="CERRADO","CERRADO",IF(ISNUMBER(SEARCH("validacion de enel",PL[[#This Row],[SUPPLIER NOTES]])),"PTE Validar Enel","ABIERTO"))</f>
        <v>PTE Validar Enel</v>
      </c>
      <c r="P601"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01"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602" spans="1:17" x14ac:dyDescent="0.2">
      <c r="A602" s="75" t="s">
        <v>1200</v>
      </c>
      <c r="B602" s="74" t="s">
        <v>8</v>
      </c>
      <c r="C602" s="82">
        <v>8</v>
      </c>
      <c r="D602" s="76" t="s">
        <v>3379</v>
      </c>
      <c r="E602" s="74"/>
      <c r="F602" s="74" t="s">
        <v>1201</v>
      </c>
      <c r="G602" s="74" t="s">
        <v>43</v>
      </c>
      <c r="H602" s="74" t="s">
        <v>3460</v>
      </c>
      <c r="I602" s="74"/>
      <c r="J602" s="74" t="s">
        <v>11</v>
      </c>
      <c r="K602" s="74" t="s">
        <v>3393</v>
      </c>
      <c r="L602" s="74"/>
      <c r="M602" s="77"/>
      <c r="N602" s="74" t="str">
        <f>IF(ISNUMBER(PL[[#This Row],[CTO]]),"CTO "&amp;PL[[#This Row],[CTO]],"Otros")</f>
        <v>CTO 8</v>
      </c>
      <c r="O602" s="74" t="str">
        <f>IF(PL[[#This Row],[STATUS IUP]]="CERRADO","CERRADO",IF(ISNUMBER(SEARCH("validacion de enel",PL[[#This Row],[SUPPLIER NOTES]])),"PTE Validar Enel","ABIERTO"))</f>
        <v>ABIERTO</v>
      </c>
      <c r="P602" s="74" t="str">
        <f>IF(PL[[#This Row],[ESTADO]]="CERRADO","Cerrados IUP",IF(PL[[#This Row],[ESTADO]]="PTE Validar Enel","Pendiente cierre ENEL",IF(ISNUMBER(SEARCH("suministro",PL[[#This Row],[SUPPLIER NOTES]])),"Suministros",IF(PL[[#This Row],[SC]]="SOCIAL","Social",IF(ISNUMBER(SEARCH("monolito",PL[[#This Row],[DESCRIPTION]])),"Monolitos","Varios")))))</f>
        <v>Suministros</v>
      </c>
      <c r="Q60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603" spans="1:17" s="157" customFormat="1" hidden="1" x14ac:dyDescent="0.2">
      <c r="A603" s="151" t="s">
        <v>1792</v>
      </c>
      <c r="B603" s="154" t="s">
        <v>1432</v>
      </c>
      <c r="C603" s="154">
        <v>9</v>
      </c>
      <c r="D603" s="153" t="s">
        <v>3380</v>
      </c>
      <c r="E603" s="154" t="s">
        <v>1793</v>
      </c>
      <c r="F603" s="154" t="s">
        <v>1794</v>
      </c>
      <c r="G603" s="154" t="s">
        <v>1290</v>
      </c>
      <c r="H603" s="154" t="s">
        <v>163</v>
      </c>
      <c r="I603" s="154" t="s">
        <v>163</v>
      </c>
      <c r="J603" s="154" t="s">
        <v>74</v>
      </c>
      <c r="K603" s="154" t="s">
        <v>3394</v>
      </c>
      <c r="L603" s="161">
        <v>46212</v>
      </c>
      <c r="M603" s="160">
        <v>46212</v>
      </c>
      <c r="N603" s="154" t="str">
        <f>IF(ISNUMBER(PL[[#This Row],[CTO]]),"CTO "&amp;PL[[#This Row],[CTO]],"Otros")</f>
        <v>CTO 9</v>
      </c>
      <c r="O603" s="154" t="str">
        <f>IF(PL[[#This Row],[STATUS IUP]]="CERRADO","CERRADO",IF(ISNUMBER(SEARCH("validacion de enel",PL[[#This Row],[SUPPLIER NOTES]])),"PTE Validar Enel","ABIERTO"))</f>
        <v>CERRADO</v>
      </c>
      <c r="P603" s="154" t="str">
        <f>IF(PL[[#This Row],[ESTADO]]="CERRADO","Cerrados IUP",IF(PL[[#This Row],[ESTADO]]="PTE Validar Enel","Pendiente cierre ENEL",IF(ISNUMBER(SEARCH("suministro",PL[[#This Row],[SUPPLIER NOTES]])),"Suministros",IF(PL[[#This Row],[SC]]="SOCIAL","Social",IF(ISNUMBER(SEARCH("monolito",PL[[#This Row],[DESCRIPTION]])),"Monolitos","Varios")))))</f>
        <v>Cerrados IUP</v>
      </c>
      <c r="Q6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4" spans="1:17" s="157" customFormat="1" hidden="1" x14ac:dyDescent="0.2">
      <c r="A604" s="151" t="s">
        <v>1393</v>
      </c>
      <c r="B604" s="154" t="s">
        <v>1266</v>
      </c>
      <c r="C604" s="154">
        <v>9</v>
      </c>
      <c r="D604" s="153" t="s">
        <v>3380</v>
      </c>
      <c r="E604" s="154" t="s">
        <v>1394</v>
      </c>
      <c r="F604" s="154" t="s">
        <v>1395</v>
      </c>
      <c r="G604" s="154" t="s">
        <v>1290</v>
      </c>
      <c r="H604" s="154" t="s">
        <v>163</v>
      </c>
      <c r="I604" s="154" t="s">
        <v>163</v>
      </c>
      <c r="J604" s="154" t="s">
        <v>74</v>
      </c>
      <c r="K604" s="154" t="s">
        <v>3394</v>
      </c>
      <c r="L604" s="161">
        <v>46212</v>
      </c>
      <c r="M604" s="160">
        <v>46212</v>
      </c>
      <c r="N604" s="154" t="str">
        <f>IF(ISNUMBER(PL[[#This Row],[CTO]]),"CTO "&amp;PL[[#This Row],[CTO]],"Otros")</f>
        <v>CTO 9</v>
      </c>
      <c r="O604" s="154" t="str">
        <f>IF(PL[[#This Row],[STATUS IUP]]="CERRADO","CERRADO",IF(ISNUMBER(SEARCH("validacion de enel",PL[[#This Row],[SUPPLIER NOTES]])),"PTE Validar Enel","ABIERTO"))</f>
        <v>CERRADO</v>
      </c>
      <c r="P604" s="154" t="str">
        <f>IF(PL[[#This Row],[ESTADO]]="CERRADO","Cerrados IUP",IF(PL[[#This Row],[ESTADO]]="PTE Validar Enel","Pendiente cierre ENEL",IF(ISNUMBER(SEARCH("suministro",PL[[#This Row],[SUPPLIER NOTES]])),"Suministros",IF(PL[[#This Row],[SC]]="SOCIAL","Social",IF(ISNUMBER(SEARCH("monolito",PL[[#This Row],[DESCRIPTION]])),"Monolitos","Varios")))))</f>
        <v>Cerrados IUP</v>
      </c>
      <c r="Q6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5" spans="1:17" s="157" customFormat="1" hidden="1" x14ac:dyDescent="0.2">
      <c r="A605" s="151" t="s">
        <v>1491</v>
      </c>
      <c r="B605" s="154" t="s">
        <v>1266</v>
      </c>
      <c r="C605" s="154">
        <v>9</v>
      </c>
      <c r="D605" s="153" t="s">
        <v>3380</v>
      </c>
      <c r="E605" s="154" t="s">
        <v>1492</v>
      </c>
      <c r="F605" s="154" t="s">
        <v>1493</v>
      </c>
      <c r="G605" s="154" t="s">
        <v>1290</v>
      </c>
      <c r="H605" s="154"/>
      <c r="I605" s="154"/>
      <c r="J605" s="154" t="s">
        <v>74</v>
      </c>
      <c r="K605" s="154" t="s">
        <v>3394</v>
      </c>
      <c r="L605" s="154"/>
      <c r="M605" s="156"/>
      <c r="N605" s="154" t="str">
        <f>IF(ISNUMBER(PL[[#This Row],[CTO]]),"CTO "&amp;PL[[#This Row],[CTO]],"Otros")</f>
        <v>CTO 9</v>
      </c>
      <c r="O605" s="154" t="str">
        <f>IF(PL[[#This Row],[STATUS IUP]]="CERRADO","CERRADO",IF(ISNUMBER(SEARCH("validacion de enel",PL[[#This Row],[SUPPLIER NOTES]])),"PTE Validar Enel","ABIERTO"))</f>
        <v>CERRADO</v>
      </c>
      <c r="P605" s="154" t="str">
        <f>IF(PL[[#This Row],[ESTADO]]="CERRADO","Cerrados IUP",IF(PL[[#This Row],[ESTADO]]="PTE Validar Enel","Pendiente cierre ENEL",IF(ISNUMBER(SEARCH("suministro",PL[[#This Row],[SUPPLIER NOTES]])),"Suministros",IF(PL[[#This Row],[SC]]="SOCIAL","Social",IF(ISNUMBER(SEARCH("monolito",PL[[#This Row],[DESCRIPTION]])),"Monolitos","Varios")))))</f>
        <v>Cerrados IUP</v>
      </c>
      <c r="Q6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6" spans="1:17" s="157" customFormat="1" hidden="1" x14ac:dyDescent="0.2">
      <c r="A606" s="151" t="s">
        <v>1390</v>
      </c>
      <c r="B606" s="154" t="s">
        <v>41</v>
      </c>
      <c r="C606" s="154">
        <v>9</v>
      </c>
      <c r="D606" s="153" t="s">
        <v>3380</v>
      </c>
      <c r="E606" s="154" t="s">
        <v>1391</v>
      </c>
      <c r="F606" s="154" t="s">
        <v>1392</v>
      </c>
      <c r="G606" s="154" t="s">
        <v>1290</v>
      </c>
      <c r="H606" s="154"/>
      <c r="I606" s="154"/>
      <c r="J606" s="154" t="s">
        <v>74</v>
      </c>
      <c r="K606" s="154" t="s">
        <v>3394</v>
      </c>
      <c r="L606" s="154"/>
      <c r="M606" s="156"/>
      <c r="N606" s="154" t="str">
        <f>IF(ISNUMBER(PL[[#This Row],[CTO]]),"CTO "&amp;PL[[#This Row],[CTO]],"Otros")</f>
        <v>CTO 9</v>
      </c>
      <c r="O606" s="154" t="str">
        <f>IF(PL[[#This Row],[STATUS IUP]]="CERRADO","CERRADO",IF(ISNUMBER(SEARCH("validacion de enel",PL[[#This Row],[SUPPLIER NOTES]])),"PTE Validar Enel","ABIERTO"))</f>
        <v>CERRADO</v>
      </c>
      <c r="P606" s="154" t="str">
        <f>IF(PL[[#This Row],[ESTADO]]="CERRADO","Cerrados IUP",IF(PL[[#This Row],[ESTADO]]="PTE Validar Enel","Pendiente cierre ENEL",IF(ISNUMBER(SEARCH("suministro",PL[[#This Row],[SUPPLIER NOTES]])),"Suministros",IF(PL[[#This Row],[SC]]="SOCIAL","Social",IF(ISNUMBER(SEARCH("monolito",PL[[#This Row],[DESCRIPTION]])),"Monolitos","Varios")))))</f>
        <v>Cerrados IUP</v>
      </c>
      <c r="Q6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7" spans="1:17" s="157" customFormat="1" hidden="1" x14ac:dyDescent="0.2">
      <c r="A607" s="151" t="s">
        <v>1435</v>
      </c>
      <c r="B607" s="154" t="s">
        <v>1432</v>
      </c>
      <c r="C607" s="154">
        <v>9</v>
      </c>
      <c r="D607" s="153" t="s">
        <v>3380</v>
      </c>
      <c r="E607" s="154" t="s">
        <v>1436</v>
      </c>
      <c r="F607" s="154" t="s">
        <v>1437</v>
      </c>
      <c r="G607" s="154" t="s">
        <v>1290</v>
      </c>
      <c r="H607" s="154" t="s">
        <v>163</v>
      </c>
      <c r="I607" s="154" t="s">
        <v>163</v>
      </c>
      <c r="J607" s="154" t="s">
        <v>74</v>
      </c>
      <c r="K607" s="154" t="s">
        <v>3394</v>
      </c>
      <c r="L607" s="161">
        <v>46212</v>
      </c>
      <c r="M607" s="160">
        <v>46212</v>
      </c>
      <c r="N607" s="154" t="str">
        <f>IF(ISNUMBER(PL[[#This Row],[CTO]]),"CTO "&amp;PL[[#This Row],[CTO]],"Otros")</f>
        <v>CTO 9</v>
      </c>
      <c r="O607" s="154" t="str">
        <f>IF(PL[[#This Row],[STATUS IUP]]="CERRADO","CERRADO",IF(ISNUMBER(SEARCH("validacion de enel",PL[[#This Row],[SUPPLIER NOTES]])),"PTE Validar Enel","ABIERTO"))</f>
        <v>CERRADO</v>
      </c>
      <c r="P607" s="154" t="str">
        <f>IF(PL[[#This Row],[ESTADO]]="CERRADO","Cerrados IUP",IF(PL[[#This Row],[ESTADO]]="PTE Validar Enel","Pendiente cierre ENEL",IF(ISNUMBER(SEARCH("suministro",PL[[#This Row],[SUPPLIER NOTES]])),"Suministros",IF(PL[[#This Row],[SC]]="SOCIAL","Social",IF(ISNUMBER(SEARCH("monolito",PL[[#This Row],[DESCRIPTION]])),"Monolitos","Varios")))))</f>
        <v>Cerrados IUP</v>
      </c>
      <c r="Q6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8" spans="1:17" s="157" customFormat="1" hidden="1" x14ac:dyDescent="0.2">
      <c r="A608" s="151" t="s">
        <v>1431</v>
      </c>
      <c r="B608" s="154" t="s">
        <v>1432</v>
      </c>
      <c r="C608" s="154">
        <v>9</v>
      </c>
      <c r="D608" s="153" t="s">
        <v>3380</v>
      </c>
      <c r="E608" s="154" t="s">
        <v>1433</v>
      </c>
      <c r="F608" s="154" t="s">
        <v>1434</v>
      </c>
      <c r="G608" s="154" t="s">
        <v>1290</v>
      </c>
      <c r="H608" s="154" t="s">
        <v>163</v>
      </c>
      <c r="I608" s="154" t="s">
        <v>163</v>
      </c>
      <c r="J608" s="154" t="s">
        <v>74</v>
      </c>
      <c r="K608" s="154" t="s">
        <v>3394</v>
      </c>
      <c r="L608" s="161">
        <v>46212</v>
      </c>
      <c r="M608" s="160">
        <v>46212</v>
      </c>
      <c r="N608" s="154" t="str">
        <f>IF(ISNUMBER(PL[[#This Row],[CTO]]),"CTO "&amp;PL[[#This Row],[CTO]],"Otros")</f>
        <v>CTO 9</v>
      </c>
      <c r="O608" s="154" t="str">
        <f>IF(PL[[#This Row],[STATUS IUP]]="CERRADO","CERRADO",IF(ISNUMBER(SEARCH("validacion de enel",PL[[#This Row],[SUPPLIER NOTES]])),"PTE Validar Enel","ABIERTO"))</f>
        <v>CERRADO</v>
      </c>
      <c r="P608" s="154" t="str">
        <f>IF(PL[[#This Row],[ESTADO]]="CERRADO","Cerrados IUP",IF(PL[[#This Row],[ESTADO]]="PTE Validar Enel","Pendiente cierre ENEL",IF(ISNUMBER(SEARCH("suministro",PL[[#This Row],[SUPPLIER NOTES]])),"Suministros",IF(PL[[#This Row],[SC]]="SOCIAL","Social",IF(ISNUMBER(SEARCH("monolito",PL[[#This Row],[DESCRIPTION]])),"Monolitos","Varios")))))</f>
        <v>Cerrados IUP</v>
      </c>
      <c r="Q6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09" spans="1:17" s="157" customFormat="1" hidden="1" x14ac:dyDescent="0.2">
      <c r="A609" s="151" t="s">
        <v>1494</v>
      </c>
      <c r="B609" s="154" t="s">
        <v>1432</v>
      </c>
      <c r="C609" s="154">
        <v>9</v>
      </c>
      <c r="D609" s="153" t="s">
        <v>3380</v>
      </c>
      <c r="E609" s="154" t="s">
        <v>1495</v>
      </c>
      <c r="F609" s="154" t="s">
        <v>1496</v>
      </c>
      <c r="G609" s="154" t="s">
        <v>1290</v>
      </c>
      <c r="H609" s="154" t="s">
        <v>1497</v>
      </c>
      <c r="I609" s="154" t="s">
        <v>73</v>
      </c>
      <c r="J609" s="154" t="s">
        <v>74</v>
      </c>
      <c r="K609" s="154" t="s">
        <v>3394</v>
      </c>
      <c r="L609" s="161">
        <v>46233</v>
      </c>
      <c r="M609" s="160">
        <v>46230</v>
      </c>
      <c r="N609" s="154" t="str">
        <f>IF(ISNUMBER(PL[[#This Row],[CTO]]),"CTO "&amp;PL[[#This Row],[CTO]],"Otros")</f>
        <v>CTO 9</v>
      </c>
      <c r="O609" s="154" t="str">
        <f>IF(PL[[#This Row],[STATUS IUP]]="CERRADO","CERRADO",IF(ISNUMBER(SEARCH("validacion de enel",PL[[#This Row],[SUPPLIER NOTES]])),"PTE Validar Enel","ABIERTO"))</f>
        <v>CERRADO</v>
      </c>
      <c r="P609" s="154" t="str">
        <f>IF(PL[[#This Row],[ESTADO]]="CERRADO","Cerrados IUP",IF(PL[[#This Row],[ESTADO]]="PTE Validar Enel","Pendiente cierre ENEL",IF(ISNUMBER(SEARCH("suministro",PL[[#This Row],[SUPPLIER NOTES]])),"Suministros",IF(PL[[#This Row],[SC]]="SOCIAL","Social",IF(ISNUMBER(SEARCH("monolito",PL[[#This Row],[DESCRIPTION]])),"Monolitos","Varios")))))</f>
        <v>Cerrados IUP</v>
      </c>
      <c r="Q6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0" spans="1:17" s="157" customFormat="1" hidden="1" x14ac:dyDescent="0.2">
      <c r="A610" s="151" t="s">
        <v>1428</v>
      </c>
      <c r="B610" s="154" t="s">
        <v>1266</v>
      </c>
      <c r="C610" s="154">
        <v>9</v>
      </c>
      <c r="D610" s="153" t="s">
        <v>3380</v>
      </c>
      <c r="E610" s="154" t="s">
        <v>1429</v>
      </c>
      <c r="F610" s="154" t="s">
        <v>1430</v>
      </c>
      <c r="G610" s="154" t="s">
        <v>1290</v>
      </c>
      <c r="H610" s="154"/>
      <c r="I610" s="154"/>
      <c r="J610" s="154" t="s">
        <v>74</v>
      </c>
      <c r="K610" s="154" t="s">
        <v>3394</v>
      </c>
      <c r="L610" s="154"/>
      <c r="M610" s="156"/>
      <c r="N610" s="154" t="str">
        <f>IF(ISNUMBER(PL[[#This Row],[CTO]]),"CTO "&amp;PL[[#This Row],[CTO]],"Otros")</f>
        <v>CTO 9</v>
      </c>
      <c r="O610" s="154" t="str">
        <f>IF(PL[[#This Row],[STATUS IUP]]="CERRADO","CERRADO",IF(ISNUMBER(SEARCH("validacion de enel",PL[[#This Row],[SUPPLIER NOTES]])),"PTE Validar Enel","ABIERTO"))</f>
        <v>CERRADO</v>
      </c>
      <c r="P610" s="154" t="str">
        <f>IF(PL[[#This Row],[ESTADO]]="CERRADO","Cerrados IUP",IF(PL[[#This Row],[ESTADO]]="PTE Validar Enel","Pendiente cierre ENEL",IF(ISNUMBER(SEARCH("suministro",PL[[#This Row],[SUPPLIER NOTES]])),"Suministros",IF(PL[[#This Row],[SC]]="SOCIAL","Social",IF(ISNUMBER(SEARCH("monolito",PL[[#This Row],[DESCRIPTION]])),"Monolitos","Varios")))))</f>
        <v>Cerrados IUP</v>
      </c>
      <c r="Q6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1" spans="1:17" s="157" customFormat="1" ht="16" hidden="1" x14ac:dyDescent="0.2">
      <c r="A611" s="151" t="s">
        <v>1498</v>
      </c>
      <c r="B611" s="152" t="s">
        <v>1452</v>
      </c>
      <c r="C611" s="154">
        <v>9</v>
      </c>
      <c r="D611" s="153" t="s">
        <v>3380</v>
      </c>
      <c r="E611" s="154" t="s">
        <v>1499</v>
      </c>
      <c r="F611" s="152" t="s">
        <v>1500</v>
      </c>
      <c r="G611" s="154" t="s">
        <v>1290</v>
      </c>
      <c r="H611" s="154"/>
      <c r="I611" s="154"/>
      <c r="J611" s="154" t="s">
        <v>74</v>
      </c>
      <c r="K611" s="154" t="s">
        <v>3394</v>
      </c>
      <c r="L611" s="155">
        <v>46293</v>
      </c>
      <c r="M611" s="156"/>
      <c r="N611" s="154" t="str">
        <f>IF(ISNUMBER(PL[[#This Row],[CTO]]),"CTO "&amp;PL[[#This Row],[CTO]],"Otros")</f>
        <v>CTO 9</v>
      </c>
      <c r="O611" s="154" t="str">
        <f>IF(PL[[#This Row],[STATUS IUP]]="CERRADO","CERRADO",IF(ISNUMBER(SEARCH("validacion de enel",PL[[#This Row],[SUPPLIER NOTES]])),"PTE Validar Enel","ABIERTO"))</f>
        <v>CERRADO</v>
      </c>
      <c r="P611" s="154" t="str">
        <f>IF(PL[[#This Row],[ESTADO]]="CERRADO","Cerrados IUP",IF(PL[[#This Row],[ESTADO]]="PTE Validar Enel","Pendiente cierre ENEL",IF(ISNUMBER(SEARCH("suministro",PL[[#This Row],[SUPPLIER NOTES]])),"Suministros",IF(PL[[#This Row],[SC]]="SOCIAL","Social",IF(ISNUMBER(SEARCH("monolito",PL[[#This Row],[DESCRIPTION]])),"Monolitos","Varios")))))</f>
        <v>Cerrados IUP</v>
      </c>
      <c r="Q6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2" spans="1:17" s="157" customFormat="1" hidden="1" x14ac:dyDescent="0.2">
      <c r="A612" s="151" t="s">
        <v>1502</v>
      </c>
      <c r="B612" s="154" t="s">
        <v>8</v>
      </c>
      <c r="C612" s="154">
        <v>9</v>
      </c>
      <c r="D612" s="153" t="s">
        <v>3380</v>
      </c>
      <c r="E612" s="154" t="s">
        <v>1503</v>
      </c>
      <c r="F612" s="154" t="s">
        <v>1504</v>
      </c>
      <c r="G612" s="154" t="s">
        <v>1290</v>
      </c>
      <c r="H612" s="154" t="s">
        <v>163</v>
      </c>
      <c r="I612" s="154" t="s">
        <v>163</v>
      </c>
      <c r="J612" s="154" t="s">
        <v>74</v>
      </c>
      <c r="K612" s="154" t="s">
        <v>3394</v>
      </c>
      <c r="L612" s="161">
        <v>46212</v>
      </c>
      <c r="M612" s="160">
        <v>46212</v>
      </c>
      <c r="N612" s="154" t="str">
        <f>IF(ISNUMBER(PL[[#This Row],[CTO]]),"CTO "&amp;PL[[#This Row],[CTO]],"Otros")</f>
        <v>CTO 9</v>
      </c>
      <c r="O612" s="154" t="str">
        <f>IF(PL[[#This Row],[STATUS IUP]]="CERRADO","CERRADO",IF(ISNUMBER(SEARCH("validacion de enel",PL[[#This Row],[SUPPLIER NOTES]])),"PTE Validar Enel","ABIERTO"))</f>
        <v>CERRADO</v>
      </c>
      <c r="P612" s="154" t="str">
        <f>IF(PL[[#This Row],[ESTADO]]="CERRADO","Cerrados IUP",IF(PL[[#This Row],[ESTADO]]="PTE Validar Enel","Pendiente cierre ENEL",IF(ISNUMBER(SEARCH("suministro",PL[[#This Row],[SUPPLIER NOTES]])),"Suministros",IF(PL[[#This Row],[SC]]="SOCIAL","Social",IF(ISNUMBER(SEARCH("monolito",PL[[#This Row],[DESCRIPTION]])),"Monolitos","Varios")))))</f>
        <v>Cerrados IUP</v>
      </c>
      <c r="Q6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3" spans="1:17" s="157" customFormat="1" hidden="1" x14ac:dyDescent="0.2">
      <c r="A613" s="151" t="s">
        <v>1409</v>
      </c>
      <c r="B613" s="154" t="s">
        <v>1266</v>
      </c>
      <c r="C613" s="154">
        <v>9</v>
      </c>
      <c r="D613" s="153" t="s">
        <v>3380</v>
      </c>
      <c r="E613" s="154" t="s">
        <v>1410</v>
      </c>
      <c r="F613" s="154" t="s">
        <v>1411</v>
      </c>
      <c r="G613" s="154" t="s">
        <v>1289</v>
      </c>
      <c r="H613" s="154" t="s">
        <v>1412</v>
      </c>
      <c r="I613" s="154"/>
      <c r="J613" s="154" t="s">
        <v>74</v>
      </c>
      <c r="K613" s="154" t="s">
        <v>3394</v>
      </c>
      <c r="L613" s="154"/>
      <c r="M613" s="160">
        <v>46161</v>
      </c>
      <c r="N613" s="154" t="str">
        <f>IF(ISNUMBER(PL[[#This Row],[CTO]]),"CTO "&amp;PL[[#This Row],[CTO]],"Otros")</f>
        <v>CTO 9</v>
      </c>
      <c r="O613" s="154" t="str">
        <f>IF(PL[[#This Row],[STATUS IUP]]="CERRADO","CERRADO",IF(ISNUMBER(SEARCH("validacion de enel",PL[[#This Row],[SUPPLIER NOTES]])),"PTE Validar Enel","ABIERTO"))</f>
        <v>CERRADO</v>
      </c>
      <c r="P613" s="154" t="str">
        <f>IF(PL[[#This Row],[ESTADO]]="CERRADO","Cerrados IUP",IF(PL[[#This Row],[ESTADO]]="PTE Validar Enel","Pendiente cierre ENEL",IF(ISNUMBER(SEARCH("suministro",PL[[#This Row],[SUPPLIER NOTES]])),"Suministros",IF(PL[[#This Row],[SC]]="SOCIAL","Social",IF(ISNUMBER(SEARCH("monolito",PL[[#This Row],[DESCRIPTION]])),"Monolitos","Varios")))))</f>
        <v>Cerrados IUP</v>
      </c>
      <c r="Q6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4" spans="1:17" s="157" customFormat="1" ht="32" hidden="1" x14ac:dyDescent="0.2">
      <c r="A614" s="151" t="s">
        <v>1466</v>
      </c>
      <c r="B614" s="152" t="s">
        <v>1266</v>
      </c>
      <c r="C614" s="154">
        <v>9</v>
      </c>
      <c r="D614" s="153" t="s">
        <v>3380</v>
      </c>
      <c r="E614" s="154" t="s">
        <v>1467</v>
      </c>
      <c r="F614" s="152" t="s">
        <v>1468</v>
      </c>
      <c r="G614" s="154" t="s">
        <v>1289</v>
      </c>
      <c r="H614" s="154" t="s">
        <v>3454</v>
      </c>
      <c r="I614" s="154"/>
      <c r="J614" s="154" t="s">
        <v>74</v>
      </c>
      <c r="K614" s="154" t="s">
        <v>3394</v>
      </c>
      <c r="L614" s="155">
        <v>46294</v>
      </c>
      <c r="M614" s="160">
        <v>46140</v>
      </c>
      <c r="N614" s="154" t="str">
        <f>IF(ISNUMBER(PL[[#This Row],[CTO]]),"CTO "&amp;PL[[#This Row],[CTO]],"Otros")</f>
        <v>CTO 9</v>
      </c>
      <c r="O614" s="154" t="str">
        <f>IF(PL[[#This Row],[STATUS IUP]]="CERRADO","CERRADO",IF(ISNUMBER(SEARCH("validacion de enel",PL[[#This Row],[SUPPLIER NOTES]])),"PTE Validar Enel","ABIERTO"))</f>
        <v>CERRADO</v>
      </c>
      <c r="P614" s="154" t="str">
        <f>IF(PL[[#This Row],[ESTADO]]="CERRADO","Cerrados IUP",IF(PL[[#This Row],[ESTADO]]="PTE Validar Enel","Pendiente cierre ENEL",IF(ISNUMBER(SEARCH("suministro",PL[[#This Row],[SUPPLIER NOTES]])),"Suministros",IF(PL[[#This Row],[SC]]="SOCIAL","Social",IF(ISNUMBER(SEARCH("monolito",PL[[#This Row],[DESCRIPTION]])),"Monolitos","Varios")))))</f>
        <v>Cerrados IUP</v>
      </c>
      <c r="Q6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5" spans="1:17" s="157" customFormat="1" hidden="1" x14ac:dyDescent="0.2">
      <c r="A615" s="151" t="s">
        <v>3352</v>
      </c>
      <c r="B615" s="154" t="s">
        <v>1266</v>
      </c>
      <c r="C615" s="154">
        <v>9</v>
      </c>
      <c r="D615" s="153" t="s">
        <v>3380</v>
      </c>
      <c r="E615" s="154" t="s">
        <v>3353</v>
      </c>
      <c r="F615" s="154" t="s">
        <v>3354</v>
      </c>
      <c r="G615" s="154" t="s">
        <v>1289</v>
      </c>
      <c r="H615" s="154" t="s">
        <v>3355</v>
      </c>
      <c r="I615" s="154" t="s">
        <v>1520</v>
      </c>
      <c r="J615" s="154" t="s">
        <v>74</v>
      </c>
      <c r="K615" s="154" t="s">
        <v>3394</v>
      </c>
      <c r="L615" s="161">
        <v>46154</v>
      </c>
      <c r="M615" s="160">
        <v>46140</v>
      </c>
      <c r="N615" s="154" t="str">
        <f>IF(ISNUMBER(PL[[#This Row],[CTO]]),"CTO "&amp;PL[[#This Row],[CTO]],"Otros")</f>
        <v>CTO 9</v>
      </c>
      <c r="O615" s="154" t="str">
        <f>IF(PL[[#This Row],[STATUS IUP]]="CERRADO","CERRADO",IF(ISNUMBER(SEARCH("validacion de enel",PL[[#This Row],[SUPPLIER NOTES]])),"PTE Validar Enel","ABIERTO"))</f>
        <v>CERRADO</v>
      </c>
      <c r="P615" s="154" t="str">
        <f>IF(PL[[#This Row],[ESTADO]]="CERRADO","Cerrados IUP",IF(PL[[#This Row],[ESTADO]]="PTE Validar Enel","Pendiente cierre ENEL",IF(ISNUMBER(SEARCH("suministro",PL[[#This Row],[SUPPLIER NOTES]])),"Suministros",IF(PL[[#This Row],[SC]]="SOCIAL","Social",IF(ISNUMBER(SEARCH("monolito",PL[[#This Row],[DESCRIPTION]])),"Monolitos","Varios")))))</f>
        <v>Cerrados IUP</v>
      </c>
      <c r="Q6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6" spans="1:17" ht="16" hidden="1" x14ac:dyDescent="0.2">
      <c r="A616" s="86" t="s">
        <v>1508</v>
      </c>
      <c r="B616" s="115" t="s">
        <v>1440</v>
      </c>
      <c r="C616" s="82">
        <v>9</v>
      </c>
      <c r="D616" s="88" t="s">
        <v>3380</v>
      </c>
      <c r="E616" s="87" t="s">
        <v>1509</v>
      </c>
      <c r="F616" s="115" t="s">
        <v>1510</v>
      </c>
      <c r="G616" s="82" t="s">
        <v>1289</v>
      </c>
      <c r="H616" s="87" t="s">
        <v>3454</v>
      </c>
      <c r="I616" s="87"/>
      <c r="J616" s="87" t="s">
        <v>11</v>
      </c>
      <c r="K616" s="87" t="s">
        <v>3393</v>
      </c>
      <c r="L616" s="87"/>
      <c r="M616" s="89"/>
      <c r="N616" s="87" t="str">
        <f>IF(ISNUMBER(PL[[#This Row],[CTO]]),"CTO "&amp;PL[[#This Row],[CTO]],"Otros")</f>
        <v>CTO 9</v>
      </c>
      <c r="O616" s="87" t="str">
        <f>IF(PL[[#This Row],[STATUS IUP]]="CERRADO","CERRADO",IF(ISNUMBER(SEARCH("validacion de enel",PL[[#This Row],[SUPPLIER NOTES]])),"PTE Validar Enel","ABIERTO"))</f>
        <v>PTE Validar Enel</v>
      </c>
      <c r="P61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1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7" spans="1:17" s="157" customFormat="1" hidden="1" x14ac:dyDescent="0.2">
      <c r="A617" s="151" t="s">
        <v>1406</v>
      </c>
      <c r="B617" s="154" t="s">
        <v>8</v>
      </c>
      <c r="C617" s="154">
        <v>9</v>
      </c>
      <c r="D617" s="153" t="s">
        <v>3380</v>
      </c>
      <c r="E617" s="154" t="s">
        <v>1407</v>
      </c>
      <c r="F617" s="154" t="s">
        <v>1408</v>
      </c>
      <c r="G617" s="154" t="s">
        <v>1289</v>
      </c>
      <c r="H617" s="154"/>
      <c r="I617" s="154"/>
      <c r="J617" s="154" t="s">
        <v>74</v>
      </c>
      <c r="K617" s="154" t="s">
        <v>3394</v>
      </c>
      <c r="L617" s="154"/>
      <c r="M617" s="156"/>
      <c r="N617" s="154" t="str">
        <f>IF(ISNUMBER(PL[[#This Row],[CTO]]),"CTO "&amp;PL[[#This Row],[CTO]],"Otros")</f>
        <v>CTO 9</v>
      </c>
      <c r="O617" s="154" t="str">
        <f>IF(PL[[#This Row],[STATUS IUP]]="CERRADO","CERRADO",IF(ISNUMBER(SEARCH("validacion de enel",PL[[#This Row],[SUPPLIER NOTES]])),"PTE Validar Enel","ABIERTO"))</f>
        <v>CERRADO</v>
      </c>
      <c r="P617" s="154" t="str">
        <f>IF(PL[[#This Row],[ESTADO]]="CERRADO","Cerrados IUP",IF(PL[[#This Row],[ESTADO]]="PTE Validar Enel","Pendiente cierre ENEL",IF(ISNUMBER(SEARCH("suministro",PL[[#This Row],[SUPPLIER NOTES]])),"Suministros",IF(PL[[#This Row],[SC]]="SOCIAL","Social",IF(ISNUMBER(SEARCH("monolito",PL[[#This Row],[DESCRIPTION]])),"Monolitos","Varios")))))</f>
        <v>Cerrados IUP</v>
      </c>
      <c r="Q6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8" spans="1:17" ht="16" hidden="1" x14ac:dyDescent="0.2">
      <c r="A618" s="86" t="s">
        <v>1554</v>
      </c>
      <c r="B618" s="115" t="s">
        <v>8</v>
      </c>
      <c r="C618" s="82">
        <v>9</v>
      </c>
      <c r="D618" s="88" t="s">
        <v>3380</v>
      </c>
      <c r="E618" s="87" t="s">
        <v>1555</v>
      </c>
      <c r="F618" s="115" t="s">
        <v>1556</v>
      </c>
      <c r="G618" s="82" t="s">
        <v>1289</v>
      </c>
      <c r="H618" s="87" t="s">
        <v>3454</v>
      </c>
      <c r="I618" s="87"/>
      <c r="J618" s="87" t="s">
        <v>11</v>
      </c>
      <c r="K618" s="87" t="s">
        <v>3393</v>
      </c>
      <c r="L618" s="87"/>
      <c r="M618" s="89"/>
      <c r="N618" s="87" t="str">
        <f>IF(ISNUMBER(PL[[#This Row],[CTO]]),"CTO "&amp;PL[[#This Row],[CTO]],"Otros")</f>
        <v>CTO 9</v>
      </c>
      <c r="O618" s="87" t="str">
        <f>IF(PL[[#This Row],[STATUS IUP]]="CERRADO","CERRADO",IF(ISNUMBER(SEARCH("validacion de enel",PL[[#This Row],[SUPPLIER NOTES]])),"PTE Validar Enel","ABIERTO"))</f>
        <v>PTE Validar Enel</v>
      </c>
      <c r="P61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1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19" spans="1:17" s="157" customFormat="1" hidden="1" x14ac:dyDescent="0.2">
      <c r="A619" s="151" t="s">
        <v>1539</v>
      </c>
      <c r="B619" s="154" t="s">
        <v>41</v>
      </c>
      <c r="C619" s="154">
        <v>9</v>
      </c>
      <c r="D619" s="153" t="s">
        <v>3380</v>
      </c>
      <c r="E619" s="154" t="s">
        <v>1540</v>
      </c>
      <c r="F619" s="154" t="s">
        <v>1541</v>
      </c>
      <c r="G619" s="154" t="s">
        <v>1289</v>
      </c>
      <c r="H619" s="154" t="s">
        <v>1520</v>
      </c>
      <c r="I619" s="154" t="s">
        <v>1520</v>
      </c>
      <c r="J619" s="154" t="s">
        <v>74</v>
      </c>
      <c r="K619" s="154" t="s">
        <v>3394</v>
      </c>
      <c r="L619" s="161">
        <v>46154</v>
      </c>
      <c r="M619" s="160">
        <v>46154</v>
      </c>
      <c r="N619" s="154" t="str">
        <f>IF(ISNUMBER(PL[[#This Row],[CTO]]),"CTO "&amp;PL[[#This Row],[CTO]],"Otros")</f>
        <v>CTO 9</v>
      </c>
      <c r="O619" s="154" t="str">
        <f>IF(PL[[#This Row],[STATUS IUP]]="CERRADO","CERRADO",IF(ISNUMBER(SEARCH("validacion de enel",PL[[#This Row],[SUPPLIER NOTES]])),"PTE Validar Enel","ABIERTO"))</f>
        <v>CERRADO</v>
      </c>
      <c r="P619" s="154" t="str">
        <f>IF(PL[[#This Row],[ESTADO]]="CERRADO","Cerrados IUP",IF(PL[[#This Row],[ESTADO]]="PTE Validar Enel","Pendiente cierre ENEL",IF(ISNUMBER(SEARCH("suministro",PL[[#This Row],[SUPPLIER NOTES]])),"Suministros",IF(PL[[#This Row],[SC]]="SOCIAL","Social",IF(ISNUMBER(SEARCH("monolito",PL[[#This Row],[DESCRIPTION]])),"Monolitos","Varios")))))</f>
        <v>Cerrados IUP</v>
      </c>
      <c r="Q6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0" spans="1:17" s="157" customFormat="1" hidden="1" x14ac:dyDescent="0.2">
      <c r="A620" s="151" t="s">
        <v>3012</v>
      </c>
      <c r="B620" s="154" t="s">
        <v>41</v>
      </c>
      <c r="C620" s="154">
        <v>9</v>
      </c>
      <c r="D620" s="153" t="s">
        <v>3380</v>
      </c>
      <c r="E620" s="154" t="s">
        <v>3013</v>
      </c>
      <c r="F620" s="154" t="s">
        <v>3014</v>
      </c>
      <c r="G620" s="154" t="s">
        <v>1289</v>
      </c>
      <c r="H620" s="154" t="s">
        <v>3015</v>
      </c>
      <c r="I620" s="154" t="s">
        <v>1520</v>
      </c>
      <c r="J620" s="154" t="s">
        <v>74</v>
      </c>
      <c r="K620" s="154" t="s">
        <v>3394</v>
      </c>
      <c r="L620" s="161">
        <v>46154</v>
      </c>
      <c r="M620" s="160">
        <v>46140</v>
      </c>
      <c r="N620" s="154" t="str">
        <f>IF(ISNUMBER(PL[[#This Row],[CTO]]),"CTO "&amp;PL[[#This Row],[CTO]],"Otros")</f>
        <v>CTO 9</v>
      </c>
      <c r="O620" s="154" t="str">
        <f>IF(PL[[#This Row],[STATUS IUP]]="CERRADO","CERRADO",IF(ISNUMBER(SEARCH("validacion de enel",PL[[#This Row],[SUPPLIER NOTES]])),"PTE Validar Enel","ABIERTO"))</f>
        <v>CERRADO</v>
      </c>
      <c r="P620" s="154" t="str">
        <f>IF(PL[[#This Row],[ESTADO]]="CERRADO","Cerrados IUP",IF(PL[[#This Row],[ESTADO]]="PTE Validar Enel","Pendiente cierre ENEL",IF(ISNUMBER(SEARCH("suministro",PL[[#This Row],[SUPPLIER NOTES]])),"Suministros",IF(PL[[#This Row],[SC]]="SOCIAL","Social",IF(ISNUMBER(SEARCH("monolito",PL[[#This Row],[DESCRIPTION]])),"Monolitos","Varios")))))</f>
        <v>Cerrados IUP</v>
      </c>
      <c r="Q6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1" spans="1:17" s="157" customFormat="1" hidden="1" x14ac:dyDescent="0.2">
      <c r="A621" s="151" t="s">
        <v>1533</v>
      </c>
      <c r="B621" s="154" t="s">
        <v>41</v>
      </c>
      <c r="C621" s="154">
        <v>9</v>
      </c>
      <c r="D621" s="153" t="s">
        <v>3380</v>
      </c>
      <c r="E621" s="154" t="s">
        <v>1534</v>
      </c>
      <c r="F621" s="154" t="s">
        <v>1535</v>
      </c>
      <c r="G621" s="154" t="s">
        <v>1289</v>
      </c>
      <c r="H621" s="154"/>
      <c r="I621" s="154"/>
      <c r="J621" s="154" t="s">
        <v>74</v>
      </c>
      <c r="K621" s="154" t="s">
        <v>3394</v>
      </c>
      <c r="L621" s="154"/>
      <c r="M621" s="156"/>
      <c r="N621" s="154" t="str">
        <f>IF(ISNUMBER(PL[[#This Row],[CTO]]),"CTO "&amp;PL[[#This Row],[CTO]],"Otros")</f>
        <v>CTO 9</v>
      </c>
      <c r="O621" s="154" t="str">
        <f>IF(PL[[#This Row],[STATUS IUP]]="CERRADO","CERRADO",IF(ISNUMBER(SEARCH("validacion de enel",PL[[#This Row],[SUPPLIER NOTES]])),"PTE Validar Enel","ABIERTO"))</f>
        <v>CERRADO</v>
      </c>
      <c r="P621" s="154" t="str">
        <f>IF(PL[[#This Row],[ESTADO]]="CERRADO","Cerrados IUP",IF(PL[[#This Row],[ESTADO]]="PTE Validar Enel","Pendiente cierre ENEL",IF(ISNUMBER(SEARCH("suministro",PL[[#This Row],[SUPPLIER NOTES]])),"Suministros",IF(PL[[#This Row],[SC]]="SOCIAL","Social",IF(ISNUMBER(SEARCH("monolito",PL[[#This Row],[DESCRIPTION]])),"Monolitos","Varios")))))</f>
        <v>Cerrados IUP</v>
      </c>
      <c r="Q6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2" spans="1:17" s="157" customFormat="1" hidden="1" x14ac:dyDescent="0.2">
      <c r="A622" s="151" t="s">
        <v>1551</v>
      </c>
      <c r="B622" s="154" t="s">
        <v>41</v>
      </c>
      <c r="C622" s="154">
        <v>9</v>
      </c>
      <c r="D622" s="153" t="s">
        <v>3380</v>
      </c>
      <c r="E622" s="154" t="s">
        <v>1552</v>
      </c>
      <c r="F622" s="154" t="s">
        <v>1553</v>
      </c>
      <c r="G622" s="154" t="s">
        <v>1289</v>
      </c>
      <c r="H622" s="154"/>
      <c r="I622" s="154"/>
      <c r="J622" s="154" t="s">
        <v>74</v>
      </c>
      <c r="K622" s="154" t="s">
        <v>3394</v>
      </c>
      <c r="L622" s="154"/>
      <c r="M622" s="156"/>
      <c r="N622" s="154" t="str">
        <f>IF(ISNUMBER(PL[[#This Row],[CTO]]),"CTO "&amp;PL[[#This Row],[CTO]],"Otros")</f>
        <v>CTO 9</v>
      </c>
      <c r="O622" s="154" t="str">
        <f>IF(PL[[#This Row],[STATUS IUP]]="CERRADO","CERRADO",IF(ISNUMBER(SEARCH("validacion de enel",PL[[#This Row],[SUPPLIER NOTES]])),"PTE Validar Enel","ABIERTO"))</f>
        <v>CERRADO</v>
      </c>
      <c r="P622" s="154" t="str">
        <f>IF(PL[[#This Row],[ESTADO]]="CERRADO","Cerrados IUP",IF(PL[[#This Row],[ESTADO]]="PTE Validar Enel","Pendiente cierre ENEL",IF(ISNUMBER(SEARCH("suministro",PL[[#This Row],[SUPPLIER NOTES]])),"Suministros",IF(PL[[#This Row],[SC]]="SOCIAL","Social",IF(ISNUMBER(SEARCH("monolito",PL[[#This Row],[DESCRIPTION]])),"Monolitos","Varios")))))</f>
        <v>Cerrados IUP</v>
      </c>
      <c r="Q6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3" spans="1:17" ht="16" hidden="1" x14ac:dyDescent="0.2">
      <c r="A623" s="86" t="s">
        <v>1521</v>
      </c>
      <c r="B623" s="115" t="s">
        <v>41</v>
      </c>
      <c r="C623" s="82">
        <v>9</v>
      </c>
      <c r="D623" s="88" t="s">
        <v>3380</v>
      </c>
      <c r="E623" s="87" t="s">
        <v>1522</v>
      </c>
      <c r="F623" s="115" t="s">
        <v>1523</v>
      </c>
      <c r="G623" s="82" t="s">
        <v>1289</v>
      </c>
      <c r="H623" s="87" t="s">
        <v>3454</v>
      </c>
      <c r="I623" s="87"/>
      <c r="J623" s="87" t="s">
        <v>11</v>
      </c>
      <c r="K623" s="87" t="s">
        <v>3393</v>
      </c>
      <c r="L623" s="87"/>
      <c r="M623" s="89"/>
      <c r="N623" s="87" t="str">
        <f>IF(ISNUMBER(PL[[#This Row],[CTO]]),"CTO "&amp;PL[[#This Row],[CTO]],"Otros")</f>
        <v>CTO 9</v>
      </c>
      <c r="O623" s="87" t="str">
        <f>IF(PL[[#This Row],[STATUS IUP]]="CERRADO","CERRADO",IF(ISNUMBER(SEARCH("validacion de enel",PL[[#This Row],[SUPPLIER NOTES]])),"PTE Validar Enel","ABIERTO"))</f>
        <v>PTE Validar Enel</v>
      </c>
      <c r="P62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2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4" spans="1:17" s="157" customFormat="1" ht="32" hidden="1" x14ac:dyDescent="0.2">
      <c r="A624" s="151" t="s">
        <v>1530</v>
      </c>
      <c r="B624" s="152" t="s">
        <v>1432</v>
      </c>
      <c r="C624" s="154">
        <v>9</v>
      </c>
      <c r="D624" s="153" t="s">
        <v>3380</v>
      </c>
      <c r="E624" s="154" t="s">
        <v>1531</v>
      </c>
      <c r="F624" s="152" t="s">
        <v>1487</v>
      </c>
      <c r="G624" s="154" t="s">
        <v>1289</v>
      </c>
      <c r="H624" s="154"/>
      <c r="I624" s="154"/>
      <c r="J624" s="154" t="s">
        <v>74</v>
      </c>
      <c r="K624" s="154" t="s">
        <v>3394</v>
      </c>
      <c r="L624" s="154"/>
      <c r="M624" s="156"/>
      <c r="N624" s="154" t="str">
        <f>IF(ISNUMBER(PL[[#This Row],[CTO]]),"CTO "&amp;PL[[#This Row],[CTO]],"Otros")</f>
        <v>CTO 9</v>
      </c>
      <c r="O624" s="154" t="str">
        <f>IF(PL[[#This Row],[STATUS IUP]]="CERRADO","CERRADO",IF(ISNUMBER(SEARCH("validacion de enel",PL[[#This Row],[SUPPLIER NOTES]])),"PTE Validar Enel","ABIERTO"))</f>
        <v>CERRADO</v>
      </c>
      <c r="P624" s="154" t="str">
        <f>IF(PL[[#This Row],[ESTADO]]="CERRADO","Cerrados IUP",IF(PL[[#This Row],[ESTADO]]="PTE Validar Enel","Pendiente cierre ENEL",IF(ISNUMBER(SEARCH("suministro",PL[[#This Row],[SUPPLIER NOTES]])),"Suministros",IF(PL[[#This Row],[SC]]="SOCIAL","Social",IF(ISNUMBER(SEARCH("monolito",PL[[#This Row],[DESCRIPTION]])),"Monolitos","Varios")))))</f>
        <v>Cerrados IUP</v>
      </c>
      <c r="Q6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5" spans="1:17" ht="32" hidden="1" x14ac:dyDescent="0.2">
      <c r="A625" s="86" t="s">
        <v>1511</v>
      </c>
      <c r="B625" s="115" t="s">
        <v>1432</v>
      </c>
      <c r="C625" s="82">
        <v>9</v>
      </c>
      <c r="D625" s="88" t="s">
        <v>3380</v>
      </c>
      <c r="E625" s="87" t="s">
        <v>1512</v>
      </c>
      <c r="F625" s="115" t="s">
        <v>1513</v>
      </c>
      <c r="G625" s="82" t="s">
        <v>1289</v>
      </c>
      <c r="H625" s="87" t="s">
        <v>3454</v>
      </c>
      <c r="I625" s="87"/>
      <c r="J625" s="87" t="s">
        <v>1369</v>
      </c>
      <c r="K625" s="87" t="s">
        <v>3393</v>
      </c>
      <c r="L625" s="87"/>
      <c r="M625" s="162">
        <v>46161</v>
      </c>
      <c r="N625" s="87" t="str">
        <f>IF(ISNUMBER(PL[[#This Row],[CTO]]),"CTO "&amp;PL[[#This Row],[CTO]],"Otros")</f>
        <v>CTO 9</v>
      </c>
      <c r="O625" s="87" t="str">
        <f>IF(PL[[#This Row],[STATUS IUP]]="CERRADO","CERRADO",IF(ISNUMBER(SEARCH("validacion de enel",PL[[#This Row],[SUPPLIER NOTES]])),"PTE Validar Enel","ABIERTO"))</f>
        <v>PTE Validar Enel</v>
      </c>
      <c r="P62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2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6" spans="1:17" ht="16" hidden="1" x14ac:dyDescent="0.2">
      <c r="A626" s="86" t="s">
        <v>1425</v>
      </c>
      <c r="B626" s="115" t="s">
        <v>8</v>
      </c>
      <c r="C626" s="82">
        <v>9</v>
      </c>
      <c r="D626" s="88" t="s">
        <v>3380</v>
      </c>
      <c r="E626" s="87" t="s">
        <v>1426</v>
      </c>
      <c r="F626" s="115" t="s">
        <v>1427</v>
      </c>
      <c r="G626" s="82" t="s">
        <v>1289</v>
      </c>
      <c r="H626" s="87" t="s">
        <v>3454</v>
      </c>
      <c r="I626" s="87"/>
      <c r="J626" s="87" t="s">
        <v>11</v>
      </c>
      <c r="K626" s="87" t="s">
        <v>3393</v>
      </c>
      <c r="L626" s="87"/>
      <c r="M626" s="89"/>
      <c r="N626" s="87" t="str">
        <f>IF(ISNUMBER(PL[[#This Row],[CTO]]),"CTO "&amp;PL[[#This Row],[CTO]],"Otros")</f>
        <v>CTO 9</v>
      </c>
      <c r="O626" s="87" t="str">
        <f>IF(PL[[#This Row],[STATUS IUP]]="CERRADO","CERRADO",IF(ISNUMBER(SEARCH("validacion de enel",PL[[#This Row],[SUPPLIER NOTES]])),"PTE Validar Enel","ABIERTO"))</f>
        <v>PTE Validar Enel</v>
      </c>
      <c r="P62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2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7" spans="1:17" s="157" customFormat="1" hidden="1" x14ac:dyDescent="0.2">
      <c r="A627" s="151" t="s">
        <v>1527</v>
      </c>
      <c r="B627" s="154" t="s">
        <v>41</v>
      </c>
      <c r="C627" s="154">
        <v>9</v>
      </c>
      <c r="D627" s="153" t="s">
        <v>3380</v>
      </c>
      <c r="E627" s="154" t="s">
        <v>1528</v>
      </c>
      <c r="F627" s="154" t="s">
        <v>1529</v>
      </c>
      <c r="G627" s="154" t="s">
        <v>1289</v>
      </c>
      <c r="H627" s="154"/>
      <c r="I627" s="154"/>
      <c r="J627" s="154" t="s">
        <v>74</v>
      </c>
      <c r="K627" s="154" t="s">
        <v>3394</v>
      </c>
      <c r="L627" s="154"/>
      <c r="M627" s="156"/>
      <c r="N627" s="154" t="str">
        <f>IF(ISNUMBER(PL[[#This Row],[CTO]]),"CTO "&amp;PL[[#This Row],[CTO]],"Otros")</f>
        <v>CTO 9</v>
      </c>
      <c r="O627" s="154" t="str">
        <f>IF(PL[[#This Row],[STATUS IUP]]="CERRADO","CERRADO",IF(ISNUMBER(SEARCH("validacion de enel",PL[[#This Row],[SUPPLIER NOTES]])),"PTE Validar Enel","ABIERTO"))</f>
        <v>CERRADO</v>
      </c>
      <c r="P627" s="154" t="str">
        <f>IF(PL[[#This Row],[ESTADO]]="CERRADO","Cerrados IUP",IF(PL[[#This Row],[ESTADO]]="PTE Validar Enel","Pendiente cierre ENEL",IF(ISNUMBER(SEARCH("suministro",PL[[#This Row],[SUPPLIER NOTES]])),"Suministros",IF(PL[[#This Row],[SC]]="SOCIAL","Social",IF(ISNUMBER(SEARCH("monolito",PL[[#This Row],[DESCRIPTION]])),"Monolitos","Varios")))))</f>
        <v>Cerrados IUP</v>
      </c>
      <c r="Q6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8" spans="1:17" s="157" customFormat="1" hidden="1" x14ac:dyDescent="0.2">
      <c r="A628" s="151" t="s">
        <v>1416</v>
      </c>
      <c r="B628" s="154" t="s">
        <v>8</v>
      </c>
      <c r="C628" s="154">
        <v>9</v>
      </c>
      <c r="D628" s="153" t="s">
        <v>3380</v>
      </c>
      <c r="E628" s="154" t="s">
        <v>1417</v>
      </c>
      <c r="F628" s="154" t="s">
        <v>1418</v>
      </c>
      <c r="G628" s="154" t="s">
        <v>1289</v>
      </c>
      <c r="H628" s="154"/>
      <c r="I628" s="154"/>
      <c r="J628" s="154" t="s">
        <v>74</v>
      </c>
      <c r="K628" s="154" t="s">
        <v>3394</v>
      </c>
      <c r="L628" s="154"/>
      <c r="M628" s="156"/>
      <c r="N628" s="154" t="str">
        <f>IF(ISNUMBER(PL[[#This Row],[CTO]]),"CTO "&amp;PL[[#This Row],[CTO]],"Otros")</f>
        <v>CTO 9</v>
      </c>
      <c r="O628" s="154" t="str">
        <f>IF(PL[[#This Row],[STATUS IUP]]="CERRADO","CERRADO",IF(ISNUMBER(SEARCH("validacion de enel",PL[[#This Row],[SUPPLIER NOTES]])),"PTE Validar Enel","ABIERTO"))</f>
        <v>CERRADO</v>
      </c>
      <c r="P628" s="154" t="str">
        <f>IF(PL[[#This Row],[ESTADO]]="CERRADO","Cerrados IUP",IF(PL[[#This Row],[ESTADO]]="PTE Validar Enel","Pendiente cierre ENEL",IF(ISNUMBER(SEARCH("suministro",PL[[#This Row],[SUPPLIER NOTES]])),"Suministros",IF(PL[[#This Row],[SC]]="SOCIAL","Social",IF(ISNUMBER(SEARCH("monolito",PL[[#This Row],[DESCRIPTION]])),"Monolitos","Varios")))))</f>
        <v>Cerrados IUP</v>
      </c>
      <c r="Q6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29" spans="1:17" s="157" customFormat="1" hidden="1" x14ac:dyDescent="0.2">
      <c r="A629" s="151" t="s">
        <v>1545</v>
      </c>
      <c r="B629" s="154" t="s">
        <v>8</v>
      </c>
      <c r="C629" s="154">
        <v>9</v>
      </c>
      <c r="D629" s="153" t="s">
        <v>3380</v>
      </c>
      <c r="E629" s="154" t="s">
        <v>1546</v>
      </c>
      <c r="F629" s="154" t="s">
        <v>1547</v>
      </c>
      <c r="G629" s="154" t="s">
        <v>128</v>
      </c>
      <c r="H629" s="154" t="s">
        <v>163</v>
      </c>
      <c r="I629" s="154" t="s">
        <v>163</v>
      </c>
      <c r="J629" s="154" t="s">
        <v>74</v>
      </c>
      <c r="K629" s="154" t="s">
        <v>3394</v>
      </c>
      <c r="L629" s="161">
        <v>46154</v>
      </c>
      <c r="M629" s="160">
        <v>46154</v>
      </c>
      <c r="N629" s="154" t="str">
        <f>IF(ISNUMBER(PL[[#This Row],[CTO]]),"CTO "&amp;PL[[#This Row],[CTO]],"Otros")</f>
        <v>CTO 9</v>
      </c>
      <c r="O629" s="154" t="str">
        <f>IF(PL[[#This Row],[STATUS IUP]]="CERRADO","CERRADO",IF(ISNUMBER(SEARCH("validacion de enel",PL[[#This Row],[SUPPLIER NOTES]])),"PTE Validar Enel","ABIERTO"))</f>
        <v>CERRADO</v>
      </c>
      <c r="P629" s="154" t="str">
        <f>IF(PL[[#This Row],[ESTADO]]="CERRADO","Cerrados IUP",IF(PL[[#This Row],[ESTADO]]="PTE Validar Enel","Pendiente cierre ENEL",IF(ISNUMBER(SEARCH("suministro",PL[[#This Row],[SUPPLIER NOTES]])),"Suministros",IF(PL[[#This Row],[SC]]="SOCIAL","Social",IF(ISNUMBER(SEARCH("monolito",PL[[#This Row],[DESCRIPTION]])),"Monolitos","Varios")))))</f>
        <v>Cerrados IUP</v>
      </c>
      <c r="Q6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0" spans="1:17" s="157" customFormat="1" hidden="1" x14ac:dyDescent="0.2">
      <c r="A630" s="151" t="s">
        <v>1524</v>
      </c>
      <c r="B630" s="154" t="s">
        <v>8</v>
      </c>
      <c r="C630" s="154">
        <v>9</v>
      </c>
      <c r="D630" s="153" t="s">
        <v>3380</v>
      </c>
      <c r="E630" s="154" t="s">
        <v>1525</v>
      </c>
      <c r="F630" s="154" t="s">
        <v>1526</v>
      </c>
      <c r="G630" s="154" t="s">
        <v>128</v>
      </c>
      <c r="H630" s="154" t="s">
        <v>163</v>
      </c>
      <c r="I630" s="154" t="s">
        <v>163</v>
      </c>
      <c r="J630" s="154" t="s">
        <v>74</v>
      </c>
      <c r="K630" s="154" t="s">
        <v>3394</v>
      </c>
      <c r="L630" s="161">
        <v>46154</v>
      </c>
      <c r="M630" s="160">
        <v>46154</v>
      </c>
      <c r="N630" s="154" t="str">
        <f>IF(ISNUMBER(PL[[#This Row],[CTO]]),"CTO "&amp;PL[[#This Row],[CTO]],"Otros")</f>
        <v>CTO 9</v>
      </c>
      <c r="O630" s="154" t="str">
        <f>IF(PL[[#This Row],[STATUS IUP]]="CERRADO","CERRADO",IF(ISNUMBER(SEARCH("validacion de enel",PL[[#This Row],[SUPPLIER NOTES]])),"PTE Validar Enel","ABIERTO"))</f>
        <v>CERRADO</v>
      </c>
      <c r="P630" s="154" t="str">
        <f>IF(PL[[#This Row],[ESTADO]]="CERRADO","Cerrados IUP",IF(PL[[#This Row],[ESTADO]]="PTE Validar Enel","Pendiente cierre ENEL",IF(ISNUMBER(SEARCH("suministro",PL[[#This Row],[SUPPLIER NOTES]])),"Suministros",IF(PL[[#This Row],[SC]]="SOCIAL","Social",IF(ISNUMBER(SEARCH("monolito",PL[[#This Row],[DESCRIPTION]])),"Monolitos","Varios")))))</f>
        <v>Cerrados IUP</v>
      </c>
      <c r="Q6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1" spans="1:17" s="157" customFormat="1" hidden="1" x14ac:dyDescent="0.2">
      <c r="A631" s="151" t="s">
        <v>1536</v>
      </c>
      <c r="B631" s="154" t="s">
        <v>8</v>
      </c>
      <c r="C631" s="154">
        <v>9</v>
      </c>
      <c r="D631" s="153" t="s">
        <v>3380</v>
      </c>
      <c r="E631" s="154" t="s">
        <v>1537</v>
      </c>
      <c r="F631" s="154" t="s">
        <v>1538</v>
      </c>
      <c r="G631" s="154" t="s">
        <v>128</v>
      </c>
      <c r="H631" s="154" t="s">
        <v>163</v>
      </c>
      <c r="I631" s="154" t="s">
        <v>163</v>
      </c>
      <c r="J631" s="154" t="s">
        <v>74</v>
      </c>
      <c r="K631" s="154" t="s">
        <v>3394</v>
      </c>
      <c r="L631" s="161">
        <v>46154</v>
      </c>
      <c r="M631" s="160">
        <v>46154</v>
      </c>
      <c r="N631" s="154" t="str">
        <f>IF(ISNUMBER(PL[[#This Row],[CTO]]),"CTO "&amp;PL[[#This Row],[CTO]],"Otros")</f>
        <v>CTO 9</v>
      </c>
      <c r="O631" s="154" t="str">
        <f>IF(PL[[#This Row],[STATUS IUP]]="CERRADO","CERRADO",IF(ISNUMBER(SEARCH("validacion de enel",PL[[#This Row],[SUPPLIER NOTES]])),"PTE Validar Enel","ABIERTO"))</f>
        <v>CERRADO</v>
      </c>
      <c r="P631" s="154" t="str">
        <f>IF(PL[[#This Row],[ESTADO]]="CERRADO","Cerrados IUP",IF(PL[[#This Row],[ESTADO]]="PTE Validar Enel","Pendiente cierre ENEL",IF(ISNUMBER(SEARCH("suministro",PL[[#This Row],[SUPPLIER NOTES]])),"Suministros",IF(PL[[#This Row],[SC]]="SOCIAL","Social",IF(ISNUMBER(SEARCH("monolito",PL[[#This Row],[DESCRIPTION]])),"Monolitos","Varios")))))</f>
        <v>Cerrados IUP</v>
      </c>
      <c r="Q6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2" spans="1:17" s="157" customFormat="1" hidden="1" x14ac:dyDescent="0.2">
      <c r="A632" s="151" t="s">
        <v>1413</v>
      </c>
      <c r="B632" s="154" t="s">
        <v>8</v>
      </c>
      <c r="C632" s="154">
        <v>9</v>
      </c>
      <c r="D632" s="153" t="s">
        <v>3380</v>
      </c>
      <c r="E632" s="154" t="s">
        <v>1414</v>
      </c>
      <c r="F632" s="154" t="s">
        <v>1415</v>
      </c>
      <c r="G632" s="154" t="s">
        <v>128</v>
      </c>
      <c r="H632" s="154" t="s">
        <v>163</v>
      </c>
      <c r="I632" s="154" t="s">
        <v>163</v>
      </c>
      <c r="J632" s="154" t="s">
        <v>74</v>
      </c>
      <c r="K632" s="154" t="s">
        <v>3394</v>
      </c>
      <c r="L632" s="161">
        <v>46154</v>
      </c>
      <c r="M632" s="160">
        <v>46154</v>
      </c>
      <c r="N632" s="154" t="str">
        <f>IF(ISNUMBER(PL[[#This Row],[CTO]]),"CTO "&amp;PL[[#This Row],[CTO]],"Otros")</f>
        <v>CTO 9</v>
      </c>
      <c r="O632" s="154" t="str">
        <f>IF(PL[[#This Row],[STATUS IUP]]="CERRADO","CERRADO",IF(ISNUMBER(SEARCH("validacion de enel",PL[[#This Row],[SUPPLIER NOTES]])),"PTE Validar Enel","ABIERTO"))</f>
        <v>CERRADO</v>
      </c>
      <c r="P632" s="154" t="str">
        <f>IF(PL[[#This Row],[ESTADO]]="CERRADO","Cerrados IUP",IF(PL[[#This Row],[ESTADO]]="PTE Validar Enel","Pendiente cierre ENEL",IF(ISNUMBER(SEARCH("suministro",PL[[#This Row],[SUPPLIER NOTES]])),"Suministros",IF(PL[[#This Row],[SC]]="SOCIAL","Social",IF(ISNUMBER(SEARCH("monolito",PL[[#This Row],[DESCRIPTION]])),"Monolitos","Varios")))))</f>
        <v>Cerrados IUP</v>
      </c>
      <c r="Q6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3" spans="1:17" s="157" customFormat="1" hidden="1" x14ac:dyDescent="0.2">
      <c r="A633" s="151" t="s">
        <v>1422</v>
      </c>
      <c r="B633" s="154" t="s">
        <v>8</v>
      </c>
      <c r="C633" s="154">
        <v>9</v>
      </c>
      <c r="D633" s="153" t="s">
        <v>3380</v>
      </c>
      <c r="E633" s="154" t="s">
        <v>1423</v>
      </c>
      <c r="F633" s="154" t="s">
        <v>1424</v>
      </c>
      <c r="G633" s="154" t="s">
        <v>128</v>
      </c>
      <c r="H633" s="154" t="s">
        <v>163</v>
      </c>
      <c r="I633" s="154" t="s">
        <v>163</v>
      </c>
      <c r="J633" s="154" t="s">
        <v>74</v>
      </c>
      <c r="K633" s="154" t="s">
        <v>3394</v>
      </c>
      <c r="L633" s="161">
        <v>46154</v>
      </c>
      <c r="M633" s="160">
        <v>46154</v>
      </c>
      <c r="N633" s="154" t="str">
        <f>IF(ISNUMBER(PL[[#This Row],[CTO]]),"CTO "&amp;PL[[#This Row],[CTO]],"Otros")</f>
        <v>CTO 9</v>
      </c>
      <c r="O633" s="154" t="str">
        <f>IF(PL[[#This Row],[STATUS IUP]]="CERRADO","CERRADO",IF(ISNUMBER(SEARCH("validacion de enel",PL[[#This Row],[SUPPLIER NOTES]])),"PTE Validar Enel","ABIERTO"))</f>
        <v>CERRADO</v>
      </c>
      <c r="P633" s="154" t="str">
        <f>IF(PL[[#This Row],[ESTADO]]="CERRADO","Cerrados IUP",IF(PL[[#This Row],[ESTADO]]="PTE Validar Enel","Pendiente cierre ENEL",IF(ISNUMBER(SEARCH("suministro",PL[[#This Row],[SUPPLIER NOTES]])),"Suministros",IF(PL[[#This Row],[SC]]="SOCIAL","Social",IF(ISNUMBER(SEARCH("monolito",PL[[#This Row],[DESCRIPTION]])),"Monolitos","Varios")))))</f>
        <v>Cerrados IUP</v>
      </c>
      <c r="Q6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4" spans="1:17" s="157" customFormat="1" hidden="1" x14ac:dyDescent="0.2">
      <c r="A634" s="151" t="s">
        <v>1419</v>
      </c>
      <c r="B634" s="154" t="s">
        <v>8</v>
      </c>
      <c r="C634" s="154">
        <v>9</v>
      </c>
      <c r="D634" s="153" t="s">
        <v>3380</v>
      </c>
      <c r="E634" s="154" t="s">
        <v>1420</v>
      </c>
      <c r="F634" s="154" t="s">
        <v>1421</v>
      </c>
      <c r="G634" s="154" t="s">
        <v>128</v>
      </c>
      <c r="H634" s="154" t="s">
        <v>73</v>
      </c>
      <c r="I634" s="154" t="s">
        <v>73</v>
      </c>
      <c r="J634" s="154" t="s">
        <v>74</v>
      </c>
      <c r="K634" s="154" t="s">
        <v>3394</v>
      </c>
      <c r="L634" s="161">
        <v>46210</v>
      </c>
      <c r="M634" s="160">
        <v>46210</v>
      </c>
      <c r="N634" s="154" t="str">
        <f>IF(ISNUMBER(PL[[#This Row],[CTO]]),"CTO "&amp;PL[[#This Row],[CTO]],"Otros")</f>
        <v>CTO 9</v>
      </c>
      <c r="O634" s="154" t="str">
        <f>IF(PL[[#This Row],[STATUS IUP]]="CERRADO","CERRADO",IF(ISNUMBER(SEARCH("validacion de enel",PL[[#This Row],[SUPPLIER NOTES]])),"PTE Validar Enel","ABIERTO"))</f>
        <v>CERRADO</v>
      </c>
      <c r="P634" s="154" t="str">
        <f>IF(PL[[#This Row],[ESTADO]]="CERRADO","Cerrados IUP",IF(PL[[#This Row],[ESTADO]]="PTE Validar Enel","Pendiente cierre ENEL",IF(ISNUMBER(SEARCH("suministro",PL[[#This Row],[SUPPLIER NOTES]])),"Suministros",IF(PL[[#This Row],[SC]]="SOCIAL","Social",IF(ISNUMBER(SEARCH("monolito",PL[[#This Row],[DESCRIPTION]])),"Monolitos","Varios")))))</f>
        <v>Cerrados IUP</v>
      </c>
      <c r="Q6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5" spans="1:17" s="157" customFormat="1" hidden="1" x14ac:dyDescent="0.2">
      <c r="A635" s="151" t="s">
        <v>1548</v>
      </c>
      <c r="B635" s="154" t="s">
        <v>8</v>
      </c>
      <c r="C635" s="154">
        <v>9</v>
      </c>
      <c r="D635" s="153" t="s">
        <v>3380</v>
      </c>
      <c r="E635" s="154" t="s">
        <v>1549</v>
      </c>
      <c r="F635" s="154" t="s">
        <v>1550</v>
      </c>
      <c r="G635" s="154" t="s">
        <v>128</v>
      </c>
      <c r="H635" s="154" t="s">
        <v>163</v>
      </c>
      <c r="I635" s="154" t="s">
        <v>163</v>
      </c>
      <c r="J635" s="154" t="s">
        <v>74</v>
      </c>
      <c r="K635" s="154" t="s">
        <v>3394</v>
      </c>
      <c r="L635" s="161">
        <v>46154</v>
      </c>
      <c r="M635" s="160">
        <v>46154</v>
      </c>
      <c r="N635" s="154" t="str">
        <f>IF(ISNUMBER(PL[[#This Row],[CTO]]),"CTO "&amp;PL[[#This Row],[CTO]],"Otros")</f>
        <v>CTO 9</v>
      </c>
      <c r="O635" s="154" t="str">
        <f>IF(PL[[#This Row],[STATUS IUP]]="CERRADO","CERRADO",IF(ISNUMBER(SEARCH("validacion de enel",PL[[#This Row],[SUPPLIER NOTES]])),"PTE Validar Enel","ABIERTO"))</f>
        <v>CERRADO</v>
      </c>
      <c r="P635" s="154" t="str">
        <f>IF(PL[[#This Row],[ESTADO]]="CERRADO","Cerrados IUP",IF(PL[[#This Row],[ESTADO]]="PTE Validar Enel","Pendiente cierre ENEL",IF(ISNUMBER(SEARCH("suministro",PL[[#This Row],[SUPPLIER NOTES]])),"Suministros",IF(PL[[#This Row],[SC]]="SOCIAL","Social",IF(ISNUMBER(SEARCH("monolito",PL[[#This Row],[DESCRIPTION]])),"Monolitos","Varios")))))</f>
        <v>Cerrados IUP</v>
      </c>
      <c r="Q6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6" spans="1:17" s="157" customFormat="1" hidden="1" x14ac:dyDescent="0.2">
      <c r="A636" s="151" t="s">
        <v>1542</v>
      </c>
      <c r="B636" s="154" t="s">
        <v>8</v>
      </c>
      <c r="C636" s="154">
        <v>9</v>
      </c>
      <c r="D636" s="153" t="s">
        <v>3380</v>
      </c>
      <c r="E636" s="154" t="s">
        <v>1543</v>
      </c>
      <c r="F636" s="154" t="s">
        <v>1544</v>
      </c>
      <c r="G636" s="154" t="s">
        <v>216</v>
      </c>
      <c r="H636" s="154"/>
      <c r="I636" s="154"/>
      <c r="J636" s="154" t="s">
        <v>74</v>
      </c>
      <c r="K636" s="154" t="s">
        <v>3394</v>
      </c>
      <c r="L636" s="154"/>
      <c r="M636" s="156"/>
      <c r="N636" s="154" t="str">
        <f>IF(ISNUMBER(PL[[#This Row],[CTO]]),"CTO "&amp;PL[[#This Row],[CTO]],"Otros")</f>
        <v>CTO 9</v>
      </c>
      <c r="O636" s="154" t="str">
        <f>IF(PL[[#This Row],[STATUS IUP]]="CERRADO","CERRADO",IF(ISNUMBER(SEARCH("validacion de enel",PL[[#This Row],[SUPPLIER NOTES]])),"PTE Validar Enel","ABIERTO"))</f>
        <v>CERRADO</v>
      </c>
      <c r="P636" s="154" t="str">
        <f>IF(PL[[#This Row],[ESTADO]]="CERRADO","Cerrados IUP",IF(PL[[#This Row],[ESTADO]]="PTE Validar Enel","Pendiente cierre ENEL",IF(ISNUMBER(SEARCH("suministro",PL[[#This Row],[SUPPLIER NOTES]])),"Suministros",IF(PL[[#This Row],[SC]]="SOCIAL","Social",IF(ISNUMBER(SEARCH("monolito",PL[[#This Row],[DESCRIPTION]])),"Monolitos","Varios")))))</f>
        <v>Cerrados IUP</v>
      </c>
      <c r="Q6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7" spans="1:17" s="157" customFormat="1" hidden="1" x14ac:dyDescent="0.2">
      <c r="A637" s="151" t="s">
        <v>3337</v>
      </c>
      <c r="B637" s="154" t="s">
        <v>8</v>
      </c>
      <c r="C637" s="154">
        <v>9</v>
      </c>
      <c r="D637" s="153" t="s">
        <v>3380</v>
      </c>
      <c r="E637" s="154" t="s">
        <v>3338</v>
      </c>
      <c r="F637" s="154" t="s">
        <v>3339</v>
      </c>
      <c r="G637" s="154" t="s">
        <v>128</v>
      </c>
      <c r="H637" s="154"/>
      <c r="I637" s="154" t="s">
        <v>1520</v>
      </c>
      <c r="J637" s="154" t="s">
        <v>74</v>
      </c>
      <c r="K637" s="154" t="s">
        <v>3394</v>
      </c>
      <c r="L637" s="161">
        <v>46154</v>
      </c>
      <c r="M637" s="160">
        <v>46140</v>
      </c>
      <c r="N637" s="154" t="str">
        <f>IF(ISNUMBER(PL[[#This Row],[CTO]]),"CTO "&amp;PL[[#This Row],[CTO]],"Otros")</f>
        <v>CTO 9</v>
      </c>
      <c r="O637" s="154" t="str">
        <f>IF(PL[[#This Row],[STATUS IUP]]="CERRADO","CERRADO",IF(ISNUMBER(SEARCH("validacion de enel",PL[[#This Row],[SUPPLIER NOTES]])),"PTE Validar Enel","ABIERTO"))</f>
        <v>CERRADO</v>
      </c>
      <c r="P637" s="154" t="str">
        <f>IF(PL[[#This Row],[ESTADO]]="CERRADO","Cerrados IUP",IF(PL[[#This Row],[ESTADO]]="PTE Validar Enel","Pendiente cierre ENEL",IF(ISNUMBER(SEARCH("suministro",PL[[#This Row],[SUPPLIER NOTES]])),"Suministros",IF(PL[[#This Row],[SC]]="SOCIAL","Social",IF(ISNUMBER(SEARCH("monolito",PL[[#This Row],[DESCRIPTION]])),"Monolitos","Varios")))))</f>
        <v>Cerrados IUP</v>
      </c>
      <c r="Q6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8" spans="1:17" s="157" customFormat="1" hidden="1" x14ac:dyDescent="0.2">
      <c r="A638" s="151" t="s">
        <v>3016</v>
      </c>
      <c r="B638" s="154" t="s">
        <v>8</v>
      </c>
      <c r="C638" s="154">
        <v>9</v>
      </c>
      <c r="D638" s="153" t="s">
        <v>3380</v>
      </c>
      <c r="E638" s="154" t="s">
        <v>3017</v>
      </c>
      <c r="F638" s="154" t="s">
        <v>3018</v>
      </c>
      <c r="G638" s="154" t="s">
        <v>128</v>
      </c>
      <c r="H638" s="154" t="s">
        <v>3019</v>
      </c>
      <c r="I638" s="154" t="s">
        <v>73</v>
      </c>
      <c r="J638" s="154" t="s">
        <v>74</v>
      </c>
      <c r="K638" s="154" t="s">
        <v>3394</v>
      </c>
      <c r="L638" s="161">
        <v>46211</v>
      </c>
      <c r="M638" s="160">
        <v>46140</v>
      </c>
      <c r="N638" s="154" t="str">
        <f>IF(ISNUMBER(PL[[#This Row],[CTO]]),"CTO "&amp;PL[[#This Row],[CTO]],"Otros")</f>
        <v>CTO 9</v>
      </c>
      <c r="O638" s="154" t="str">
        <f>IF(PL[[#This Row],[STATUS IUP]]="CERRADO","CERRADO",IF(ISNUMBER(SEARCH("validacion de enel",PL[[#This Row],[SUPPLIER NOTES]])),"PTE Validar Enel","ABIERTO"))</f>
        <v>CERRADO</v>
      </c>
      <c r="P638" s="154" t="str">
        <f>IF(PL[[#This Row],[ESTADO]]="CERRADO","Cerrados IUP",IF(PL[[#This Row],[ESTADO]]="PTE Validar Enel","Pendiente cierre ENEL",IF(ISNUMBER(SEARCH("suministro",PL[[#This Row],[SUPPLIER NOTES]])),"Suministros",IF(PL[[#This Row],[SC]]="SOCIAL","Social",IF(ISNUMBER(SEARCH("monolito",PL[[#This Row],[DESCRIPTION]])),"Monolitos","Varios")))))</f>
        <v>Cerrados IUP</v>
      </c>
      <c r="Q6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39" spans="1:17" s="157" customFormat="1" hidden="1" x14ac:dyDescent="0.2">
      <c r="A639" s="151" t="s">
        <v>1505</v>
      </c>
      <c r="B639" s="154" t="s">
        <v>8</v>
      </c>
      <c r="C639" s="154">
        <v>9</v>
      </c>
      <c r="D639" s="153" t="s">
        <v>3380</v>
      </c>
      <c r="E639" s="154" t="s">
        <v>1506</v>
      </c>
      <c r="F639" s="154" t="s">
        <v>1507</v>
      </c>
      <c r="G639" s="154" t="s">
        <v>128</v>
      </c>
      <c r="H639" s="154"/>
      <c r="I639" s="154"/>
      <c r="J639" s="154" t="s">
        <v>74</v>
      </c>
      <c r="K639" s="154" t="s">
        <v>3394</v>
      </c>
      <c r="L639" s="154"/>
      <c r="M639" s="156"/>
      <c r="N639" s="154" t="str">
        <f>IF(ISNUMBER(PL[[#This Row],[CTO]]),"CTO "&amp;PL[[#This Row],[CTO]],"Otros")</f>
        <v>CTO 9</v>
      </c>
      <c r="O639" s="154" t="str">
        <f>IF(PL[[#This Row],[STATUS IUP]]="CERRADO","CERRADO",IF(ISNUMBER(SEARCH("validacion de enel",PL[[#This Row],[SUPPLIER NOTES]])),"PTE Validar Enel","ABIERTO"))</f>
        <v>CERRADO</v>
      </c>
      <c r="P639" s="154" t="str">
        <f>IF(PL[[#This Row],[ESTADO]]="CERRADO","Cerrados IUP",IF(PL[[#This Row],[ESTADO]]="PTE Validar Enel","Pendiente cierre ENEL",IF(ISNUMBER(SEARCH("suministro",PL[[#This Row],[SUPPLIER NOTES]])),"Suministros",IF(PL[[#This Row],[SC]]="SOCIAL","Social",IF(ISNUMBER(SEARCH("monolito",PL[[#This Row],[DESCRIPTION]])),"Monolitos","Varios")))))</f>
        <v>Cerrados IUP</v>
      </c>
      <c r="Q6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0" spans="1:17" s="157" customFormat="1" hidden="1" x14ac:dyDescent="0.2">
      <c r="A640" s="151" t="s">
        <v>1488</v>
      </c>
      <c r="B640" s="154" t="s">
        <v>8</v>
      </c>
      <c r="C640" s="154">
        <v>9</v>
      </c>
      <c r="D640" s="153" t="s">
        <v>3380</v>
      </c>
      <c r="E640" s="154" t="s">
        <v>1489</v>
      </c>
      <c r="F640" s="154" t="s">
        <v>1490</v>
      </c>
      <c r="G640" s="154" t="s">
        <v>128</v>
      </c>
      <c r="H640" s="154"/>
      <c r="I640" s="154"/>
      <c r="J640" s="154" t="s">
        <v>74</v>
      </c>
      <c r="K640" s="154" t="s">
        <v>3394</v>
      </c>
      <c r="L640" s="154"/>
      <c r="M640" s="156"/>
      <c r="N640" s="154" t="str">
        <f>IF(ISNUMBER(PL[[#This Row],[CTO]]),"CTO "&amp;PL[[#This Row],[CTO]],"Otros")</f>
        <v>CTO 9</v>
      </c>
      <c r="O640" s="154" t="str">
        <f>IF(PL[[#This Row],[STATUS IUP]]="CERRADO","CERRADO",IF(ISNUMBER(SEARCH("validacion de enel",PL[[#This Row],[SUPPLIER NOTES]])),"PTE Validar Enel","ABIERTO"))</f>
        <v>CERRADO</v>
      </c>
      <c r="P640" s="154" t="str">
        <f>IF(PL[[#This Row],[ESTADO]]="CERRADO","Cerrados IUP",IF(PL[[#This Row],[ESTADO]]="PTE Validar Enel","Pendiente cierre ENEL",IF(ISNUMBER(SEARCH("suministro",PL[[#This Row],[SUPPLIER NOTES]])),"Suministros",IF(PL[[#This Row],[SC]]="SOCIAL","Social",IF(ISNUMBER(SEARCH("monolito",PL[[#This Row],[DESCRIPTION]])),"Monolitos","Varios")))))</f>
        <v>Cerrados IUP</v>
      </c>
      <c r="Q6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1" spans="1:17" s="157" customFormat="1" hidden="1" x14ac:dyDescent="0.2">
      <c r="A641" s="151" t="s">
        <v>1485</v>
      </c>
      <c r="B641" s="154" t="s">
        <v>1291</v>
      </c>
      <c r="C641" s="154">
        <v>9</v>
      </c>
      <c r="D641" s="153" t="s">
        <v>3380</v>
      </c>
      <c r="E641" s="154" t="s">
        <v>1486</v>
      </c>
      <c r="F641" s="154" t="s">
        <v>1487</v>
      </c>
      <c r="G641" s="154" t="s">
        <v>1289</v>
      </c>
      <c r="H641" s="154" t="s">
        <v>294</v>
      </c>
      <c r="I641" s="154" t="s">
        <v>294</v>
      </c>
      <c r="J641" s="154" t="s">
        <v>74</v>
      </c>
      <c r="K641" s="154" t="s">
        <v>3394</v>
      </c>
      <c r="L641" s="161">
        <v>46232</v>
      </c>
      <c r="M641" s="160">
        <v>46232</v>
      </c>
      <c r="N641" s="154" t="str">
        <f>IF(ISNUMBER(PL[[#This Row],[CTO]]),"CTO "&amp;PL[[#This Row],[CTO]],"Otros")</f>
        <v>CTO 9</v>
      </c>
      <c r="O641" s="154" t="str">
        <f>IF(PL[[#This Row],[STATUS IUP]]="CERRADO","CERRADO",IF(ISNUMBER(SEARCH("validacion de enel",PL[[#This Row],[SUPPLIER NOTES]])),"PTE Validar Enel","ABIERTO"))</f>
        <v>CERRADO</v>
      </c>
      <c r="P641" s="154" t="str">
        <f>IF(PL[[#This Row],[ESTADO]]="CERRADO","Cerrados IUP",IF(PL[[#This Row],[ESTADO]]="PTE Validar Enel","Pendiente cierre ENEL",IF(ISNUMBER(SEARCH("suministro",PL[[#This Row],[SUPPLIER NOTES]])),"Suministros",IF(PL[[#This Row],[SC]]="SOCIAL","Social",IF(ISNUMBER(SEARCH("monolito",PL[[#This Row],[DESCRIPTION]])),"Monolitos","Varios")))))</f>
        <v>Cerrados IUP</v>
      </c>
      <c r="Q6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2" spans="1:17" s="157" customFormat="1" hidden="1" x14ac:dyDescent="0.2">
      <c r="A642" s="151" t="s">
        <v>1482</v>
      </c>
      <c r="B642" s="154" t="s">
        <v>8</v>
      </c>
      <c r="C642" s="154">
        <v>9</v>
      </c>
      <c r="D642" s="153" t="s">
        <v>3380</v>
      </c>
      <c r="E642" s="154" t="s">
        <v>1483</v>
      </c>
      <c r="F642" s="154" t="s">
        <v>1484</v>
      </c>
      <c r="G642" s="154" t="s">
        <v>216</v>
      </c>
      <c r="H642" s="154"/>
      <c r="I642" s="154"/>
      <c r="J642" s="154" t="s">
        <v>74</v>
      </c>
      <c r="K642" s="154" t="s">
        <v>3394</v>
      </c>
      <c r="L642" s="154"/>
      <c r="M642" s="156"/>
      <c r="N642" s="154" t="str">
        <f>IF(ISNUMBER(PL[[#This Row],[CTO]]),"CTO "&amp;PL[[#This Row],[CTO]],"Otros")</f>
        <v>CTO 9</v>
      </c>
      <c r="O642" s="154" t="str">
        <f>IF(PL[[#This Row],[STATUS IUP]]="CERRADO","CERRADO",IF(ISNUMBER(SEARCH("validacion de enel",PL[[#This Row],[SUPPLIER NOTES]])),"PTE Validar Enel","ABIERTO"))</f>
        <v>CERRADO</v>
      </c>
      <c r="P642" s="154" t="str">
        <f>IF(PL[[#This Row],[ESTADO]]="CERRADO","Cerrados IUP",IF(PL[[#This Row],[ESTADO]]="PTE Validar Enel","Pendiente cierre ENEL",IF(ISNUMBER(SEARCH("suministro",PL[[#This Row],[SUPPLIER NOTES]])),"Suministros",IF(PL[[#This Row],[SC]]="SOCIAL","Social",IF(ISNUMBER(SEARCH("monolito",PL[[#This Row],[DESCRIPTION]])),"Monolitos","Varios")))))</f>
        <v>Cerrados IUP</v>
      </c>
      <c r="Q6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3" spans="1:17" s="157" customFormat="1" ht="16" hidden="1" x14ac:dyDescent="0.2">
      <c r="A643" s="151" t="s">
        <v>1479</v>
      </c>
      <c r="B643" s="152" t="s">
        <v>41</v>
      </c>
      <c r="C643" s="154">
        <v>9</v>
      </c>
      <c r="D643" s="153" t="s">
        <v>3380</v>
      </c>
      <c r="E643" s="154" t="s">
        <v>1480</v>
      </c>
      <c r="F643" s="152" t="s">
        <v>1481</v>
      </c>
      <c r="G643" s="154" t="s">
        <v>1289</v>
      </c>
      <c r="H643" s="154" t="s">
        <v>3454</v>
      </c>
      <c r="I643" s="154"/>
      <c r="J643" s="154" t="s">
        <v>74</v>
      </c>
      <c r="K643" s="154" t="s">
        <v>3394</v>
      </c>
      <c r="L643" s="155">
        <v>46294</v>
      </c>
      <c r="M643" s="156"/>
      <c r="N643" s="154" t="str">
        <f>IF(ISNUMBER(PL[[#This Row],[CTO]]),"CTO "&amp;PL[[#This Row],[CTO]],"Otros")</f>
        <v>CTO 9</v>
      </c>
      <c r="O643" s="154" t="str">
        <f>IF(PL[[#This Row],[STATUS IUP]]="CERRADO","CERRADO",IF(ISNUMBER(SEARCH("validacion de enel",PL[[#This Row],[SUPPLIER NOTES]])),"PTE Validar Enel","ABIERTO"))</f>
        <v>CERRADO</v>
      </c>
      <c r="P643" s="154" t="str">
        <f>IF(PL[[#This Row],[ESTADO]]="CERRADO","Cerrados IUP",IF(PL[[#This Row],[ESTADO]]="PTE Validar Enel","Pendiente cierre ENEL",IF(ISNUMBER(SEARCH("suministro",PL[[#This Row],[SUPPLIER NOTES]])),"Suministros",IF(PL[[#This Row],[SC]]="SOCIAL","Social",IF(ISNUMBER(SEARCH("monolito",PL[[#This Row],[DESCRIPTION]])),"Monolitos","Varios")))))</f>
        <v>Cerrados IUP</v>
      </c>
      <c r="Q6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4" spans="1:17" s="157" customFormat="1" hidden="1" x14ac:dyDescent="0.2">
      <c r="A644" s="151" t="s">
        <v>1515</v>
      </c>
      <c r="B644" s="154" t="s">
        <v>8</v>
      </c>
      <c r="C644" s="154">
        <v>9</v>
      </c>
      <c r="D644" s="153" t="s">
        <v>3380</v>
      </c>
      <c r="E644" s="154" t="s">
        <v>1516</v>
      </c>
      <c r="F644" s="154" t="s">
        <v>1517</v>
      </c>
      <c r="G644" s="154" t="s">
        <v>1289</v>
      </c>
      <c r="H644" s="154" t="s">
        <v>1519</v>
      </c>
      <c r="I644" s="154" t="s">
        <v>1520</v>
      </c>
      <c r="J644" s="154" t="s">
        <v>74</v>
      </c>
      <c r="K644" s="154" t="s">
        <v>3394</v>
      </c>
      <c r="L644" s="161">
        <v>46154</v>
      </c>
      <c r="M644" s="160">
        <v>46153</v>
      </c>
      <c r="N644" s="154" t="str">
        <f>IF(ISNUMBER(PL[[#This Row],[CTO]]),"CTO "&amp;PL[[#This Row],[CTO]],"Otros")</f>
        <v>CTO 9</v>
      </c>
      <c r="O644" s="154" t="str">
        <f>IF(PL[[#This Row],[STATUS IUP]]="CERRADO","CERRADO",IF(ISNUMBER(SEARCH("validacion de enel",PL[[#This Row],[SUPPLIER NOTES]])),"PTE Validar Enel","ABIERTO"))</f>
        <v>CERRADO</v>
      </c>
      <c r="P644" s="154" t="str">
        <f>IF(PL[[#This Row],[ESTADO]]="CERRADO","Cerrados IUP",IF(PL[[#This Row],[ESTADO]]="PTE Validar Enel","Pendiente cierre ENEL",IF(ISNUMBER(SEARCH("suministro",PL[[#This Row],[SUPPLIER NOTES]])),"Suministros",IF(PL[[#This Row],[SC]]="SOCIAL","Social",IF(ISNUMBER(SEARCH("monolito",PL[[#This Row],[DESCRIPTION]])),"Monolitos","Varios")))))</f>
        <v>Cerrados IUP</v>
      </c>
      <c r="Q6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5" spans="1:17" s="157" customFormat="1" hidden="1" x14ac:dyDescent="0.2">
      <c r="A645" s="151" t="s">
        <v>2633</v>
      </c>
      <c r="B645" s="154" t="s">
        <v>41</v>
      </c>
      <c r="C645" s="154">
        <v>9</v>
      </c>
      <c r="D645" s="153" t="s">
        <v>3380</v>
      </c>
      <c r="E645" s="154" t="s">
        <v>2425</v>
      </c>
      <c r="F645" s="154" t="s">
        <v>2634</v>
      </c>
      <c r="G645" s="154" t="s">
        <v>49</v>
      </c>
      <c r="H645" s="154" t="s">
        <v>2635</v>
      </c>
      <c r="I645" s="154" t="s">
        <v>2635</v>
      </c>
      <c r="J645" s="154" t="s">
        <v>74</v>
      </c>
      <c r="K645" s="154" t="s">
        <v>3394</v>
      </c>
      <c r="L645" s="161">
        <v>46213</v>
      </c>
      <c r="M645" s="160">
        <v>46213</v>
      </c>
      <c r="N645" s="154" t="str">
        <f>IF(ISNUMBER(PL[[#This Row],[CTO]]),"CTO "&amp;PL[[#This Row],[CTO]],"Otros")</f>
        <v>CTO 9</v>
      </c>
      <c r="O645" s="154" t="str">
        <f>IF(PL[[#This Row],[STATUS IUP]]="CERRADO","CERRADO",IF(ISNUMBER(SEARCH("validacion de enel",PL[[#This Row],[SUPPLIER NOTES]])),"PTE Validar Enel","ABIERTO"))</f>
        <v>CERRADO</v>
      </c>
      <c r="P645" s="154" t="str">
        <f>IF(PL[[#This Row],[ESTADO]]="CERRADO","Cerrados IUP",IF(PL[[#This Row],[ESTADO]]="PTE Validar Enel","Pendiente cierre ENEL",IF(ISNUMBER(SEARCH("suministro",PL[[#This Row],[SUPPLIER NOTES]])),"Suministros",IF(PL[[#This Row],[SC]]="SOCIAL","Social",IF(ISNUMBER(SEARCH("monolito",PL[[#This Row],[DESCRIPTION]])),"Monolitos","Varios")))))</f>
        <v>Cerrados IUP</v>
      </c>
      <c r="Q6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6" spans="1:17" s="157" customFormat="1" hidden="1" x14ac:dyDescent="0.2">
      <c r="A646" s="151" t="s">
        <v>2424</v>
      </c>
      <c r="B646" s="154" t="s">
        <v>41</v>
      </c>
      <c r="C646" s="154">
        <v>9</v>
      </c>
      <c r="D646" s="153" t="s">
        <v>3380</v>
      </c>
      <c r="E646" s="154" t="s">
        <v>2425</v>
      </c>
      <c r="F646" s="154" t="s">
        <v>2426</v>
      </c>
      <c r="G646" s="154" t="s">
        <v>49</v>
      </c>
      <c r="H646" s="154" t="s">
        <v>2427</v>
      </c>
      <c r="I646" s="154"/>
      <c r="J646" s="154" t="s">
        <v>74</v>
      </c>
      <c r="K646" s="154" t="s">
        <v>3394</v>
      </c>
      <c r="L646" s="154"/>
      <c r="M646" s="160">
        <v>46222</v>
      </c>
      <c r="N646" s="154" t="str">
        <f>IF(ISNUMBER(PL[[#This Row],[CTO]]),"CTO "&amp;PL[[#This Row],[CTO]],"Otros")</f>
        <v>CTO 9</v>
      </c>
      <c r="O646" s="154" t="str">
        <f>IF(PL[[#This Row],[STATUS IUP]]="CERRADO","CERRADO",IF(ISNUMBER(SEARCH("validacion de enel",PL[[#This Row],[SUPPLIER NOTES]])),"PTE Validar Enel","ABIERTO"))</f>
        <v>CERRADO</v>
      </c>
      <c r="P646" s="154" t="str">
        <f>IF(PL[[#This Row],[ESTADO]]="CERRADO","Cerrados IUP",IF(PL[[#This Row],[ESTADO]]="PTE Validar Enel","Pendiente cierre ENEL",IF(ISNUMBER(SEARCH("suministro",PL[[#This Row],[SUPPLIER NOTES]])),"Suministros",IF(PL[[#This Row],[SC]]="SOCIAL","Social",IF(ISNUMBER(SEARCH("monolito",PL[[#This Row],[DESCRIPTION]])),"Monolitos","Varios")))))</f>
        <v>Cerrados IUP</v>
      </c>
      <c r="Q6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7" spans="1:17" ht="16" hidden="1" x14ac:dyDescent="0.2">
      <c r="A647" s="86" t="s">
        <v>2803</v>
      </c>
      <c r="B647" s="115" t="s">
        <v>41</v>
      </c>
      <c r="C647" s="82">
        <v>9</v>
      </c>
      <c r="D647" s="88" t="s">
        <v>3380</v>
      </c>
      <c r="E647" s="87" t="s">
        <v>2425</v>
      </c>
      <c r="F647" s="115" t="s">
        <v>2804</v>
      </c>
      <c r="G647" s="87" t="s">
        <v>49</v>
      </c>
      <c r="H647" s="87" t="s">
        <v>3454</v>
      </c>
      <c r="I647" s="87"/>
      <c r="J647" s="87" t="s">
        <v>11</v>
      </c>
      <c r="K647" s="87" t="s">
        <v>3393</v>
      </c>
      <c r="L647" s="87"/>
      <c r="M647" s="89"/>
      <c r="N647" s="87" t="str">
        <f>IF(ISNUMBER(PL[[#This Row],[CTO]]),"CTO "&amp;PL[[#This Row],[CTO]],"Otros")</f>
        <v>CTO 9</v>
      </c>
      <c r="O647" s="87" t="str">
        <f>IF(PL[[#This Row],[STATUS IUP]]="CERRADO","CERRADO",IF(ISNUMBER(SEARCH("validacion de enel",PL[[#This Row],[SUPPLIER NOTES]])),"PTE Validar Enel","ABIERTO"))</f>
        <v>PTE Validar Enel</v>
      </c>
      <c r="P64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4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8" spans="1:17" s="157" customFormat="1" hidden="1" x14ac:dyDescent="0.2">
      <c r="A648" s="151" t="s">
        <v>2603</v>
      </c>
      <c r="B648" s="154" t="s">
        <v>41</v>
      </c>
      <c r="C648" s="154">
        <v>9</v>
      </c>
      <c r="D648" s="153" t="s">
        <v>3380</v>
      </c>
      <c r="E648" s="154" t="s">
        <v>2425</v>
      </c>
      <c r="F648" s="154" t="s">
        <v>2604</v>
      </c>
      <c r="G648" s="154" t="s">
        <v>49</v>
      </c>
      <c r="H648" s="154" t="s">
        <v>2605</v>
      </c>
      <c r="I648" s="154" t="s">
        <v>1520</v>
      </c>
      <c r="J648" s="154" t="s">
        <v>74</v>
      </c>
      <c r="K648" s="154" t="s">
        <v>3394</v>
      </c>
      <c r="L648" s="161">
        <v>46154</v>
      </c>
      <c r="M648" s="160">
        <v>46153</v>
      </c>
      <c r="N648" s="154" t="str">
        <f>IF(ISNUMBER(PL[[#This Row],[CTO]]),"CTO "&amp;PL[[#This Row],[CTO]],"Otros")</f>
        <v>CTO 9</v>
      </c>
      <c r="O648" s="154" t="str">
        <f>IF(PL[[#This Row],[STATUS IUP]]="CERRADO","CERRADO",IF(ISNUMBER(SEARCH("validacion de enel",PL[[#This Row],[SUPPLIER NOTES]])),"PTE Validar Enel","ABIERTO"))</f>
        <v>CERRADO</v>
      </c>
      <c r="P648" s="154" t="str">
        <f>IF(PL[[#This Row],[ESTADO]]="CERRADO","Cerrados IUP",IF(PL[[#This Row],[ESTADO]]="PTE Validar Enel","Pendiente cierre ENEL",IF(ISNUMBER(SEARCH("suministro",PL[[#This Row],[SUPPLIER NOTES]])),"Suministros",IF(PL[[#This Row],[SC]]="SOCIAL","Social",IF(ISNUMBER(SEARCH("monolito",PL[[#This Row],[DESCRIPTION]])),"Monolitos","Varios")))))</f>
        <v>Cerrados IUP</v>
      </c>
      <c r="Q6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49" spans="1:17" s="157" customFormat="1" hidden="1" x14ac:dyDescent="0.2">
      <c r="A649" s="151" t="s">
        <v>56</v>
      </c>
      <c r="B649" s="154" t="s">
        <v>47</v>
      </c>
      <c r="C649" s="154">
        <v>9</v>
      </c>
      <c r="D649" s="153" t="s">
        <v>3380</v>
      </c>
      <c r="E649" s="154"/>
      <c r="F649" s="154" t="s">
        <v>57</v>
      </c>
      <c r="G649" s="154" t="s">
        <v>49</v>
      </c>
      <c r="H649" s="154"/>
      <c r="I649" s="154"/>
      <c r="J649" s="154" t="s">
        <v>74</v>
      </c>
      <c r="K649" s="154" t="s">
        <v>3394</v>
      </c>
      <c r="L649" s="154"/>
      <c r="M649" s="156"/>
      <c r="N649" s="154" t="str">
        <f>IF(ISNUMBER(PL[[#This Row],[CTO]]),"CTO "&amp;PL[[#This Row],[CTO]],"Otros")</f>
        <v>CTO 9</v>
      </c>
      <c r="O649" s="154" t="str">
        <f>IF(PL[[#This Row],[STATUS IUP]]="CERRADO","CERRADO",IF(ISNUMBER(SEARCH("validacion de enel",PL[[#This Row],[SUPPLIER NOTES]])),"PTE Validar Enel","ABIERTO"))</f>
        <v>CERRADO</v>
      </c>
      <c r="P649" s="154" t="str">
        <f>IF(PL[[#This Row],[ESTADO]]="CERRADO","Cerrados IUP",IF(PL[[#This Row],[ESTADO]]="PTE Validar Enel","Pendiente cierre ENEL",IF(ISNUMBER(SEARCH("suministro",PL[[#This Row],[SUPPLIER NOTES]])),"Suministros",IF(PL[[#This Row],[SC]]="SOCIAL","Social",IF(ISNUMBER(SEARCH("monolito",PL[[#This Row],[DESCRIPTION]])),"Monolitos","Varios")))))</f>
        <v>Cerrados IUP</v>
      </c>
      <c r="Q6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0" spans="1:17" s="157" customFormat="1" hidden="1" x14ac:dyDescent="0.2">
      <c r="A650" s="151" t="s">
        <v>1260</v>
      </c>
      <c r="B650" s="154" t="s">
        <v>8</v>
      </c>
      <c r="C650" s="154">
        <v>9</v>
      </c>
      <c r="D650" s="153" t="s">
        <v>3380</v>
      </c>
      <c r="E650" s="154"/>
      <c r="F650" s="154" t="s">
        <v>1261</v>
      </c>
      <c r="G650" s="154" t="s">
        <v>43</v>
      </c>
      <c r="H650" s="154"/>
      <c r="I650" s="154"/>
      <c r="J650" s="154" t="s">
        <v>74</v>
      </c>
      <c r="K650" s="154" t="s">
        <v>3394</v>
      </c>
      <c r="L650" s="154"/>
      <c r="M650" s="156"/>
      <c r="N650" s="154" t="str">
        <f>IF(ISNUMBER(PL[[#This Row],[CTO]]),"CTO "&amp;PL[[#This Row],[CTO]],"Otros")</f>
        <v>CTO 9</v>
      </c>
      <c r="O650" s="154" t="str">
        <f>IF(PL[[#This Row],[STATUS IUP]]="CERRADO","CERRADO",IF(ISNUMBER(SEARCH("validacion de enel",PL[[#This Row],[SUPPLIER NOTES]])),"PTE Validar Enel","ABIERTO"))</f>
        <v>CERRADO</v>
      </c>
      <c r="P650" s="154" t="str">
        <f>IF(PL[[#This Row],[ESTADO]]="CERRADO","Cerrados IUP",IF(PL[[#This Row],[ESTADO]]="PTE Validar Enel","Pendiente cierre ENEL",IF(ISNUMBER(SEARCH("suministro",PL[[#This Row],[SUPPLIER NOTES]])),"Suministros",IF(PL[[#This Row],[SC]]="SOCIAL","Social",IF(ISNUMBER(SEARCH("monolito",PL[[#This Row],[DESCRIPTION]])),"Monolitos","Varios")))))</f>
        <v>Cerrados IUP</v>
      </c>
      <c r="Q6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651" spans="1:17" x14ac:dyDescent="0.2">
      <c r="A651" s="75" t="s">
        <v>1202</v>
      </c>
      <c r="B651" s="74" t="s">
        <v>8</v>
      </c>
      <c r="C651" s="82">
        <v>9</v>
      </c>
      <c r="D651" s="76" t="s">
        <v>3380</v>
      </c>
      <c r="E651" s="74"/>
      <c r="F651" s="74" t="s">
        <v>1203</v>
      </c>
      <c r="G651" s="74" t="s">
        <v>43</v>
      </c>
      <c r="H651" s="74" t="s">
        <v>3460</v>
      </c>
      <c r="I651" s="74"/>
      <c r="J651" s="74" t="s">
        <v>11</v>
      </c>
      <c r="K651" s="74" t="s">
        <v>3393</v>
      </c>
      <c r="L651" s="74"/>
      <c r="M651" s="77"/>
      <c r="N651" s="74" t="str">
        <f>IF(ISNUMBER(PL[[#This Row],[CTO]]),"CTO "&amp;PL[[#This Row],[CTO]],"Otros")</f>
        <v>CTO 9</v>
      </c>
      <c r="O651" s="74" t="str">
        <f>IF(PL[[#This Row],[STATUS IUP]]="CERRADO","CERRADO",IF(ISNUMBER(SEARCH("validacion de enel",PL[[#This Row],[SUPPLIER NOTES]])),"PTE Validar Enel","ABIERTO"))</f>
        <v>ABIERTO</v>
      </c>
      <c r="P651" s="74" t="str">
        <f>IF(PL[[#This Row],[ESTADO]]="CERRADO","Cerrados IUP",IF(PL[[#This Row],[ESTADO]]="PTE Validar Enel","Pendiente cierre ENEL",IF(ISNUMBER(SEARCH("suministro",PL[[#This Row],[SUPPLIER NOTES]])),"Suministros",IF(PL[[#This Row],[SC]]="SOCIAL","Social",IF(ISNUMBER(SEARCH("monolito",PL[[#This Row],[DESCRIPTION]])),"Monolitos","Varios")))))</f>
        <v>Suministros</v>
      </c>
      <c r="Q65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652" spans="1:17" ht="32" hidden="1" x14ac:dyDescent="0.2">
      <c r="A652" s="86" t="s">
        <v>1614</v>
      </c>
      <c r="B652" s="115" t="s">
        <v>1314</v>
      </c>
      <c r="C652" s="82">
        <v>9</v>
      </c>
      <c r="D652" s="88" t="s">
        <v>3381</v>
      </c>
      <c r="E652" s="87" t="s">
        <v>1615</v>
      </c>
      <c r="F652" s="115" t="s">
        <v>683</v>
      </c>
      <c r="G652" s="82" t="s">
        <v>1289</v>
      </c>
      <c r="H652" s="87" t="s">
        <v>3454</v>
      </c>
      <c r="I652" s="87"/>
      <c r="J652" s="87" t="s">
        <v>11</v>
      </c>
      <c r="K652" s="87" t="s">
        <v>3393</v>
      </c>
      <c r="L652" s="87"/>
      <c r="M652" s="89"/>
      <c r="N652" s="87" t="str">
        <f>IF(ISNUMBER(PL[[#This Row],[CTO]]),"CTO "&amp;PL[[#This Row],[CTO]],"Otros")</f>
        <v>CTO 9</v>
      </c>
      <c r="O652" s="87" t="str">
        <f>IF(PL[[#This Row],[STATUS IUP]]="CERRADO","CERRADO",IF(ISNUMBER(SEARCH("validacion de enel",PL[[#This Row],[SUPPLIER NOTES]])),"PTE Validar Enel","ABIERTO"))</f>
        <v>PTE Validar Enel</v>
      </c>
      <c r="P652"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2"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3" spans="1:17" ht="32" hidden="1" x14ac:dyDescent="0.2">
      <c r="A653" s="86" t="s">
        <v>1757</v>
      </c>
      <c r="B653" s="115" t="s">
        <v>1314</v>
      </c>
      <c r="C653" s="82">
        <v>9</v>
      </c>
      <c r="D653" s="88" t="s">
        <v>3381</v>
      </c>
      <c r="E653" s="87" t="s">
        <v>1758</v>
      </c>
      <c r="F653" s="115" t="s">
        <v>1759</v>
      </c>
      <c r="G653" s="82" t="s">
        <v>1289</v>
      </c>
      <c r="H653" s="87" t="s">
        <v>3454</v>
      </c>
      <c r="I653" s="87"/>
      <c r="J653" s="87" t="s">
        <v>11</v>
      </c>
      <c r="K653" s="87" t="s">
        <v>3393</v>
      </c>
      <c r="L653" s="87"/>
      <c r="M653" s="89"/>
      <c r="N653" s="87" t="str">
        <f>IF(ISNUMBER(PL[[#This Row],[CTO]]),"CTO "&amp;PL[[#This Row],[CTO]],"Otros")</f>
        <v>CTO 9</v>
      </c>
      <c r="O653" s="87" t="str">
        <f>IF(PL[[#This Row],[STATUS IUP]]="CERRADO","CERRADO",IF(ISNUMBER(SEARCH("validacion de enel",PL[[#This Row],[SUPPLIER NOTES]])),"PTE Validar Enel","ABIERTO"))</f>
        <v>PTE Validar Enel</v>
      </c>
      <c r="P65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4" spans="1:17" s="157" customFormat="1" ht="32" hidden="1" x14ac:dyDescent="0.2">
      <c r="A654" s="151" t="s">
        <v>1763</v>
      </c>
      <c r="B654" s="152" t="s">
        <v>1297</v>
      </c>
      <c r="C654" s="154">
        <v>9</v>
      </c>
      <c r="D654" s="153" t="s">
        <v>3381</v>
      </c>
      <c r="E654" s="154" t="s">
        <v>1764</v>
      </c>
      <c r="F654" s="152" t="s">
        <v>1765</v>
      </c>
      <c r="G654" s="154" t="s">
        <v>1290</v>
      </c>
      <c r="H654" s="154"/>
      <c r="I654" s="154"/>
      <c r="J654" s="154" t="s">
        <v>74</v>
      </c>
      <c r="K654" s="154" t="s">
        <v>3394</v>
      </c>
      <c r="L654" s="155">
        <v>46300</v>
      </c>
      <c r="M654" s="156"/>
      <c r="N654" s="154" t="str">
        <f>IF(ISNUMBER(PL[[#This Row],[CTO]]),"CTO "&amp;PL[[#This Row],[CTO]],"Otros")</f>
        <v>CTO 9</v>
      </c>
      <c r="O654" s="154" t="str">
        <f>IF(PL[[#This Row],[STATUS IUP]]="CERRADO","CERRADO",IF(ISNUMBER(SEARCH("validacion de enel",PL[[#This Row],[SUPPLIER NOTES]])),"PTE Validar Enel","ABIERTO"))</f>
        <v>CERRADO</v>
      </c>
      <c r="P654" s="154" t="str">
        <f>IF(PL[[#This Row],[ESTADO]]="CERRADO","Cerrados IUP",IF(PL[[#This Row],[ESTADO]]="PTE Validar Enel","Pendiente cierre ENEL",IF(ISNUMBER(SEARCH("suministro",PL[[#This Row],[SUPPLIER NOTES]])),"Suministros",IF(PL[[#This Row],[SC]]="SOCIAL","Social",IF(ISNUMBER(SEARCH("monolito",PL[[#This Row],[DESCRIPTION]])),"Monolitos","Varios")))))</f>
        <v>Cerrados IUP</v>
      </c>
      <c r="Q6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5" spans="1:17" ht="16" hidden="1" x14ac:dyDescent="0.2">
      <c r="A655" s="86" t="s">
        <v>2118</v>
      </c>
      <c r="B655" s="115" t="s">
        <v>8</v>
      </c>
      <c r="C655" s="82">
        <v>9</v>
      </c>
      <c r="D655" s="88" t="s">
        <v>3381</v>
      </c>
      <c r="E655" s="87" t="s">
        <v>2119</v>
      </c>
      <c r="F655" s="115" t="s">
        <v>2120</v>
      </c>
      <c r="G655" s="82" t="s">
        <v>1289</v>
      </c>
      <c r="H655" s="87" t="s">
        <v>3454</v>
      </c>
      <c r="I655" s="87"/>
      <c r="J655" s="87" t="s">
        <v>11</v>
      </c>
      <c r="K655" s="87" t="s">
        <v>3393</v>
      </c>
      <c r="L655" s="87"/>
      <c r="M655" s="89"/>
      <c r="N655" s="87" t="str">
        <f>IF(ISNUMBER(PL[[#This Row],[CTO]]),"CTO "&amp;PL[[#This Row],[CTO]],"Otros")</f>
        <v>CTO 9</v>
      </c>
      <c r="O655" s="87" t="str">
        <f>IF(PL[[#This Row],[STATUS IUP]]="CERRADO","CERRADO",IF(ISNUMBER(SEARCH("validacion de enel",PL[[#This Row],[SUPPLIER NOTES]])),"PTE Validar Enel","ABIERTO"))</f>
        <v>PTE Validar Enel</v>
      </c>
      <c r="P65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6" spans="1:17" ht="16" hidden="1" x14ac:dyDescent="0.2">
      <c r="A656" s="86" t="s">
        <v>2858</v>
      </c>
      <c r="B656" s="115" t="s">
        <v>8</v>
      </c>
      <c r="C656" s="82">
        <v>9</v>
      </c>
      <c r="D656" s="88" t="s">
        <v>3381</v>
      </c>
      <c r="E656" s="87" t="s">
        <v>2859</v>
      </c>
      <c r="F656" s="115" t="s">
        <v>2860</v>
      </c>
      <c r="G656" s="82" t="s">
        <v>1289</v>
      </c>
      <c r="H656" s="87" t="s">
        <v>3454</v>
      </c>
      <c r="I656" s="87"/>
      <c r="J656" s="87" t="s">
        <v>11</v>
      </c>
      <c r="K656" s="87" t="s">
        <v>3393</v>
      </c>
      <c r="L656" s="87"/>
      <c r="M656" s="89"/>
      <c r="N656" s="87" t="str">
        <f>IF(ISNUMBER(PL[[#This Row],[CTO]]),"CTO "&amp;PL[[#This Row],[CTO]],"Otros")</f>
        <v>CTO 9</v>
      </c>
      <c r="O656" s="87" t="str">
        <f>IF(PL[[#This Row],[STATUS IUP]]="CERRADO","CERRADO",IF(ISNUMBER(SEARCH("validacion de enel",PL[[#This Row],[SUPPLIER NOTES]])),"PTE Validar Enel","ABIERTO"))</f>
        <v>PTE Validar Enel</v>
      </c>
      <c r="P65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7" spans="1:17" ht="32" hidden="1" x14ac:dyDescent="0.2">
      <c r="A657" s="86" t="s">
        <v>2112</v>
      </c>
      <c r="B657" s="115" t="s">
        <v>1291</v>
      </c>
      <c r="C657" s="82">
        <v>9</v>
      </c>
      <c r="D657" s="88" t="s">
        <v>3381</v>
      </c>
      <c r="E657" s="87" t="s">
        <v>2113</v>
      </c>
      <c r="F657" s="115" t="s">
        <v>2114</v>
      </c>
      <c r="G657" s="82" t="s">
        <v>1289</v>
      </c>
      <c r="H657" s="87" t="s">
        <v>3454</v>
      </c>
      <c r="I657" s="87"/>
      <c r="J657" s="87" t="s">
        <v>11</v>
      </c>
      <c r="K657" s="87" t="s">
        <v>3393</v>
      </c>
      <c r="L657" s="87"/>
      <c r="M657" s="89"/>
      <c r="N657" s="87" t="str">
        <f>IF(ISNUMBER(PL[[#This Row],[CTO]]),"CTO "&amp;PL[[#This Row],[CTO]],"Otros")</f>
        <v>CTO 9</v>
      </c>
      <c r="O657" s="87" t="str">
        <f>IF(PL[[#This Row],[STATUS IUP]]="CERRADO","CERRADO",IF(ISNUMBER(SEARCH("validacion de enel",PL[[#This Row],[SUPPLIER NOTES]])),"PTE Validar Enel","ABIERTO"))</f>
        <v>PTE Validar Enel</v>
      </c>
      <c r="P65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8" spans="1:17" ht="16" hidden="1" x14ac:dyDescent="0.2">
      <c r="A658" s="86" t="s">
        <v>2852</v>
      </c>
      <c r="B658" s="115" t="s">
        <v>41</v>
      </c>
      <c r="C658" s="82">
        <v>9</v>
      </c>
      <c r="D658" s="88" t="s">
        <v>3381</v>
      </c>
      <c r="E658" s="87" t="s">
        <v>2853</v>
      </c>
      <c r="F658" s="115" t="s">
        <v>2854</v>
      </c>
      <c r="G658" s="82" t="s">
        <v>1289</v>
      </c>
      <c r="H658" s="87" t="s">
        <v>3454</v>
      </c>
      <c r="I658" s="87"/>
      <c r="J658" s="87" t="s">
        <v>11</v>
      </c>
      <c r="K658" s="87" t="s">
        <v>3393</v>
      </c>
      <c r="L658" s="87"/>
      <c r="M658" s="89"/>
      <c r="N658" s="87" t="str">
        <f>IF(ISNUMBER(PL[[#This Row],[CTO]]),"CTO "&amp;PL[[#This Row],[CTO]],"Otros")</f>
        <v>CTO 9</v>
      </c>
      <c r="O658" s="87" t="str">
        <f>IF(PL[[#This Row],[STATUS IUP]]="CERRADO","CERRADO",IF(ISNUMBER(SEARCH("validacion de enel",PL[[#This Row],[SUPPLIER NOTES]])),"PTE Validar Enel","ABIERTO"))</f>
        <v>PTE Validar Enel</v>
      </c>
      <c r="P65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59" spans="1:17" ht="48" hidden="1" x14ac:dyDescent="0.2">
      <c r="A659" s="86" t="s">
        <v>2165</v>
      </c>
      <c r="B659" s="115" t="s">
        <v>41</v>
      </c>
      <c r="C659" s="82">
        <v>9</v>
      </c>
      <c r="D659" s="88" t="s">
        <v>3381</v>
      </c>
      <c r="E659" s="87" t="s">
        <v>2166</v>
      </c>
      <c r="F659" s="115" t="s">
        <v>2167</v>
      </c>
      <c r="G659" s="82" t="s">
        <v>1289</v>
      </c>
      <c r="H659" s="87" t="s">
        <v>3454</v>
      </c>
      <c r="I659" s="87"/>
      <c r="J659" s="87" t="s">
        <v>11</v>
      </c>
      <c r="K659" s="87" t="s">
        <v>3393</v>
      </c>
      <c r="L659" s="87"/>
      <c r="M659" s="89"/>
      <c r="N659" s="87" t="str">
        <f>IF(ISNUMBER(PL[[#This Row],[CTO]]),"CTO "&amp;PL[[#This Row],[CTO]],"Otros")</f>
        <v>CTO 9</v>
      </c>
      <c r="O659" s="87" t="str">
        <f>IF(PL[[#This Row],[STATUS IUP]]="CERRADO","CERRADO",IF(ISNUMBER(SEARCH("validacion de enel",PL[[#This Row],[SUPPLIER NOTES]])),"PTE Validar Enel","ABIERTO"))</f>
        <v>PTE Validar Enel</v>
      </c>
      <c r="P659"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59"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0" spans="1:17" s="157" customFormat="1" hidden="1" x14ac:dyDescent="0.2">
      <c r="A660" s="151" t="s">
        <v>2720</v>
      </c>
      <c r="B660" s="154" t="s">
        <v>1314</v>
      </c>
      <c r="C660" s="154">
        <v>9</v>
      </c>
      <c r="D660" s="153" t="s">
        <v>3381</v>
      </c>
      <c r="E660" s="154" t="s">
        <v>2721</v>
      </c>
      <c r="F660" s="154" t="s">
        <v>2722</v>
      </c>
      <c r="G660" s="154" t="s">
        <v>1290</v>
      </c>
      <c r="H660" s="154"/>
      <c r="I660" s="154"/>
      <c r="J660" s="154" t="s">
        <v>74</v>
      </c>
      <c r="K660" s="154" t="s">
        <v>3394</v>
      </c>
      <c r="L660" s="154"/>
      <c r="M660" s="156"/>
      <c r="N660" s="154" t="str">
        <f>IF(ISNUMBER(PL[[#This Row],[CTO]]),"CTO "&amp;PL[[#This Row],[CTO]],"Otros")</f>
        <v>CTO 9</v>
      </c>
      <c r="O660" s="154" t="str">
        <f>IF(PL[[#This Row],[STATUS IUP]]="CERRADO","CERRADO",IF(ISNUMBER(SEARCH("validacion de enel",PL[[#This Row],[SUPPLIER NOTES]])),"PTE Validar Enel","ABIERTO"))</f>
        <v>CERRADO</v>
      </c>
      <c r="P660" s="154" t="str">
        <f>IF(PL[[#This Row],[ESTADO]]="CERRADO","Cerrados IUP",IF(PL[[#This Row],[ESTADO]]="PTE Validar Enel","Pendiente cierre ENEL",IF(ISNUMBER(SEARCH("suministro",PL[[#This Row],[SUPPLIER NOTES]])),"Suministros",IF(PL[[#This Row],[SC]]="SOCIAL","Social",IF(ISNUMBER(SEARCH("monolito",PL[[#This Row],[DESCRIPTION]])),"Monolitos","Varios")))))</f>
        <v>Cerrados IUP</v>
      </c>
      <c r="Q6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1" spans="1:17" s="157" customFormat="1" hidden="1" x14ac:dyDescent="0.2">
      <c r="A661" s="151" t="s">
        <v>1923</v>
      </c>
      <c r="B661" s="154" t="s">
        <v>929</v>
      </c>
      <c r="C661" s="154">
        <v>9</v>
      </c>
      <c r="D661" s="153" t="s">
        <v>3381</v>
      </c>
      <c r="E661" s="154" t="s">
        <v>1924</v>
      </c>
      <c r="F661" s="154" t="s">
        <v>1925</v>
      </c>
      <c r="G661" s="154" t="s">
        <v>1290</v>
      </c>
      <c r="H661" s="154"/>
      <c r="I661" s="154"/>
      <c r="J661" s="154" t="s">
        <v>74</v>
      </c>
      <c r="K661" s="154" t="s">
        <v>3394</v>
      </c>
      <c r="L661" s="154"/>
      <c r="M661" s="156"/>
      <c r="N661" s="154" t="str">
        <f>IF(ISNUMBER(PL[[#This Row],[CTO]]),"CTO "&amp;PL[[#This Row],[CTO]],"Otros")</f>
        <v>CTO 9</v>
      </c>
      <c r="O661" s="154" t="str">
        <f>IF(PL[[#This Row],[STATUS IUP]]="CERRADO","CERRADO",IF(ISNUMBER(SEARCH("validacion de enel",PL[[#This Row],[SUPPLIER NOTES]])),"PTE Validar Enel","ABIERTO"))</f>
        <v>CERRADO</v>
      </c>
      <c r="P661" s="154" t="str">
        <f>IF(PL[[#This Row],[ESTADO]]="CERRADO","Cerrados IUP",IF(PL[[#This Row],[ESTADO]]="PTE Validar Enel","Pendiente cierre ENEL",IF(ISNUMBER(SEARCH("suministro",PL[[#This Row],[SUPPLIER NOTES]])),"Suministros",IF(PL[[#This Row],[SC]]="SOCIAL","Social",IF(ISNUMBER(SEARCH("monolito",PL[[#This Row],[DESCRIPTION]])),"Monolitos","Varios")))))</f>
        <v>Cerrados IUP</v>
      </c>
      <c r="Q6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2" spans="1:17" s="157" customFormat="1" hidden="1" x14ac:dyDescent="0.2">
      <c r="A662" s="151" t="s">
        <v>2133</v>
      </c>
      <c r="B662" s="154" t="s">
        <v>1314</v>
      </c>
      <c r="C662" s="154">
        <v>9</v>
      </c>
      <c r="D662" s="153" t="s">
        <v>3381</v>
      </c>
      <c r="E662" s="154" t="s">
        <v>2134</v>
      </c>
      <c r="F662" s="154" t="s">
        <v>2135</v>
      </c>
      <c r="G662" s="154" t="s">
        <v>1289</v>
      </c>
      <c r="H662" s="154"/>
      <c r="I662" s="154"/>
      <c r="J662" s="154" t="s">
        <v>74</v>
      </c>
      <c r="K662" s="154" t="s">
        <v>3394</v>
      </c>
      <c r="L662" s="154"/>
      <c r="M662" s="156"/>
      <c r="N662" s="154" t="str">
        <f>IF(ISNUMBER(PL[[#This Row],[CTO]]),"CTO "&amp;PL[[#This Row],[CTO]],"Otros")</f>
        <v>CTO 9</v>
      </c>
      <c r="O662" s="154" t="str">
        <f>IF(PL[[#This Row],[STATUS IUP]]="CERRADO","CERRADO",IF(ISNUMBER(SEARCH("validacion de enel",PL[[#This Row],[SUPPLIER NOTES]])),"PTE Validar Enel","ABIERTO"))</f>
        <v>CERRADO</v>
      </c>
      <c r="P662" s="154" t="str">
        <f>IF(PL[[#This Row],[ESTADO]]="CERRADO","Cerrados IUP",IF(PL[[#This Row],[ESTADO]]="PTE Validar Enel","Pendiente cierre ENEL",IF(ISNUMBER(SEARCH("suministro",PL[[#This Row],[SUPPLIER NOTES]])),"Suministros",IF(PL[[#This Row],[SC]]="SOCIAL","Social",IF(ISNUMBER(SEARCH("monolito",PL[[#This Row],[DESCRIPTION]])),"Monolitos","Varios")))))</f>
        <v>Cerrados IUP</v>
      </c>
      <c r="Q6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3" spans="1:17" s="157" customFormat="1" hidden="1" x14ac:dyDescent="0.2">
      <c r="A663" s="151" t="s">
        <v>1849</v>
      </c>
      <c r="B663" s="154" t="s">
        <v>1297</v>
      </c>
      <c r="C663" s="154">
        <v>9</v>
      </c>
      <c r="D663" s="153" t="s">
        <v>3381</v>
      </c>
      <c r="E663" s="154" t="s">
        <v>1850</v>
      </c>
      <c r="F663" s="154" t="s">
        <v>1851</v>
      </c>
      <c r="G663" s="154" t="s">
        <v>1290</v>
      </c>
      <c r="H663" s="154" t="s">
        <v>163</v>
      </c>
      <c r="I663" s="154" t="s">
        <v>163</v>
      </c>
      <c r="J663" s="154" t="s">
        <v>74</v>
      </c>
      <c r="K663" s="154" t="s">
        <v>3394</v>
      </c>
      <c r="L663" s="161">
        <v>46231</v>
      </c>
      <c r="M663" s="160">
        <v>46231</v>
      </c>
      <c r="N663" s="154" t="str">
        <f>IF(ISNUMBER(PL[[#This Row],[CTO]]),"CTO "&amp;PL[[#This Row],[CTO]],"Otros")</f>
        <v>CTO 9</v>
      </c>
      <c r="O663" s="154" t="str">
        <f>IF(PL[[#This Row],[STATUS IUP]]="CERRADO","CERRADO",IF(ISNUMBER(SEARCH("validacion de enel",PL[[#This Row],[SUPPLIER NOTES]])),"PTE Validar Enel","ABIERTO"))</f>
        <v>CERRADO</v>
      </c>
      <c r="P663" s="154" t="str">
        <f>IF(PL[[#This Row],[ESTADO]]="CERRADO","Cerrados IUP",IF(PL[[#This Row],[ESTADO]]="PTE Validar Enel","Pendiente cierre ENEL",IF(ISNUMBER(SEARCH("suministro",PL[[#This Row],[SUPPLIER NOTES]])),"Suministros",IF(PL[[#This Row],[SC]]="SOCIAL","Social",IF(ISNUMBER(SEARCH("monolito",PL[[#This Row],[DESCRIPTION]])),"Monolitos","Varios")))))</f>
        <v>Cerrados IUP</v>
      </c>
      <c r="Q6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4" spans="1:17" s="157" customFormat="1" hidden="1" x14ac:dyDescent="0.2">
      <c r="A664" s="151" t="s">
        <v>1844</v>
      </c>
      <c r="B664" s="154" t="s">
        <v>1314</v>
      </c>
      <c r="C664" s="154">
        <v>9</v>
      </c>
      <c r="D664" s="153" t="s">
        <v>3381</v>
      </c>
      <c r="E664" s="154" t="s">
        <v>1845</v>
      </c>
      <c r="F664" s="154" t="s">
        <v>1395</v>
      </c>
      <c r="G664" s="154" t="s">
        <v>1290</v>
      </c>
      <c r="H664" s="154" t="s">
        <v>294</v>
      </c>
      <c r="I664" s="154" t="s">
        <v>294</v>
      </c>
      <c r="J664" s="154" t="s">
        <v>74</v>
      </c>
      <c r="K664" s="154" t="s">
        <v>3394</v>
      </c>
      <c r="L664" s="161">
        <v>46231</v>
      </c>
      <c r="M664" s="160">
        <v>46231</v>
      </c>
      <c r="N664" s="154" t="str">
        <f>IF(ISNUMBER(PL[[#This Row],[CTO]]),"CTO "&amp;PL[[#This Row],[CTO]],"Otros")</f>
        <v>CTO 9</v>
      </c>
      <c r="O664" s="154" t="str">
        <f>IF(PL[[#This Row],[STATUS IUP]]="CERRADO","CERRADO",IF(ISNUMBER(SEARCH("validacion de enel",PL[[#This Row],[SUPPLIER NOTES]])),"PTE Validar Enel","ABIERTO"))</f>
        <v>CERRADO</v>
      </c>
      <c r="P664" s="154" t="str">
        <f>IF(PL[[#This Row],[ESTADO]]="CERRADO","Cerrados IUP",IF(PL[[#This Row],[ESTADO]]="PTE Validar Enel","Pendiente cierre ENEL",IF(ISNUMBER(SEARCH("suministro",PL[[#This Row],[SUPPLIER NOTES]])),"Suministros",IF(PL[[#This Row],[SC]]="SOCIAL","Social",IF(ISNUMBER(SEARCH("monolito",PL[[#This Row],[DESCRIPTION]])),"Monolitos","Varios")))))</f>
        <v>Cerrados IUP</v>
      </c>
      <c r="Q6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5" spans="1:17" s="157" customFormat="1" hidden="1" x14ac:dyDescent="0.2">
      <c r="A665" s="151" t="s">
        <v>1846</v>
      </c>
      <c r="B665" s="154" t="s">
        <v>1314</v>
      </c>
      <c r="C665" s="154">
        <v>9</v>
      </c>
      <c r="D665" s="153" t="s">
        <v>3381</v>
      </c>
      <c r="E665" s="154" t="s">
        <v>1847</v>
      </c>
      <c r="F665" s="154" t="s">
        <v>1848</v>
      </c>
      <c r="G665" s="154" t="s">
        <v>1290</v>
      </c>
      <c r="H665" s="154" t="s">
        <v>163</v>
      </c>
      <c r="I665" s="154" t="s">
        <v>163</v>
      </c>
      <c r="J665" s="154" t="s">
        <v>74</v>
      </c>
      <c r="K665" s="154" t="s">
        <v>3394</v>
      </c>
      <c r="L665" s="161">
        <v>46231</v>
      </c>
      <c r="M665" s="160">
        <v>46231</v>
      </c>
      <c r="N665" s="154" t="str">
        <f>IF(ISNUMBER(PL[[#This Row],[CTO]]),"CTO "&amp;PL[[#This Row],[CTO]],"Otros")</f>
        <v>CTO 9</v>
      </c>
      <c r="O665" s="154" t="str">
        <f>IF(PL[[#This Row],[STATUS IUP]]="CERRADO","CERRADO",IF(ISNUMBER(SEARCH("validacion de enel",PL[[#This Row],[SUPPLIER NOTES]])),"PTE Validar Enel","ABIERTO"))</f>
        <v>CERRADO</v>
      </c>
      <c r="P665" s="154" t="str">
        <f>IF(PL[[#This Row],[ESTADO]]="CERRADO","Cerrados IUP",IF(PL[[#This Row],[ESTADO]]="PTE Validar Enel","Pendiente cierre ENEL",IF(ISNUMBER(SEARCH("suministro",PL[[#This Row],[SUPPLIER NOTES]])),"Suministros",IF(PL[[#This Row],[SC]]="SOCIAL","Social",IF(ISNUMBER(SEARCH("monolito",PL[[#This Row],[DESCRIPTION]])),"Monolitos","Varios")))))</f>
        <v>Cerrados IUP</v>
      </c>
      <c r="Q6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6" spans="1:17" ht="32" hidden="1" x14ac:dyDescent="0.2">
      <c r="A666" s="86" t="s">
        <v>2209</v>
      </c>
      <c r="B666" s="115" t="s">
        <v>41</v>
      </c>
      <c r="C666" s="82">
        <v>9</v>
      </c>
      <c r="D666" s="88" t="s">
        <v>3381</v>
      </c>
      <c r="E666" s="87" t="s">
        <v>2210</v>
      </c>
      <c r="F666" s="115" t="s">
        <v>2211</v>
      </c>
      <c r="G666" s="82" t="s">
        <v>1289</v>
      </c>
      <c r="H666" s="87" t="s">
        <v>3454</v>
      </c>
      <c r="I666" s="87"/>
      <c r="J666" s="87" t="s">
        <v>11</v>
      </c>
      <c r="K666" s="87" t="s">
        <v>3393</v>
      </c>
      <c r="L666" s="87"/>
      <c r="M666" s="89"/>
      <c r="N666" s="87" t="str">
        <f>IF(ISNUMBER(PL[[#This Row],[CTO]]),"CTO "&amp;PL[[#This Row],[CTO]],"Otros")</f>
        <v>CTO 9</v>
      </c>
      <c r="O666" s="87" t="str">
        <f>IF(PL[[#This Row],[STATUS IUP]]="CERRADO","CERRADO",IF(ISNUMBER(SEARCH("validacion de enel",PL[[#This Row],[SUPPLIER NOTES]])),"PTE Validar Enel","ABIERTO"))</f>
        <v>PTE Validar Enel</v>
      </c>
      <c r="P66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6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7" spans="1:17" s="157" customFormat="1" hidden="1" x14ac:dyDescent="0.2">
      <c r="A667" s="151" t="s">
        <v>2199</v>
      </c>
      <c r="B667" s="154" t="s">
        <v>1314</v>
      </c>
      <c r="C667" s="154">
        <v>9</v>
      </c>
      <c r="D667" s="153" t="s">
        <v>3381</v>
      </c>
      <c r="E667" s="154" t="s">
        <v>2200</v>
      </c>
      <c r="F667" s="154" t="s">
        <v>2201</v>
      </c>
      <c r="G667" s="154" t="s">
        <v>1289</v>
      </c>
      <c r="H667" s="154" t="s">
        <v>294</v>
      </c>
      <c r="I667" s="154" t="s">
        <v>294</v>
      </c>
      <c r="J667" s="154" t="s">
        <v>74</v>
      </c>
      <c r="K667" s="154" t="s">
        <v>3394</v>
      </c>
      <c r="L667" s="161">
        <v>46231</v>
      </c>
      <c r="M667" s="160">
        <v>46231</v>
      </c>
      <c r="N667" s="154" t="str">
        <f>IF(ISNUMBER(PL[[#This Row],[CTO]]),"CTO "&amp;PL[[#This Row],[CTO]],"Otros")</f>
        <v>CTO 9</v>
      </c>
      <c r="O667" s="154" t="str">
        <f>IF(PL[[#This Row],[STATUS IUP]]="CERRADO","CERRADO",IF(ISNUMBER(SEARCH("validacion de enel",PL[[#This Row],[SUPPLIER NOTES]])),"PTE Validar Enel","ABIERTO"))</f>
        <v>CERRADO</v>
      </c>
      <c r="P667" s="154" t="str">
        <f>IF(PL[[#This Row],[ESTADO]]="CERRADO","Cerrados IUP",IF(PL[[#This Row],[ESTADO]]="PTE Validar Enel","Pendiente cierre ENEL",IF(ISNUMBER(SEARCH("suministro",PL[[#This Row],[SUPPLIER NOTES]])),"Suministros",IF(PL[[#This Row],[SC]]="SOCIAL","Social",IF(ISNUMBER(SEARCH("monolito",PL[[#This Row],[DESCRIPTION]])),"Monolitos","Varios")))))</f>
        <v>Cerrados IUP</v>
      </c>
      <c r="Q6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8" spans="1:17" s="157" customFormat="1" hidden="1" x14ac:dyDescent="0.2">
      <c r="A668" s="151" t="s">
        <v>2509</v>
      </c>
      <c r="B668" s="154" t="s">
        <v>1314</v>
      </c>
      <c r="C668" s="154">
        <v>9</v>
      </c>
      <c r="D668" s="153" t="s">
        <v>3381</v>
      </c>
      <c r="E668" s="154" t="s">
        <v>2510</v>
      </c>
      <c r="F668" s="154" t="s">
        <v>2511</v>
      </c>
      <c r="G668" s="154" t="s">
        <v>1289</v>
      </c>
      <c r="H668" s="154"/>
      <c r="I668" s="154"/>
      <c r="J668" s="154" t="s">
        <v>74</v>
      </c>
      <c r="K668" s="154" t="s">
        <v>3394</v>
      </c>
      <c r="L668" s="154"/>
      <c r="M668" s="156"/>
      <c r="N668" s="154" t="str">
        <f>IF(ISNUMBER(PL[[#This Row],[CTO]]),"CTO "&amp;PL[[#This Row],[CTO]],"Otros")</f>
        <v>CTO 9</v>
      </c>
      <c r="O668" s="154" t="str">
        <f>IF(PL[[#This Row],[STATUS IUP]]="CERRADO","CERRADO",IF(ISNUMBER(SEARCH("validacion de enel",PL[[#This Row],[SUPPLIER NOTES]])),"PTE Validar Enel","ABIERTO"))</f>
        <v>CERRADO</v>
      </c>
      <c r="P668" s="154" t="str">
        <f>IF(PL[[#This Row],[ESTADO]]="CERRADO","Cerrados IUP",IF(PL[[#This Row],[ESTADO]]="PTE Validar Enel","Pendiente cierre ENEL",IF(ISNUMBER(SEARCH("suministro",PL[[#This Row],[SUPPLIER NOTES]])),"Suministros",IF(PL[[#This Row],[SC]]="SOCIAL","Social",IF(ISNUMBER(SEARCH("monolito",PL[[#This Row],[DESCRIPTION]])),"Monolitos","Varios")))))</f>
        <v>Cerrados IUP</v>
      </c>
      <c r="Q6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69" spans="1:17" s="157" customFormat="1" hidden="1" x14ac:dyDescent="0.2">
      <c r="A669" s="151" t="s">
        <v>2130</v>
      </c>
      <c r="B669" s="154" t="s">
        <v>1314</v>
      </c>
      <c r="C669" s="154">
        <v>9</v>
      </c>
      <c r="D669" s="153" t="s">
        <v>3381</v>
      </c>
      <c r="E669" s="154" t="s">
        <v>2131</v>
      </c>
      <c r="F669" s="154" t="s">
        <v>2132</v>
      </c>
      <c r="G669" s="154" t="s">
        <v>1289</v>
      </c>
      <c r="H669" s="154" t="s">
        <v>294</v>
      </c>
      <c r="I669" s="154" t="s">
        <v>294</v>
      </c>
      <c r="J669" s="154" t="s">
        <v>74</v>
      </c>
      <c r="K669" s="154" t="s">
        <v>3394</v>
      </c>
      <c r="L669" s="161">
        <v>46231</v>
      </c>
      <c r="M669" s="160">
        <v>46231</v>
      </c>
      <c r="N669" s="154" t="str">
        <f>IF(ISNUMBER(PL[[#This Row],[CTO]]),"CTO "&amp;PL[[#This Row],[CTO]],"Otros")</f>
        <v>CTO 9</v>
      </c>
      <c r="O669" s="154" t="str">
        <f>IF(PL[[#This Row],[STATUS IUP]]="CERRADO","CERRADO",IF(ISNUMBER(SEARCH("validacion de enel",PL[[#This Row],[SUPPLIER NOTES]])),"PTE Validar Enel","ABIERTO"))</f>
        <v>CERRADO</v>
      </c>
      <c r="P669" s="154" t="str">
        <f>IF(PL[[#This Row],[ESTADO]]="CERRADO","Cerrados IUP",IF(PL[[#This Row],[ESTADO]]="PTE Validar Enel","Pendiente cierre ENEL",IF(ISNUMBER(SEARCH("suministro",PL[[#This Row],[SUPPLIER NOTES]])),"Suministros",IF(PL[[#This Row],[SC]]="SOCIAL","Social",IF(ISNUMBER(SEARCH("monolito",PL[[#This Row],[DESCRIPTION]])),"Monolitos","Varios")))))</f>
        <v>Cerrados IUP</v>
      </c>
      <c r="Q6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0" spans="1:17" ht="32" hidden="1" x14ac:dyDescent="0.2">
      <c r="A670" s="86" t="s">
        <v>2792</v>
      </c>
      <c r="B670" s="115" t="s">
        <v>41</v>
      </c>
      <c r="C670" s="82">
        <v>9</v>
      </c>
      <c r="D670" s="88" t="s">
        <v>3381</v>
      </c>
      <c r="E670" s="87" t="s">
        <v>2793</v>
      </c>
      <c r="F670" s="115" t="s">
        <v>2794</v>
      </c>
      <c r="G670" s="82" t="s">
        <v>1289</v>
      </c>
      <c r="H670" s="87" t="s">
        <v>3454</v>
      </c>
      <c r="I670" s="87"/>
      <c r="J670" s="87" t="s">
        <v>11</v>
      </c>
      <c r="K670" s="87" t="s">
        <v>3393</v>
      </c>
      <c r="L670" s="87"/>
      <c r="M670" s="89"/>
      <c r="N670" s="87" t="str">
        <f>IF(ISNUMBER(PL[[#This Row],[CTO]]),"CTO "&amp;PL[[#This Row],[CTO]],"Otros")</f>
        <v>CTO 9</v>
      </c>
      <c r="O670" s="87" t="str">
        <f>IF(PL[[#This Row],[STATUS IUP]]="CERRADO","CERRADO",IF(ISNUMBER(SEARCH("validacion de enel",PL[[#This Row],[SUPPLIER NOTES]])),"PTE Validar Enel","ABIERTO"))</f>
        <v>PTE Validar Enel</v>
      </c>
      <c r="P670"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670"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1" spans="1:17" s="157" customFormat="1" hidden="1" x14ac:dyDescent="0.2">
      <c r="A671" s="151" t="s">
        <v>2506</v>
      </c>
      <c r="B671" s="154" t="s">
        <v>1314</v>
      </c>
      <c r="C671" s="154">
        <v>9</v>
      </c>
      <c r="D671" s="153" t="s">
        <v>3381</v>
      </c>
      <c r="E671" s="154" t="s">
        <v>2507</v>
      </c>
      <c r="F671" s="154" t="s">
        <v>2508</v>
      </c>
      <c r="G671" s="154" t="s">
        <v>1289</v>
      </c>
      <c r="H671" s="154" t="s">
        <v>294</v>
      </c>
      <c r="I671" s="154" t="s">
        <v>294</v>
      </c>
      <c r="J671" s="154" t="s">
        <v>74</v>
      </c>
      <c r="K671" s="154" t="s">
        <v>3394</v>
      </c>
      <c r="L671" s="161">
        <v>46231</v>
      </c>
      <c r="M671" s="160">
        <v>46231</v>
      </c>
      <c r="N671" s="154" t="str">
        <f>IF(ISNUMBER(PL[[#This Row],[CTO]]),"CTO "&amp;PL[[#This Row],[CTO]],"Otros")</f>
        <v>CTO 9</v>
      </c>
      <c r="O671" s="154" t="str">
        <f>IF(PL[[#This Row],[STATUS IUP]]="CERRADO","CERRADO",IF(ISNUMBER(SEARCH("validacion de enel",PL[[#This Row],[SUPPLIER NOTES]])),"PTE Validar Enel","ABIERTO"))</f>
        <v>CERRADO</v>
      </c>
      <c r="P671" s="154" t="str">
        <f>IF(PL[[#This Row],[ESTADO]]="CERRADO","Cerrados IUP",IF(PL[[#This Row],[ESTADO]]="PTE Validar Enel","Pendiente cierre ENEL",IF(ISNUMBER(SEARCH("suministro",PL[[#This Row],[SUPPLIER NOTES]])),"Suministros",IF(PL[[#This Row],[SC]]="SOCIAL","Social",IF(ISNUMBER(SEARCH("monolito",PL[[#This Row],[DESCRIPTION]])),"Monolitos","Varios")))))</f>
        <v>Cerrados IUP</v>
      </c>
      <c r="Q6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2" spans="1:17" s="157" customFormat="1" hidden="1" x14ac:dyDescent="0.2">
      <c r="A672" s="151" t="s">
        <v>2914</v>
      </c>
      <c r="B672" s="154" t="s">
        <v>1314</v>
      </c>
      <c r="C672" s="154">
        <v>9</v>
      </c>
      <c r="D672" s="153" t="s">
        <v>3381</v>
      </c>
      <c r="E672" s="154" t="s">
        <v>2915</v>
      </c>
      <c r="F672" s="154" t="s">
        <v>2916</v>
      </c>
      <c r="G672" s="154" t="s">
        <v>1289</v>
      </c>
      <c r="H672" s="154"/>
      <c r="I672" s="154"/>
      <c r="J672" s="154" t="s">
        <v>74</v>
      </c>
      <c r="K672" s="154" t="s">
        <v>3394</v>
      </c>
      <c r="L672" s="154"/>
      <c r="M672" s="156"/>
      <c r="N672" s="154" t="str">
        <f>IF(ISNUMBER(PL[[#This Row],[CTO]]),"CTO "&amp;PL[[#This Row],[CTO]],"Otros")</f>
        <v>CTO 9</v>
      </c>
      <c r="O672" s="154" t="str">
        <f>IF(PL[[#This Row],[STATUS IUP]]="CERRADO","CERRADO",IF(ISNUMBER(SEARCH("validacion de enel",PL[[#This Row],[SUPPLIER NOTES]])),"PTE Validar Enel","ABIERTO"))</f>
        <v>CERRADO</v>
      </c>
      <c r="P672" s="154" t="str">
        <f>IF(PL[[#This Row],[ESTADO]]="CERRADO","Cerrados IUP",IF(PL[[#This Row],[ESTADO]]="PTE Validar Enel","Pendiente cierre ENEL",IF(ISNUMBER(SEARCH("suministro",PL[[#This Row],[SUPPLIER NOTES]])),"Suministros",IF(PL[[#This Row],[SC]]="SOCIAL","Social",IF(ISNUMBER(SEARCH("monolito",PL[[#This Row],[DESCRIPTION]])),"Monolitos","Varios")))))</f>
        <v>Cerrados IUP</v>
      </c>
      <c r="Q6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3" spans="1:17" s="157" customFormat="1" hidden="1" x14ac:dyDescent="0.2">
      <c r="A673" s="151" t="s">
        <v>1634</v>
      </c>
      <c r="B673" s="154" t="s">
        <v>1314</v>
      </c>
      <c r="C673" s="154">
        <v>9</v>
      </c>
      <c r="D673" s="153" t="s">
        <v>3381</v>
      </c>
      <c r="E673" s="154" t="s">
        <v>1635</v>
      </c>
      <c r="F673" s="154" t="s">
        <v>1636</v>
      </c>
      <c r="G673" s="154" t="s">
        <v>1290</v>
      </c>
      <c r="H673" s="154"/>
      <c r="I673" s="154"/>
      <c r="J673" s="154" t="s">
        <v>74</v>
      </c>
      <c r="K673" s="154" t="s">
        <v>3394</v>
      </c>
      <c r="L673" s="154"/>
      <c r="M673" s="156"/>
      <c r="N673" s="154" t="str">
        <f>IF(ISNUMBER(PL[[#This Row],[CTO]]),"CTO "&amp;PL[[#This Row],[CTO]],"Otros")</f>
        <v>CTO 9</v>
      </c>
      <c r="O673" s="154" t="str">
        <f>IF(PL[[#This Row],[STATUS IUP]]="CERRADO","CERRADO",IF(ISNUMBER(SEARCH("validacion de enel",PL[[#This Row],[SUPPLIER NOTES]])),"PTE Validar Enel","ABIERTO"))</f>
        <v>CERRADO</v>
      </c>
      <c r="P673" s="154" t="str">
        <f>IF(PL[[#This Row],[ESTADO]]="CERRADO","Cerrados IUP",IF(PL[[#This Row],[ESTADO]]="PTE Validar Enel","Pendiente cierre ENEL",IF(ISNUMBER(SEARCH("suministro",PL[[#This Row],[SUPPLIER NOTES]])),"Suministros",IF(PL[[#This Row],[SC]]="SOCIAL","Social",IF(ISNUMBER(SEARCH("monolito",PL[[#This Row],[DESCRIPTION]])),"Monolitos","Varios")))))</f>
        <v>Cerrados IUP</v>
      </c>
      <c r="Q6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4" spans="1:17" s="157" customFormat="1" hidden="1" x14ac:dyDescent="0.2">
      <c r="A674" s="151" t="s">
        <v>1637</v>
      </c>
      <c r="B674" s="154" t="s">
        <v>1314</v>
      </c>
      <c r="C674" s="154">
        <v>9</v>
      </c>
      <c r="D674" s="153" t="s">
        <v>3381</v>
      </c>
      <c r="E674" s="154" t="s">
        <v>1638</v>
      </c>
      <c r="F674" s="154" t="s">
        <v>1639</v>
      </c>
      <c r="G674" s="154" t="s">
        <v>1289</v>
      </c>
      <c r="H674" s="154" t="s">
        <v>294</v>
      </c>
      <c r="I674" s="154" t="s">
        <v>294</v>
      </c>
      <c r="J674" s="154" t="s">
        <v>74</v>
      </c>
      <c r="K674" s="154" t="s">
        <v>3394</v>
      </c>
      <c r="L674" s="161">
        <v>46231</v>
      </c>
      <c r="M674" s="160">
        <v>46231</v>
      </c>
      <c r="N674" s="154" t="str">
        <f>IF(ISNUMBER(PL[[#This Row],[CTO]]),"CTO "&amp;PL[[#This Row],[CTO]],"Otros")</f>
        <v>CTO 9</v>
      </c>
      <c r="O674" s="154" t="str">
        <f>IF(PL[[#This Row],[STATUS IUP]]="CERRADO","CERRADO",IF(ISNUMBER(SEARCH("validacion de enel",PL[[#This Row],[SUPPLIER NOTES]])),"PTE Validar Enel","ABIERTO"))</f>
        <v>CERRADO</v>
      </c>
      <c r="P674" s="154" t="str">
        <f>IF(PL[[#This Row],[ESTADO]]="CERRADO","Cerrados IUP",IF(PL[[#This Row],[ESTADO]]="PTE Validar Enel","Pendiente cierre ENEL",IF(ISNUMBER(SEARCH("suministro",PL[[#This Row],[SUPPLIER NOTES]])),"Suministros",IF(PL[[#This Row],[SC]]="SOCIAL","Social",IF(ISNUMBER(SEARCH("monolito",PL[[#This Row],[DESCRIPTION]])),"Monolitos","Varios")))))</f>
        <v>Cerrados IUP</v>
      </c>
      <c r="Q6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5" spans="1:17" s="157" customFormat="1" hidden="1" x14ac:dyDescent="0.2">
      <c r="A675" s="151" t="s">
        <v>2127</v>
      </c>
      <c r="B675" s="154" t="s">
        <v>1314</v>
      </c>
      <c r="C675" s="154">
        <v>9</v>
      </c>
      <c r="D675" s="153" t="s">
        <v>3381</v>
      </c>
      <c r="E675" s="154" t="s">
        <v>2128</v>
      </c>
      <c r="F675" s="154" t="s">
        <v>2129</v>
      </c>
      <c r="G675" s="154" t="s">
        <v>1290</v>
      </c>
      <c r="H675" s="154" t="s">
        <v>73</v>
      </c>
      <c r="I675" s="154" t="s">
        <v>73</v>
      </c>
      <c r="J675" s="154" t="s">
        <v>74</v>
      </c>
      <c r="K675" s="154" t="s">
        <v>3394</v>
      </c>
      <c r="L675" s="161">
        <v>46211</v>
      </c>
      <c r="M675" s="160">
        <v>46211</v>
      </c>
      <c r="N675" s="154" t="str">
        <f>IF(ISNUMBER(PL[[#This Row],[CTO]]),"CTO "&amp;PL[[#This Row],[CTO]],"Otros")</f>
        <v>CTO 9</v>
      </c>
      <c r="O675" s="154" t="str">
        <f>IF(PL[[#This Row],[STATUS IUP]]="CERRADO","CERRADO",IF(ISNUMBER(SEARCH("validacion de enel",PL[[#This Row],[SUPPLIER NOTES]])),"PTE Validar Enel","ABIERTO"))</f>
        <v>CERRADO</v>
      </c>
      <c r="P675" s="154" t="str">
        <f>IF(PL[[#This Row],[ESTADO]]="CERRADO","Cerrados IUP",IF(PL[[#This Row],[ESTADO]]="PTE Validar Enel","Pendiente cierre ENEL",IF(ISNUMBER(SEARCH("suministro",PL[[#This Row],[SUPPLIER NOTES]])),"Suministros",IF(PL[[#This Row],[SC]]="SOCIAL","Social",IF(ISNUMBER(SEARCH("monolito",PL[[#This Row],[DESCRIPTION]])),"Monolitos","Varios")))))</f>
        <v>Cerrados IUP</v>
      </c>
      <c r="Q6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6" spans="1:17" s="157" customFormat="1" hidden="1" x14ac:dyDescent="0.2">
      <c r="A676" s="151" t="s">
        <v>2335</v>
      </c>
      <c r="B676" s="154" t="s">
        <v>1314</v>
      </c>
      <c r="C676" s="154">
        <v>9</v>
      </c>
      <c r="D676" s="153" t="s">
        <v>3381</v>
      </c>
      <c r="E676" s="154" t="s">
        <v>2336</v>
      </c>
      <c r="F676" s="154" t="s">
        <v>2337</v>
      </c>
      <c r="G676" s="154" t="s">
        <v>1289</v>
      </c>
      <c r="H676" s="154"/>
      <c r="I676" s="154"/>
      <c r="J676" s="154" t="s">
        <v>74</v>
      </c>
      <c r="K676" s="154" t="s">
        <v>3394</v>
      </c>
      <c r="L676" s="154"/>
      <c r="M676" s="156"/>
      <c r="N676" s="154" t="str">
        <f>IF(ISNUMBER(PL[[#This Row],[CTO]]),"CTO "&amp;PL[[#This Row],[CTO]],"Otros")</f>
        <v>CTO 9</v>
      </c>
      <c r="O676" s="154" t="str">
        <f>IF(PL[[#This Row],[STATUS IUP]]="CERRADO","CERRADO",IF(ISNUMBER(SEARCH("validacion de enel",PL[[#This Row],[SUPPLIER NOTES]])),"PTE Validar Enel","ABIERTO"))</f>
        <v>CERRADO</v>
      </c>
      <c r="P676" s="154" t="str">
        <f>IF(PL[[#This Row],[ESTADO]]="CERRADO","Cerrados IUP",IF(PL[[#This Row],[ESTADO]]="PTE Validar Enel","Pendiente cierre ENEL",IF(ISNUMBER(SEARCH("suministro",PL[[#This Row],[SUPPLIER NOTES]])),"Suministros",IF(PL[[#This Row],[SC]]="SOCIAL","Social",IF(ISNUMBER(SEARCH("monolito",PL[[#This Row],[DESCRIPTION]])),"Monolitos","Varios")))))</f>
        <v>Cerrados IUP</v>
      </c>
      <c r="Q6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7" spans="1:17" s="157" customFormat="1" hidden="1" x14ac:dyDescent="0.2">
      <c r="A677" s="151" t="s">
        <v>2124</v>
      </c>
      <c r="B677" s="154" t="s">
        <v>1314</v>
      </c>
      <c r="C677" s="154">
        <v>9</v>
      </c>
      <c r="D677" s="153" t="s">
        <v>3381</v>
      </c>
      <c r="E677" s="154" t="s">
        <v>2125</v>
      </c>
      <c r="F677" s="154" t="s">
        <v>2126</v>
      </c>
      <c r="G677" s="154" t="s">
        <v>1290</v>
      </c>
      <c r="H677" s="154" t="s">
        <v>294</v>
      </c>
      <c r="I677" s="154" t="s">
        <v>294</v>
      </c>
      <c r="J677" s="154" t="s">
        <v>74</v>
      </c>
      <c r="K677" s="154" t="s">
        <v>3394</v>
      </c>
      <c r="L677" s="161">
        <v>46231</v>
      </c>
      <c r="M677" s="160">
        <v>46231</v>
      </c>
      <c r="N677" s="154" t="str">
        <f>IF(ISNUMBER(PL[[#This Row],[CTO]]),"CTO "&amp;PL[[#This Row],[CTO]],"Otros")</f>
        <v>CTO 9</v>
      </c>
      <c r="O677" s="154" t="str">
        <f>IF(PL[[#This Row],[STATUS IUP]]="CERRADO","CERRADO",IF(ISNUMBER(SEARCH("validacion de enel",PL[[#This Row],[SUPPLIER NOTES]])),"PTE Validar Enel","ABIERTO"))</f>
        <v>CERRADO</v>
      </c>
      <c r="P677" s="154" t="str">
        <f>IF(PL[[#This Row],[ESTADO]]="CERRADO","Cerrados IUP",IF(PL[[#This Row],[ESTADO]]="PTE Validar Enel","Pendiente cierre ENEL",IF(ISNUMBER(SEARCH("suministro",PL[[#This Row],[SUPPLIER NOTES]])),"Suministros",IF(PL[[#This Row],[SC]]="SOCIAL","Social",IF(ISNUMBER(SEARCH("monolito",PL[[#This Row],[DESCRIPTION]])),"Monolitos","Varios")))))</f>
        <v>Cerrados IUP</v>
      </c>
      <c r="Q6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8" spans="1:17" s="157" customFormat="1" hidden="1" x14ac:dyDescent="0.2">
      <c r="A678" s="151" t="s">
        <v>2196</v>
      </c>
      <c r="B678" s="154" t="s">
        <v>8</v>
      </c>
      <c r="C678" s="154">
        <v>9</v>
      </c>
      <c r="D678" s="153" t="s">
        <v>3381</v>
      </c>
      <c r="E678" s="154" t="s">
        <v>2197</v>
      </c>
      <c r="F678" s="154" t="s">
        <v>2198</v>
      </c>
      <c r="G678" s="154" t="s">
        <v>128</v>
      </c>
      <c r="H678" s="154" t="s">
        <v>163</v>
      </c>
      <c r="I678" s="154" t="s">
        <v>163</v>
      </c>
      <c r="J678" s="154" t="s">
        <v>74</v>
      </c>
      <c r="K678" s="154" t="s">
        <v>3394</v>
      </c>
      <c r="L678" s="161">
        <v>46226</v>
      </c>
      <c r="M678" s="160">
        <v>46226</v>
      </c>
      <c r="N678" s="154" t="str">
        <f>IF(ISNUMBER(PL[[#This Row],[CTO]]),"CTO "&amp;PL[[#This Row],[CTO]],"Otros")</f>
        <v>CTO 9</v>
      </c>
      <c r="O678" s="154" t="str">
        <f>IF(PL[[#This Row],[STATUS IUP]]="CERRADO","CERRADO",IF(ISNUMBER(SEARCH("validacion de enel",PL[[#This Row],[SUPPLIER NOTES]])),"PTE Validar Enel","ABIERTO"))</f>
        <v>CERRADO</v>
      </c>
      <c r="P678" s="154" t="str">
        <f>IF(PL[[#This Row],[ESTADO]]="CERRADO","Cerrados IUP",IF(PL[[#This Row],[ESTADO]]="PTE Validar Enel","Pendiente cierre ENEL",IF(ISNUMBER(SEARCH("suministro",PL[[#This Row],[SUPPLIER NOTES]])),"Suministros",IF(PL[[#This Row],[SC]]="SOCIAL","Social",IF(ISNUMBER(SEARCH("monolito",PL[[#This Row],[DESCRIPTION]])),"Monolitos","Varios")))))</f>
        <v>Cerrados IUP</v>
      </c>
      <c r="Q6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79" spans="1:17" s="157" customFormat="1" hidden="1" x14ac:dyDescent="0.2">
      <c r="A679" s="151" t="s">
        <v>1760</v>
      </c>
      <c r="B679" s="154" t="s">
        <v>8</v>
      </c>
      <c r="C679" s="154">
        <v>9</v>
      </c>
      <c r="D679" s="153" t="s">
        <v>3381</v>
      </c>
      <c r="E679" s="154" t="s">
        <v>1761</v>
      </c>
      <c r="F679" s="154" t="s">
        <v>1762</v>
      </c>
      <c r="G679" s="154" t="s">
        <v>128</v>
      </c>
      <c r="H679" s="154" t="s">
        <v>163</v>
      </c>
      <c r="I679" s="154" t="s">
        <v>163</v>
      </c>
      <c r="J679" s="154" t="s">
        <v>74</v>
      </c>
      <c r="K679" s="154" t="s">
        <v>3394</v>
      </c>
      <c r="L679" s="161">
        <v>46226</v>
      </c>
      <c r="M679" s="160">
        <v>46226</v>
      </c>
      <c r="N679" s="154" t="str">
        <f>IF(ISNUMBER(PL[[#This Row],[CTO]]),"CTO "&amp;PL[[#This Row],[CTO]],"Otros")</f>
        <v>CTO 9</v>
      </c>
      <c r="O679" s="154" t="str">
        <f>IF(PL[[#This Row],[STATUS IUP]]="CERRADO","CERRADO",IF(ISNUMBER(SEARCH("validacion de enel",PL[[#This Row],[SUPPLIER NOTES]])),"PTE Validar Enel","ABIERTO"))</f>
        <v>CERRADO</v>
      </c>
      <c r="P679" s="154" t="str">
        <f>IF(PL[[#This Row],[ESTADO]]="CERRADO","Cerrados IUP",IF(PL[[#This Row],[ESTADO]]="PTE Validar Enel","Pendiente cierre ENEL",IF(ISNUMBER(SEARCH("suministro",PL[[#This Row],[SUPPLIER NOTES]])),"Suministros",IF(PL[[#This Row],[SC]]="SOCIAL","Social",IF(ISNUMBER(SEARCH("monolito",PL[[#This Row],[DESCRIPTION]])),"Monolitos","Varios")))))</f>
        <v>Cerrados IUP</v>
      </c>
      <c r="Q6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0" spans="1:17" s="157" customFormat="1" ht="16" hidden="1" x14ac:dyDescent="0.2">
      <c r="A680" s="151" t="s">
        <v>1714</v>
      </c>
      <c r="B680" s="152" t="s">
        <v>41</v>
      </c>
      <c r="C680" s="154">
        <v>9</v>
      </c>
      <c r="D680" s="153" t="s">
        <v>3381</v>
      </c>
      <c r="E680" s="154" t="s">
        <v>1715</v>
      </c>
      <c r="F680" s="152" t="s">
        <v>1716</v>
      </c>
      <c r="G680" s="154" t="s">
        <v>1289</v>
      </c>
      <c r="H680" s="154" t="s">
        <v>3454</v>
      </c>
      <c r="I680" s="154"/>
      <c r="J680" s="154" t="s">
        <v>74</v>
      </c>
      <c r="K680" s="154" t="s">
        <v>3394</v>
      </c>
      <c r="L680" s="155">
        <v>46294</v>
      </c>
      <c r="M680" s="156"/>
      <c r="N680" s="154" t="str">
        <f>IF(ISNUMBER(PL[[#This Row],[CTO]]),"CTO "&amp;PL[[#This Row],[CTO]],"Otros")</f>
        <v>CTO 9</v>
      </c>
      <c r="O680" s="154" t="str">
        <f>IF(PL[[#This Row],[STATUS IUP]]="CERRADO","CERRADO",IF(ISNUMBER(SEARCH("validacion de enel",PL[[#This Row],[SUPPLIER NOTES]])),"PTE Validar Enel","ABIERTO"))</f>
        <v>CERRADO</v>
      </c>
      <c r="P680" s="154" t="str">
        <f>IF(PL[[#This Row],[ESTADO]]="CERRADO","Cerrados IUP",IF(PL[[#This Row],[ESTADO]]="PTE Validar Enel","Pendiente cierre ENEL",IF(ISNUMBER(SEARCH("suministro",PL[[#This Row],[SUPPLIER NOTES]])),"Suministros",IF(PL[[#This Row],[SC]]="SOCIAL","Social",IF(ISNUMBER(SEARCH("monolito",PL[[#This Row],[DESCRIPTION]])),"Monolitos","Varios")))))</f>
        <v>Cerrados IUP</v>
      </c>
      <c r="Q6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1" spans="1:17" s="157" customFormat="1" hidden="1" x14ac:dyDescent="0.2">
      <c r="A681" s="151" t="s">
        <v>2503</v>
      </c>
      <c r="B681" s="154" t="s">
        <v>41</v>
      </c>
      <c r="C681" s="154">
        <v>9</v>
      </c>
      <c r="D681" s="153" t="s">
        <v>3381</v>
      </c>
      <c r="E681" s="154" t="s">
        <v>2504</v>
      </c>
      <c r="F681" s="154" t="s">
        <v>2505</v>
      </c>
      <c r="G681" s="154" t="s">
        <v>1289</v>
      </c>
      <c r="H681" s="154"/>
      <c r="I681" s="154"/>
      <c r="J681" s="154" t="s">
        <v>74</v>
      </c>
      <c r="K681" s="154" t="s">
        <v>3394</v>
      </c>
      <c r="L681" s="154"/>
      <c r="M681" s="156"/>
      <c r="N681" s="154" t="str">
        <f>IF(ISNUMBER(PL[[#This Row],[CTO]]),"CTO "&amp;PL[[#This Row],[CTO]],"Otros")</f>
        <v>CTO 9</v>
      </c>
      <c r="O681" s="154" t="str">
        <f>IF(PL[[#This Row],[STATUS IUP]]="CERRADO","CERRADO",IF(ISNUMBER(SEARCH("validacion de enel",PL[[#This Row],[SUPPLIER NOTES]])),"PTE Validar Enel","ABIERTO"))</f>
        <v>CERRADO</v>
      </c>
      <c r="P681" s="154" t="str">
        <f>IF(PL[[#This Row],[ESTADO]]="CERRADO","Cerrados IUP",IF(PL[[#This Row],[ESTADO]]="PTE Validar Enel","Pendiente cierre ENEL",IF(ISNUMBER(SEARCH("suministro",PL[[#This Row],[SUPPLIER NOTES]])),"Suministros",IF(PL[[#This Row],[SC]]="SOCIAL","Social",IF(ISNUMBER(SEARCH("monolito",PL[[#This Row],[DESCRIPTION]])),"Monolitos","Varios")))))</f>
        <v>Cerrados IUP</v>
      </c>
      <c r="Q6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2" spans="1:17" s="157" customFormat="1" hidden="1" x14ac:dyDescent="0.2">
      <c r="A682" s="151" t="s">
        <v>1774</v>
      </c>
      <c r="B682" s="154" t="s">
        <v>1314</v>
      </c>
      <c r="C682" s="154">
        <v>9</v>
      </c>
      <c r="D682" s="153" t="s">
        <v>3381</v>
      </c>
      <c r="E682" s="154" t="s">
        <v>1775</v>
      </c>
      <c r="F682" s="154" t="s">
        <v>1776</v>
      </c>
      <c r="G682" s="154" t="s">
        <v>1290</v>
      </c>
      <c r="H682" s="154"/>
      <c r="I682" s="154"/>
      <c r="J682" s="154" t="s">
        <v>74</v>
      </c>
      <c r="K682" s="154" t="s">
        <v>3394</v>
      </c>
      <c r="L682" s="154"/>
      <c r="M682" s="156"/>
      <c r="N682" s="154" t="str">
        <f>IF(ISNUMBER(PL[[#This Row],[CTO]]),"CTO "&amp;PL[[#This Row],[CTO]],"Otros")</f>
        <v>CTO 9</v>
      </c>
      <c r="O682" s="154" t="str">
        <f>IF(PL[[#This Row],[STATUS IUP]]="CERRADO","CERRADO",IF(ISNUMBER(SEARCH("validacion de enel",PL[[#This Row],[SUPPLIER NOTES]])),"PTE Validar Enel","ABIERTO"))</f>
        <v>CERRADO</v>
      </c>
      <c r="P682" s="154" t="str">
        <f>IF(PL[[#This Row],[ESTADO]]="CERRADO","Cerrados IUP",IF(PL[[#This Row],[ESTADO]]="PTE Validar Enel","Pendiente cierre ENEL",IF(ISNUMBER(SEARCH("suministro",PL[[#This Row],[SUPPLIER NOTES]])),"Suministros",IF(PL[[#This Row],[SC]]="SOCIAL","Social",IF(ISNUMBER(SEARCH("monolito",PL[[#This Row],[DESCRIPTION]])),"Monolitos","Varios")))))</f>
        <v>Cerrados IUP</v>
      </c>
      <c r="Q6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3" spans="1:17" s="157" customFormat="1" hidden="1" x14ac:dyDescent="0.2">
      <c r="A683" s="151" t="s">
        <v>1779</v>
      </c>
      <c r="B683" s="154" t="s">
        <v>1314</v>
      </c>
      <c r="C683" s="154">
        <v>9</v>
      </c>
      <c r="D683" s="153" t="s">
        <v>3381</v>
      </c>
      <c r="E683" s="154" t="s">
        <v>1780</v>
      </c>
      <c r="F683" s="154" t="s">
        <v>1781</v>
      </c>
      <c r="G683" s="154" t="s">
        <v>1289</v>
      </c>
      <c r="H683" s="154" t="s">
        <v>294</v>
      </c>
      <c r="I683" s="154" t="s">
        <v>294</v>
      </c>
      <c r="J683" s="154" t="s">
        <v>74</v>
      </c>
      <c r="K683" s="154" t="s">
        <v>3394</v>
      </c>
      <c r="L683" s="161">
        <v>46231</v>
      </c>
      <c r="M683" s="160">
        <v>46231</v>
      </c>
      <c r="N683" s="154" t="str">
        <f>IF(ISNUMBER(PL[[#This Row],[CTO]]),"CTO "&amp;PL[[#This Row],[CTO]],"Otros")</f>
        <v>CTO 9</v>
      </c>
      <c r="O683" s="154" t="str">
        <f>IF(PL[[#This Row],[STATUS IUP]]="CERRADO","CERRADO",IF(ISNUMBER(SEARCH("validacion de enel",PL[[#This Row],[SUPPLIER NOTES]])),"PTE Validar Enel","ABIERTO"))</f>
        <v>CERRADO</v>
      </c>
      <c r="P683" s="154" t="str">
        <f>IF(PL[[#This Row],[ESTADO]]="CERRADO","Cerrados IUP",IF(PL[[#This Row],[ESTADO]]="PTE Validar Enel","Pendiente cierre ENEL",IF(ISNUMBER(SEARCH("suministro",PL[[#This Row],[SUPPLIER NOTES]])),"Suministros",IF(PL[[#This Row],[SC]]="SOCIAL","Social",IF(ISNUMBER(SEARCH("monolito",PL[[#This Row],[DESCRIPTION]])),"Monolitos","Varios")))))</f>
        <v>Cerrados IUP</v>
      </c>
      <c r="Q6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4" spans="1:17" s="157" customFormat="1" hidden="1" x14ac:dyDescent="0.2">
      <c r="A684" s="151" t="s">
        <v>1771</v>
      </c>
      <c r="B684" s="154" t="s">
        <v>1314</v>
      </c>
      <c r="C684" s="154">
        <v>9</v>
      </c>
      <c r="D684" s="153" t="s">
        <v>3381</v>
      </c>
      <c r="E684" s="154" t="s">
        <v>1772</v>
      </c>
      <c r="F684" s="154" t="s">
        <v>1773</v>
      </c>
      <c r="G684" s="154" t="s">
        <v>1289</v>
      </c>
      <c r="H684" s="154" t="s">
        <v>294</v>
      </c>
      <c r="I684" s="154" t="s">
        <v>294</v>
      </c>
      <c r="J684" s="154" t="s">
        <v>74</v>
      </c>
      <c r="K684" s="154" t="s">
        <v>3394</v>
      </c>
      <c r="L684" s="161">
        <v>46231</v>
      </c>
      <c r="M684" s="160">
        <v>46231</v>
      </c>
      <c r="N684" s="154" t="str">
        <f>IF(ISNUMBER(PL[[#This Row],[CTO]]),"CTO "&amp;PL[[#This Row],[CTO]],"Otros")</f>
        <v>CTO 9</v>
      </c>
      <c r="O684" s="154" t="str">
        <f>IF(PL[[#This Row],[STATUS IUP]]="CERRADO","CERRADO",IF(ISNUMBER(SEARCH("validacion de enel",PL[[#This Row],[SUPPLIER NOTES]])),"PTE Validar Enel","ABIERTO"))</f>
        <v>CERRADO</v>
      </c>
      <c r="P684" s="154" t="str">
        <f>IF(PL[[#This Row],[ESTADO]]="CERRADO","Cerrados IUP",IF(PL[[#This Row],[ESTADO]]="PTE Validar Enel","Pendiente cierre ENEL",IF(ISNUMBER(SEARCH("suministro",PL[[#This Row],[SUPPLIER NOTES]])),"Suministros",IF(PL[[#This Row],[SC]]="SOCIAL","Social",IF(ISNUMBER(SEARCH("monolito",PL[[#This Row],[DESCRIPTION]])),"Monolitos","Varios")))))</f>
        <v>Cerrados IUP</v>
      </c>
      <c r="Q6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5" spans="1:17" s="157" customFormat="1" hidden="1" x14ac:dyDescent="0.2">
      <c r="A685" s="151" t="s">
        <v>1729</v>
      </c>
      <c r="B685" s="154" t="s">
        <v>1291</v>
      </c>
      <c r="C685" s="154">
        <v>9</v>
      </c>
      <c r="D685" s="153" t="s">
        <v>3381</v>
      </c>
      <c r="E685" s="154" t="s">
        <v>1730</v>
      </c>
      <c r="F685" s="154" t="s">
        <v>1731</v>
      </c>
      <c r="G685" s="154" t="s">
        <v>1290</v>
      </c>
      <c r="H685" s="154" t="s">
        <v>294</v>
      </c>
      <c r="I685" s="154" t="s">
        <v>294</v>
      </c>
      <c r="J685" s="154" t="s">
        <v>74</v>
      </c>
      <c r="K685" s="154" t="s">
        <v>3394</v>
      </c>
      <c r="L685" s="161">
        <v>46231</v>
      </c>
      <c r="M685" s="160">
        <v>46231</v>
      </c>
      <c r="N685" s="154" t="str">
        <f>IF(ISNUMBER(PL[[#This Row],[CTO]]),"CTO "&amp;PL[[#This Row],[CTO]],"Otros")</f>
        <v>CTO 9</v>
      </c>
      <c r="O685" s="154" t="str">
        <f>IF(PL[[#This Row],[STATUS IUP]]="CERRADO","CERRADO",IF(ISNUMBER(SEARCH("validacion de enel",PL[[#This Row],[SUPPLIER NOTES]])),"PTE Validar Enel","ABIERTO"))</f>
        <v>CERRADO</v>
      </c>
      <c r="P685" s="154" t="str">
        <f>IF(PL[[#This Row],[ESTADO]]="CERRADO","Cerrados IUP",IF(PL[[#This Row],[ESTADO]]="PTE Validar Enel","Pendiente cierre ENEL",IF(ISNUMBER(SEARCH("suministro",PL[[#This Row],[SUPPLIER NOTES]])),"Suministros",IF(PL[[#This Row],[SC]]="SOCIAL","Social",IF(ISNUMBER(SEARCH("monolito",PL[[#This Row],[DESCRIPTION]])),"Monolitos","Varios")))))</f>
        <v>Cerrados IUP</v>
      </c>
      <c r="Q6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6" spans="1:17" s="157" customFormat="1" hidden="1" x14ac:dyDescent="0.2">
      <c r="A686" s="151" t="s">
        <v>2535</v>
      </c>
      <c r="B686" s="154" t="s">
        <v>929</v>
      </c>
      <c r="C686" s="154">
        <v>9</v>
      </c>
      <c r="D686" s="153" t="s">
        <v>3381</v>
      </c>
      <c r="E686" s="154" t="s">
        <v>2536</v>
      </c>
      <c r="F686" s="154" t="s">
        <v>2537</v>
      </c>
      <c r="G686" s="154" t="s">
        <v>1289</v>
      </c>
      <c r="H686" s="154"/>
      <c r="I686" s="154"/>
      <c r="J686" s="154" t="s">
        <v>74</v>
      </c>
      <c r="K686" s="154" t="s">
        <v>3394</v>
      </c>
      <c r="L686" s="154"/>
      <c r="M686" s="156"/>
      <c r="N686" s="154" t="str">
        <f>IF(ISNUMBER(PL[[#This Row],[CTO]]),"CTO "&amp;PL[[#This Row],[CTO]],"Otros")</f>
        <v>CTO 9</v>
      </c>
      <c r="O686" s="154" t="str">
        <f>IF(PL[[#This Row],[STATUS IUP]]="CERRADO","CERRADO",IF(ISNUMBER(SEARCH("validacion de enel",PL[[#This Row],[SUPPLIER NOTES]])),"PTE Validar Enel","ABIERTO"))</f>
        <v>CERRADO</v>
      </c>
      <c r="P686" s="154" t="str">
        <f>IF(PL[[#This Row],[ESTADO]]="CERRADO","Cerrados IUP",IF(PL[[#This Row],[ESTADO]]="PTE Validar Enel","Pendiente cierre ENEL",IF(ISNUMBER(SEARCH("suministro",PL[[#This Row],[SUPPLIER NOTES]])),"Suministros",IF(PL[[#This Row],[SC]]="SOCIAL","Social",IF(ISNUMBER(SEARCH("monolito",PL[[#This Row],[DESCRIPTION]])),"Monolitos","Varios")))))</f>
        <v>Cerrados IUP</v>
      </c>
      <c r="Q6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7" spans="1:17" s="157" customFormat="1" hidden="1" x14ac:dyDescent="0.2">
      <c r="A687" s="151" t="s">
        <v>1786</v>
      </c>
      <c r="B687" s="154" t="s">
        <v>8</v>
      </c>
      <c r="C687" s="154">
        <v>9</v>
      </c>
      <c r="D687" s="153" t="s">
        <v>3381</v>
      </c>
      <c r="E687" s="154" t="s">
        <v>1787</v>
      </c>
      <c r="F687" s="154" t="s">
        <v>1788</v>
      </c>
      <c r="G687" s="154" t="s">
        <v>128</v>
      </c>
      <c r="H687" s="154" t="s">
        <v>163</v>
      </c>
      <c r="I687" s="154" t="s">
        <v>163</v>
      </c>
      <c r="J687" s="154" t="s">
        <v>74</v>
      </c>
      <c r="K687" s="154" t="s">
        <v>3394</v>
      </c>
      <c r="L687" s="161">
        <v>46226</v>
      </c>
      <c r="M687" s="160">
        <v>46226</v>
      </c>
      <c r="N687" s="154" t="str">
        <f>IF(ISNUMBER(PL[[#This Row],[CTO]]),"CTO "&amp;PL[[#This Row],[CTO]],"Otros")</f>
        <v>CTO 9</v>
      </c>
      <c r="O687" s="154" t="str">
        <f>IF(PL[[#This Row],[STATUS IUP]]="CERRADO","CERRADO",IF(ISNUMBER(SEARCH("validacion de enel",PL[[#This Row],[SUPPLIER NOTES]])),"PTE Validar Enel","ABIERTO"))</f>
        <v>CERRADO</v>
      </c>
      <c r="P687" s="154" t="str">
        <f>IF(PL[[#This Row],[ESTADO]]="CERRADO","Cerrados IUP",IF(PL[[#This Row],[ESTADO]]="PTE Validar Enel","Pendiente cierre ENEL",IF(ISNUMBER(SEARCH("suministro",PL[[#This Row],[SUPPLIER NOTES]])),"Suministros",IF(PL[[#This Row],[SC]]="SOCIAL","Social",IF(ISNUMBER(SEARCH("monolito",PL[[#This Row],[DESCRIPTION]])),"Monolitos","Varios")))))</f>
        <v>Cerrados IUP</v>
      </c>
      <c r="Q6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8" spans="1:17" s="157" customFormat="1" hidden="1" x14ac:dyDescent="0.2">
      <c r="A688" s="151" t="s">
        <v>2532</v>
      </c>
      <c r="B688" s="154" t="s">
        <v>41</v>
      </c>
      <c r="C688" s="154">
        <v>9</v>
      </c>
      <c r="D688" s="153" t="s">
        <v>3381</v>
      </c>
      <c r="E688" s="154" t="s">
        <v>2533</v>
      </c>
      <c r="F688" s="154" t="s">
        <v>2534</v>
      </c>
      <c r="G688" s="154" t="s">
        <v>1290</v>
      </c>
      <c r="H688" s="154" t="s">
        <v>73</v>
      </c>
      <c r="I688" s="154" t="s">
        <v>73</v>
      </c>
      <c r="J688" s="154" t="s">
        <v>74</v>
      </c>
      <c r="K688" s="154" t="s">
        <v>3394</v>
      </c>
      <c r="L688" s="161">
        <v>46211</v>
      </c>
      <c r="M688" s="160">
        <v>46211</v>
      </c>
      <c r="N688" s="154" t="str">
        <f>IF(ISNUMBER(PL[[#This Row],[CTO]]),"CTO "&amp;PL[[#This Row],[CTO]],"Otros")</f>
        <v>CTO 9</v>
      </c>
      <c r="O688" s="154" t="str">
        <f>IF(PL[[#This Row],[STATUS IUP]]="CERRADO","CERRADO",IF(ISNUMBER(SEARCH("validacion de enel",PL[[#This Row],[SUPPLIER NOTES]])),"PTE Validar Enel","ABIERTO"))</f>
        <v>CERRADO</v>
      </c>
      <c r="P688" s="154" t="str">
        <f>IF(PL[[#This Row],[ESTADO]]="CERRADO","Cerrados IUP",IF(PL[[#This Row],[ESTADO]]="PTE Validar Enel","Pendiente cierre ENEL",IF(ISNUMBER(SEARCH("suministro",PL[[#This Row],[SUPPLIER NOTES]])),"Suministros",IF(PL[[#This Row],[SC]]="SOCIAL","Social",IF(ISNUMBER(SEARCH("monolito",PL[[#This Row],[DESCRIPTION]])),"Monolitos","Varios")))))</f>
        <v>Cerrados IUP</v>
      </c>
      <c r="Q6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89" spans="1:17" s="157" customFormat="1" hidden="1" x14ac:dyDescent="0.2">
      <c r="A689" s="151" t="s">
        <v>2121</v>
      </c>
      <c r="B689" s="154" t="s">
        <v>1314</v>
      </c>
      <c r="C689" s="154">
        <v>9</v>
      </c>
      <c r="D689" s="153" t="s">
        <v>3381</v>
      </c>
      <c r="E689" s="154" t="s">
        <v>2122</v>
      </c>
      <c r="F689" s="154" t="s">
        <v>2123</v>
      </c>
      <c r="G689" s="154" t="s">
        <v>1290</v>
      </c>
      <c r="H689" s="154" t="s">
        <v>163</v>
      </c>
      <c r="I689" s="154" t="s">
        <v>163</v>
      </c>
      <c r="J689" s="154" t="s">
        <v>74</v>
      </c>
      <c r="K689" s="154" t="s">
        <v>3394</v>
      </c>
      <c r="L689" s="161">
        <v>46231</v>
      </c>
      <c r="M689" s="160">
        <v>46231</v>
      </c>
      <c r="N689" s="154" t="str">
        <f>IF(ISNUMBER(PL[[#This Row],[CTO]]),"CTO "&amp;PL[[#This Row],[CTO]],"Otros")</f>
        <v>CTO 9</v>
      </c>
      <c r="O689" s="154" t="str">
        <f>IF(PL[[#This Row],[STATUS IUP]]="CERRADO","CERRADO",IF(ISNUMBER(SEARCH("validacion de enel",PL[[#This Row],[SUPPLIER NOTES]])),"PTE Validar Enel","ABIERTO"))</f>
        <v>CERRADO</v>
      </c>
      <c r="P689" s="154" t="str">
        <f>IF(PL[[#This Row],[ESTADO]]="CERRADO","Cerrados IUP",IF(PL[[#This Row],[ESTADO]]="PTE Validar Enel","Pendiente cierre ENEL",IF(ISNUMBER(SEARCH("suministro",PL[[#This Row],[SUPPLIER NOTES]])),"Suministros",IF(PL[[#This Row],[SC]]="SOCIAL","Social",IF(ISNUMBER(SEARCH("monolito",PL[[#This Row],[DESCRIPTION]])),"Monolitos","Varios")))))</f>
        <v>Cerrados IUP</v>
      </c>
      <c r="Q6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0" spans="1:17" s="157" customFormat="1" hidden="1" x14ac:dyDescent="0.2">
      <c r="A690" s="151" t="s">
        <v>2864</v>
      </c>
      <c r="B690" s="154" t="s">
        <v>8</v>
      </c>
      <c r="C690" s="154">
        <v>9</v>
      </c>
      <c r="D690" s="153" t="s">
        <v>3381</v>
      </c>
      <c r="E690" s="154" t="s">
        <v>2865</v>
      </c>
      <c r="F690" s="154" t="s">
        <v>2866</v>
      </c>
      <c r="G690" s="154" t="s">
        <v>43</v>
      </c>
      <c r="H690" s="154" t="s">
        <v>2867</v>
      </c>
      <c r="I690" s="154" t="s">
        <v>2867</v>
      </c>
      <c r="J690" s="154" t="s">
        <v>74</v>
      </c>
      <c r="K690" s="154" t="s">
        <v>3394</v>
      </c>
      <c r="L690" s="161">
        <v>46220</v>
      </c>
      <c r="M690" s="160">
        <v>46220</v>
      </c>
      <c r="N690" s="154" t="str">
        <f>IF(ISNUMBER(PL[[#This Row],[CTO]]),"CTO "&amp;PL[[#This Row],[CTO]],"Otros")</f>
        <v>CTO 9</v>
      </c>
      <c r="O690" s="154" t="str">
        <f>IF(PL[[#This Row],[STATUS IUP]]="CERRADO","CERRADO",IF(ISNUMBER(SEARCH("validacion de enel",PL[[#This Row],[SUPPLIER NOTES]])),"PTE Validar Enel","ABIERTO"))</f>
        <v>CERRADO</v>
      </c>
      <c r="P690" s="154" t="str">
        <f>IF(PL[[#This Row],[ESTADO]]="CERRADO","Cerrados IUP",IF(PL[[#This Row],[ESTADO]]="PTE Validar Enel","Pendiente cierre ENEL",IF(ISNUMBER(SEARCH("suministro",PL[[#This Row],[SUPPLIER NOTES]])),"Suministros",IF(PL[[#This Row],[SC]]="SOCIAL","Social",IF(ISNUMBER(SEARCH("monolito",PL[[#This Row],[DESCRIPTION]])),"Monolitos","Varios")))))</f>
        <v>Cerrados IUP</v>
      </c>
      <c r="Q6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1" spans="1:17" s="157" customFormat="1" hidden="1" x14ac:dyDescent="0.2">
      <c r="A691" s="151" t="s">
        <v>2861</v>
      </c>
      <c r="B691" s="154" t="s">
        <v>1314</v>
      </c>
      <c r="C691" s="154">
        <v>9</v>
      </c>
      <c r="D691" s="153" t="s">
        <v>3381</v>
      </c>
      <c r="E691" s="154" t="s">
        <v>2862</v>
      </c>
      <c r="F691" s="154" t="s">
        <v>2863</v>
      </c>
      <c r="G691" s="154" t="s">
        <v>1290</v>
      </c>
      <c r="H691" s="154"/>
      <c r="I691" s="154"/>
      <c r="J691" s="154" t="s">
        <v>74</v>
      </c>
      <c r="K691" s="154" t="s">
        <v>3394</v>
      </c>
      <c r="L691" s="154"/>
      <c r="M691" s="156"/>
      <c r="N691" s="154" t="str">
        <f>IF(ISNUMBER(PL[[#This Row],[CTO]]),"CTO "&amp;PL[[#This Row],[CTO]],"Otros")</f>
        <v>CTO 9</v>
      </c>
      <c r="O691" s="154" t="str">
        <f>IF(PL[[#This Row],[STATUS IUP]]="CERRADO","CERRADO",IF(ISNUMBER(SEARCH("validacion de enel",PL[[#This Row],[SUPPLIER NOTES]])),"PTE Validar Enel","ABIERTO"))</f>
        <v>CERRADO</v>
      </c>
      <c r="P691" s="154" t="str">
        <f>IF(PL[[#This Row],[ESTADO]]="CERRADO","Cerrados IUP",IF(PL[[#This Row],[ESTADO]]="PTE Validar Enel","Pendiente cierre ENEL",IF(ISNUMBER(SEARCH("suministro",PL[[#This Row],[SUPPLIER NOTES]])),"Suministros",IF(PL[[#This Row],[SC]]="SOCIAL","Social",IF(ISNUMBER(SEARCH("monolito",PL[[#This Row],[DESCRIPTION]])),"Monolitos","Varios")))))</f>
        <v>Cerrados IUP</v>
      </c>
      <c r="Q6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2" spans="1:17" s="157" customFormat="1" hidden="1" x14ac:dyDescent="0.2">
      <c r="A692" s="151" t="s">
        <v>2212</v>
      </c>
      <c r="B692" s="154" t="s">
        <v>1314</v>
      </c>
      <c r="C692" s="154">
        <v>9</v>
      </c>
      <c r="D692" s="153" t="s">
        <v>3381</v>
      </c>
      <c r="E692" s="154" t="s">
        <v>2213</v>
      </c>
      <c r="F692" s="154" t="s">
        <v>2214</v>
      </c>
      <c r="G692" s="154" t="s">
        <v>43</v>
      </c>
      <c r="H692" s="154" t="s">
        <v>73</v>
      </c>
      <c r="I692" s="154" t="s">
        <v>1563</v>
      </c>
      <c r="J692" s="154" t="s">
        <v>74</v>
      </c>
      <c r="K692" s="154" t="s">
        <v>3394</v>
      </c>
      <c r="L692" s="161">
        <v>46220</v>
      </c>
      <c r="M692" s="160">
        <v>46220</v>
      </c>
      <c r="N692" s="154" t="str">
        <f>IF(ISNUMBER(PL[[#This Row],[CTO]]),"CTO "&amp;PL[[#This Row],[CTO]],"Otros")</f>
        <v>CTO 9</v>
      </c>
      <c r="O692" s="154" t="str">
        <f>IF(PL[[#This Row],[STATUS IUP]]="CERRADO","CERRADO",IF(ISNUMBER(SEARCH("validacion de enel",PL[[#This Row],[SUPPLIER NOTES]])),"PTE Validar Enel","ABIERTO"))</f>
        <v>CERRADO</v>
      </c>
      <c r="P692" s="154" t="str">
        <f>IF(PL[[#This Row],[ESTADO]]="CERRADO","Cerrados IUP",IF(PL[[#This Row],[ESTADO]]="PTE Validar Enel","Pendiente cierre ENEL",IF(ISNUMBER(SEARCH("suministro",PL[[#This Row],[SUPPLIER NOTES]])),"Suministros",IF(PL[[#This Row],[SC]]="SOCIAL","Social",IF(ISNUMBER(SEARCH("monolito",PL[[#This Row],[DESCRIPTION]])),"Monolitos","Varios")))))</f>
        <v>Cerrados IUP</v>
      </c>
      <c r="Q6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3" spans="1:17" s="157" customFormat="1" hidden="1" x14ac:dyDescent="0.2">
      <c r="A693" s="151" t="s">
        <v>2094</v>
      </c>
      <c r="B693" s="154" t="s">
        <v>41</v>
      </c>
      <c r="C693" s="154">
        <v>9</v>
      </c>
      <c r="D693" s="153" t="s">
        <v>3381</v>
      </c>
      <c r="E693" s="154" t="s">
        <v>2095</v>
      </c>
      <c r="F693" s="154" t="s">
        <v>2096</v>
      </c>
      <c r="G693" s="154" t="s">
        <v>1289</v>
      </c>
      <c r="H693" s="154" t="s">
        <v>294</v>
      </c>
      <c r="I693" s="154" t="s">
        <v>294</v>
      </c>
      <c r="J693" s="154" t="s">
        <v>74</v>
      </c>
      <c r="K693" s="154" t="s">
        <v>3394</v>
      </c>
      <c r="L693" s="161">
        <v>46231</v>
      </c>
      <c r="M693" s="160">
        <v>46231</v>
      </c>
      <c r="N693" s="154" t="str">
        <f>IF(ISNUMBER(PL[[#This Row],[CTO]]),"CTO "&amp;PL[[#This Row],[CTO]],"Otros")</f>
        <v>CTO 9</v>
      </c>
      <c r="O693" s="154" t="str">
        <f>IF(PL[[#This Row],[STATUS IUP]]="CERRADO","CERRADO",IF(ISNUMBER(SEARCH("validacion de enel",PL[[#This Row],[SUPPLIER NOTES]])),"PTE Validar Enel","ABIERTO"))</f>
        <v>CERRADO</v>
      </c>
      <c r="P693" s="154" t="str">
        <f>IF(PL[[#This Row],[ESTADO]]="CERRADO","Cerrados IUP",IF(PL[[#This Row],[ESTADO]]="PTE Validar Enel","Pendiente cierre ENEL",IF(ISNUMBER(SEARCH("suministro",PL[[#This Row],[SUPPLIER NOTES]])),"Suministros",IF(PL[[#This Row],[SC]]="SOCIAL","Social",IF(ISNUMBER(SEARCH("monolito",PL[[#This Row],[DESCRIPTION]])),"Monolitos","Varios")))))</f>
        <v>Cerrados IUP</v>
      </c>
      <c r="Q6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4" spans="1:17" s="157" customFormat="1" hidden="1" x14ac:dyDescent="0.2">
      <c r="A694" s="151" t="s">
        <v>1723</v>
      </c>
      <c r="B694" s="154" t="s">
        <v>8</v>
      </c>
      <c r="C694" s="154">
        <v>9</v>
      </c>
      <c r="D694" s="153" t="s">
        <v>3381</v>
      </c>
      <c r="E694" s="154" t="s">
        <v>1724</v>
      </c>
      <c r="F694" s="154" t="s">
        <v>1725</v>
      </c>
      <c r="G694" s="154" t="s">
        <v>128</v>
      </c>
      <c r="H694" s="154" t="s">
        <v>163</v>
      </c>
      <c r="I694" s="154" t="s">
        <v>163</v>
      </c>
      <c r="J694" s="154" t="s">
        <v>74</v>
      </c>
      <c r="K694" s="154" t="s">
        <v>3394</v>
      </c>
      <c r="L694" s="161">
        <v>46226</v>
      </c>
      <c r="M694" s="160">
        <v>46226</v>
      </c>
      <c r="N694" s="154" t="str">
        <f>IF(ISNUMBER(PL[[#This Row],[CTO]]),"CTO "&amp;PL[[#This Row],[CTO]],"Otros")</f>
        <v>CTO 9</v>
      </c>
      <c r="O694" s="154" t="str">
        <f>IF(PL[[#This Row],[STATUS IUP]]="CERRADO","CERRADO",IF(ISNUMBER(SEARCH("validacion de enel",PL[[#This Row],[SUPPLIER NOTES]])),"PTE Validar Enel","ABIERTO"))</f>
        <v>CERRADO</v>
      </c>
      <c r="P694" s="154" t="str">
        <f>IF(PL[[#This Row],[ESTADO]]="CERRADO","Cerrados IUP",IF(PL[[#This Row],[ESTADO]]="PTE Validar Enel","Pendiente cierre ENEL",IF(ISNUMBER(SEARCH("suministro",PL[[#This Row],[SUPPLIER NOTES]])),"Suministros",IF(PL[[#This Row],[SC]]="SOCIAL","Social",IF(ISNUMBER(SEARCH("monolito",PL[[#This Row],[DESCRIPTION]])),"Monolitos","Varios")))))</f>
        <v>Cerrados IUP</v>
      </c>
      <c r="Q6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5" spans="1:17" s="157" customFormat="1" hidden="1" x14ac:dyDescent="0.2">
      <c r="A695" s="151" t="s">
        <v>1852</v>
      </c>
      <c r="B695" s="154" t="s">
        <v>1291</v>
      </c>
      <c r="C695" s="154">
        <v>9</v>
      </c>
      <c r="D695" s="153" t="s">
        <v>3381</v>
      </c>
      <c r="E695" s="154" t="s">
        <v>1853</v>
      </c>
      <c r="F695" s="154" t="s">
        <v>1854</v>
      </c>
      <c r="G695" s="154" t="s">
        <v>1290</v>
      </c>
      <c r="H695" s="154" t="s">
        <v>294</v>
      </c>
      <c r="I695" s="154" t="s">
        <v>294</v>
      </c>
      <c r="J695" s="154" t="s">
        <v>74</v>
      </c>
      <c r="K695" s="154" t="s">
        <v>3394</v>
      </c>
      <c r="L695" s="161">
        <v>46231</v>
      </c>
      <c r="M695" s="160">
        <v>46231</v>
      </c>
      <c r="N695" s="154" t="str">
        <f>IF(ISNUMBER(PL[[#This Row],[CTO]]),"CTO "&amp;PL[[#This Row],[CTO]],"Otros")</f>
        <v>CTO 9</v>
      </c>
      <c r="O695" s="154" t="str">
        <f>IF(PL[[#This Row],[STATUS IUP]]="CERRADO","CERRADO",IF(ISNUMBER(SEARCH("validacion de enel",PL[[#This Row],[SUPPLIER NOTES]])),"PTE Validar Enel","ABIERTO"))</f>
        <v>CERRADO</v>
      </c>
      <c r="P695" s="154" t="str">
        <f>IF(PL[[#This Row],[ESTADO]]="CERRADO","Cerrados IUP",IF(PL[[#This Row],[ESTADO]]="PTE Validar Enel","Pendiente cierre ENEL",IF(ISNUMBER(SEARCH("suministro",PL[[#This Row],[SUPPLIER NOTES]])),"Suministros",IF(PL[[#This Row],[SC]]="SOCIAL","Social",IF(ISNUMBER(SEARCH("monolito",PL[[#This Row],[DESCRIPTION]])),"Monolitos","Varios")))))</f>
        <v>Cerrados IUP</v>
      </c>
      <c r="Q6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6" spans="1:17" s="157" customFormat="1" hidden="1" x14ac:dyDescent="0.2">
      <c r="A696" s="151" t="s">
        <v>2332</v>
      </c>
      <c r="B696" s="154" t="s">
        <v>41</v>
      </c>
      <c r="C696" s="154">
        <v>9</v>
      </c>
      <c r="D696" s="153" t="s">
        <v>3381</v>
      </c>
      <c r="E696" s="154" t="s">
        <v>2333</v>
      </c>
      <c r="F696" s="154" t="s">
        <v>2334</v>
      </c>
      <c r="G696" s="154" t="s">
        <v>1289</v>
      </c>
      <c r="H696" s="154" t="s">
        <v>163</v>
      </c>
      <c r="I696" s="154" t="s">
        <v>163</v>
      </c>
      <c r="J696" s="154" t="s">
        <v>74</v>
      </c>
      <c r="K696" s="154" t="s">
        <v>3394</v>
      </c>
      <c r="L696" s="161">
        <v>46231</v>
      </c>
      <c r="M696" s="160">
        <v>46231</v>
      </c>
      <c r="N696" s="154" t="str">
        <f>IF(ISNUMBER(PL[[#This Row],[CTO]]),"CTO "&amp;PL[[#This Row],[CTO]],"Otros")</f>
        <v>CTO 9</v>
      </c>
      <c r="O696" s="154" t="str">
        <f>IF(PL[[#This Row],[STATUS IUP]]="CERRADO","CERRADO",IF(ISNUMBER(SEARCH("validacion de enel",PL[[#This Row],[SUPPLIER NOTES]])),"PTE Validar Enel","ABIERTO"))</f>
        <v>CERRADO</v>
      </c>
      <c r="P696" s="154" t="str">
        <f>IF(PL[[#This Row],[ESTADO]]="CERRADO","Cerrados IUP",IF(PL[[#This Row],[ESTADO]]="PTE Validar Enel","Pendiente cierre ENEL",IF(ISNUMBER(SEARCH("suministro",PL[[#This Row],[SUPPLIER NOTES]])),"Suministros",IF(PL[[#This Row],[SC]]="SOCIAL","Social",IF(ISNUMBER(SEARCH("monolito",PL[[#This Row],[DESCRIPTION]])),"Monolitos","Varios")))))</f>
        <v>Cerrados IUP</v>
      </c>
      <c r="Q6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7" spans="1:17" s="157" customFormat="1" hidden="1" x14ac:dyDescent="0.2">
      <c r="A697" s="151" t="s">
        <v>1858</v>
      </c>
      <c r="B697" s="154" t="s">
        <v>929</v>
      </c>
      <c r="C697" s="154">
        <v>9</v>
      </c>
      <c r="D697" s="153" t="s">
        <v>3381</v>
      </c>
      <c r="E697" s="154" t="s">
        <v>1859</v>
      </c>
      <c r="F697" s="154" t="s">
        <v>1860</v>
      </c>
      <c r="G697" s="154" t="s">
        <v>43</v>
      </c>
      <c r="H697" s="154" t="s">
        <v>73</v>
      </c>
      <c r="I697" s="154" t="s">
        <v>73</v>
      </c>
      <c r="J697" s="154" t="s">
        <v>74</v>
      </c>
      <c r="K697" s="154" t="s">
        <v>3394</v>
      </c>
      <c r="L697" s="161">
        <v>46220</v>
      </c>
      <c r="M697" s="160">
        <v>46220</v>
      </c>
      <c r="N697" s="154" t="str">
        <f>IF(ISNUMBER(PL[[#This Row],[CTO]]),"CTO "&amp;PL[[#This Row],[CTO]],"Otros")</f>
        <v>CTO 9</v>
      </c>
      <c r="O697" s="154" t="str">
        <f>IF(PL[[#This Row],[STATUS IUP]]="CERRADO","CERRADO",IF(ISNUMBER(SEARCH("validacion de enel",PL[[#This Row],[SUPPLIER NOTES]])),"PTE Validar Enel","ABIERTO"))</f>
        <v>CERRADO</v>
      </c>
      <c r="P697" s="154" t="str">
        <f>IF(PL[[#This Row],[ESTADO]]="CERRADO","Cerrados IUP",IF(PL[[#This Row],[ESTADO]]="PTE Validar Enel","Pendiente cierre ENEL",IF(ISNUMBER(SEARCH("suministro",PL[[#This Row],[SUPPLIER NOTES]])),"Suministros",IF(PL[[#This Row],[SC]]="SOCIAL","Social",IF(ISNUMBER(SEARCH("monolito",PL[[#This Row],[DESCRIPTION]])),"Monolitos","Varios")))))</f>
        <v>Cerrados IUP</v>
      </c>
      <c r="Q6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8" spans="1:17" s="157" customFormat="1" hidden="1" x14ac:dyDescent="0.2">
      <c r="A698" s="151" t="s">
        <v>2717</v>
      </c>
      <c r="B698" s="154" t="s">
        <v>41</v>
      </c>
      <c r="C698" s="154">
        <v>9</v>
      </c>
      <c r="D698" s="153" t="s">
        <v>3381</v>
      </c>
      <c r="E698" s="154" t="s">
        <v>2718</v>
      </c>
      <c r="F698" s="154" t="s">
        <v>2719</v>
      </c>
      <c r="G698" s="154" t="s">
        <v>1289</v>
      </c>
      <c r="H698" s="154" t="s">
        <v>294</v>
      </c>
      <c r="I698" s="154" t="s">
        <v>294</v>
      </c>
      <c r="J698" s="154" t="s">
        <v>74</v>
      </c>
      <c r="K698" s="154" t="s">
        <v>3394</v>
      </c>
      <c r="L698" s="161">
        <v>46231</v>
      </c>
      <c r="M698" s="160">
        <v>46231</v>
      </c>
      <c r="N698" s="154" t="str">
        <f>IF(ISNUMBER(PL[[#This Row],[CTO]]),"CTO "&amp;PL[[#This Row],[CTO]],"Otros")</f>
        <v>CTO 9</v>
      </c>
      <c r="O698" s="154" t="str">
        <f>IF(PL[[#This Row],[STATUS IUP]]="CERRADO","CERRADO",IF(ISNUMBER(SEARCH("validacion de enel",PL[[#This Row],[SUPPLIER NOTES]])),"PTE Validar Enel","ABIERTO"))</f>
        <v>CERRADO</v>
      </c>
      <c r="P698" s="154" t="str">
        <f>IF(PL[[#This Row],[ESTADO]]="CERRADO","Cerrados IUP",IF(PL[[#This Row],[ESTADO]]="PTE Validar Enel","Pendiente cierre ENEL",IF(ISNUMBER(SEARCH("suministro",PL[[#This Row],[SUPPLIER NOTES]])),"Suministros",IF(PL[[#This Row],[SC]]="SOCIAL","Social",IF(ISNUMBER(SEARCH("monolito",PL[[#This Row],[DESCRIPTION]])),"Monolitos","Varios")))))</f>
        <v>Cerrados IUP</v>
      </c>
      <c r="Q6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699" spans="1:17" s="157" customFormat="1" hidden="1" x14ac:dyDescent="0.2">
      <c r="A699" s="151" t="s">
        <v>1865</v>
      </c>
      <c r="B699" s="154" t="s">
        <v>929</v>
      </c>
      <c r="C699" s="154">
        <v>9</v>
      </c>
      <c r="D699" s="153" t="s">
        <v>3381</v>
      </c>
      <c r="E699" s="154" t="s">
        <v>1866</v>
      </c>
      <c r="F699" s="154" t="s">
        <v>1867</v>
      </c>
      <c r="G699" s="154" t="s">
        <v>43</v>
      </c>
      <c r="H699" s="154" t="s">
        <v>163</v>
      </c>
      <c r="I699" s="154" t="s">
        <v>163</v>
      </c>
      <c r="J699" s="154" t="s">
        <v>74</v>
      </c>
      <c r="K699" s="154" t="s">
        <v>3394</v>
      </c>
      <c r="L699" s="161">
        <v>46231</v>
      </c>
      <c r="M699" s="160">
        <v>46231</v>
      </c>
      <c r="N699" s="154" t="str">
        <f>IF(ISNUMBER(PL[[#This Row],[CTO]]),"CTO "&amp;PL[[#This Row],[CTO]],"Otros")</f>
        <v>CTO 9</v>
      </c>
      <c r="O699" s="154" t="str">
        <f>IF(PL[[#This Row],[STATUS IUP]]="CERRADO","CERRADO",IF(ISNUMBER(SEARCH("validacion de enel",PL[[#This Row],[SUPPLIER NOTES]])),"PTE Validar Enel","ABIERTO"))</f>
        <v>CERRADO</v>
      </c>
      <c r="P699" s="154" t="str">
        <f>IF(PL[[#This Row],[ESTADO]]="CERRADO","Cerrados IUP",IF(PL[[#This Row],[ESTADO]]="PTE Validar Enel","Pendiente cierre ENEL",IF(ISNUMBER(SEARCH("suministro",PL[[#This Row],[SUPPLIER NOTES]])),"Suministros",IF(PL[[#This Row],[SC]]="SOCIAL","Social",IF(ISNUMBER(SEARCH("monolito",PL[[#This Row],[DESCRIPTION]])),"Monolitos","Varios")))))</f>
        <v>Cerrados IUP</v>
      </c>
      <c r="Q6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0" spans="1:17" s="157" customFormat="1" hidden="1" x14ac:dyDescent="0.2">
      <c r="A700" s="151" t="s">
        <v>2855</v>
      </c>
      <c r="B700" s="154" t="s">
        <v>41</v>
      </c>
      <c r="C700" s="154">
        <v>9</v>
      </c>
      <c r="D700" s="153" t="s">
        <v>3381</v>
      </c>
      <c r="E700" s="154" t="s">
        <v>2856</v>
      </c>
      <c r="F700" s="154" t="s">
        <v>2857</v>
      </c>
      <c r="G700" s="154" t="s">
        <v>1289</v>
      </c>
      <c r="H700" s="154" t="s">
        <v>294</v>
      </c>
      <c r="I700" s="154" t="s">
        <v>294</v>
      </c>
      <c r="J700" s="154" t="s">
        <v>74</v>
      </c>
      <c r="K700" s="154" t="s">
        <v>3394</v>
      </c>
      <c r="L700" s="161">
        <v>46231</v>
      </c>
      <c r="M700" s="160">
        <v>46231</v>
      </c>
      <c r="N700" s="154" t="str">
        <f>IF(ISNUMBER(PL[[#This Row],[CTO]]),"CTO "&amp;PL[[#This Row],[CTO]],"Otros")</f>
        <v>CTO 9</v>
      </c>
      <c r="O700" s="154" t="str">
        <f>IF(PL[[#This Row],[STATUS IUP]]="CERRADO","CERRADO",IF(ISNUMBER(SEARCH("validacion de enel",PL[[#This Row],[SUPPLIER NOTES]])),"PTE Validar Enel","ABIERTO"))</f>
        <v>CERRADO</v>
      </c>
      <c r="P700" s="154" t="str">
        <f>IF(PL[[#This Row],[ESTADO]]="CERRADO","Cerrados IUP",IF(PL[[#This Row],[ESTADO]]="PTE Validar Enel","Pendiente cierre ENEL",IF(ISNUMBER(SEARCH("suministro",PL[[#This Row],[SUPPLIER NOTES]])),"Suministros",IF(PL[[#This Row],[SC]]="SOCIAL","Social",IF(ISNUMBER(SEARCH("monolito",PL[[#This Row],[DESCRIPTION]])),"Monolitos","Varios")))))</f>
        <v>Cerrados IUP</v>
      </c>
      <c r="Q7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1" spans="1:17" s="157" customFormat="1" hidden="1" x14ac:dyDescent="0.2">
      <c r="A701" s="151" t="s">
        <v>1873</v>
      </c>
      <c r="B701" s="154" t="s">
        <v>8</v>
      </c>
      <c r="C701" s="154">
        <v>9</v>
      </c>
      <c r="D701" s="153" t="s">
        <v>3381</v>
      </c>
      <c r="E701" s="154" t="s">
        <v>1874</v>
      </c>
      <c r="F701" s="154" t="s">
        <v>1875</v>
      </c>
      <c r="G701" s="154" t="s">
        <v>128</v>
      </c>
      <c r="H701" s="154" t="s">
        <v>163</v>
      </c>
      <c r="I701" s="154" t="s">
        <v>163</v>
      </c>
      <c r="J701" s="154" t="s">
        <v>74</v>
      </c>
      <c r="K701" s="154" t="s">
        <v>3394</v>
      </c>
      <c r="L701" s="161">
        <v>46226</v>
      </c>
      <c r="M701" s="160">
        <v>46226</v>
      </c>
      <c r="N701" s="154" t="str">
        <f>IF(ISNUMBER(PL[[#This Row],[CTO]]),"CTO "&amp;PL[[#This Row],[CTO]],"Otros")</f>
        <v>CTO 9</v>
      </c>
      <c r="O701" s="154" t="str">
        <f>IF(PL[[#This Row],[STATUS IUP]]="CERRADO","CERRADO",IF(ISNUMBER(SEARCH("validacion de enel",PL[[#This Row],[SUPPLIER NOTES]])),"PTE Validar Enel","ABIERTO"))</f>
        <v>CERRADO</v>
      </c>
      <c r="P701" s="154" t="str">
        <f>IF(PL[[#This Row],[ESTADO]]="CERRADO","Cerrados IUP",IF(PL[[#This Row],[ESTADO]]="PTE Validar Enel","Pendiente cierre ENEL",IF(ISNUMBER(SEARCH("suministro",PL[[#This Row],[SUPPLIER NOTES]])),"Suministros",IF(PL[[#This Row],[SC]]="SOCIAL","Social",IF(ISNUMBER(SEARCH("monolito",PL[[#This Row],[DESCRIPTION]])),"Monolitos","Varios")))))</f>
        <v>Cerrados IUP</v>
      </c>
      <c r="Q7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2" spans="1:17" s="157" customFormat="1" hidden="1" x14ac:dyDescent="0.2">
      <c r="A702" s="151" t="s">
        <v>2115</v>
      </c>
      <c r="B702" s="154" t="s">
        <v>41</v>
      </c>
      <c r="C702" s="154">
        <v>9</v>
      </c>
      <c r="D702" s="153" t="s">
        <v>3381</v>
      </c>
      <c r="E702" s="154" t="s">
        <v>2116</v>
      </c>
      <c r="F702" s="154" t="s">
        <v>2117</v>
      </c>
      <c r="G702" s="154" t="s">
        <v>1289</v>
      </c>
      <c r="H702" s="154" t="s">
        <v>294</v>
      </c>
      <c r="I702" s="154" t="s">
        <v>294</v>
      </c>
      <c r="J702" s="154" t="s">
        <v>74</v>
      </c>
      <c r="K702" s="154" t="s">
        <v>3394</v>
      </c>
      <c r="L702" s="161">
        <v>46231</v>
      </c>
      <c r="M702" s="160">
        <v>46231</v>
      </c>
      <c r="N702" s="154" t="str">
        <f>IF(ISNUMBER(PL[[#This Row],[CTO]]),"CTO "&amp;PL[[#This Row],[CTO]],"Otros")</f>
        <v>CTO 9</v>
      </c>
      <c r="O702" s="154" t="str">
        <f>IF(PL[[#This Row],[STATUS IUP]]="CERRADO","CERRADO",IF(ISNUMBER(SEARCH("validacion de enel",PL[[#This Row],[SUPPLIER NOTES]])),"PTE Validar Enel","ABIERTO"))</f>
        <v>CERRADO</v>
      </c>
      <c r="P702" s="154" t="str">
        <f>IF(PL[[#This Row],[ESTADO]]="CERRADO","Cerrados IUP",IF(PL[[#This Row],[ESTADO]]="PTE Validar Enel","Pendiente cierre ENEL",IF(ISNUMBER(SEARCH("suministro",PL[[#This Row],[SUPPLIER NOTES]])),"Suministros",IF(PL[[#This Row],[SC]]="SOCIAL","Social",IF(ISNUMBER(SEARCH("monolito",PL[[#This Row],[DESCRIPTION]])),"Monolitos","Varios")))))</f>
        <v>Cerrados IUP</v>
      </c>
      <c r="Q7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3" spans="1:17" s="157" customFormat="1" hidden="1" x14ac:dyDescent="0.2">
      <c r="A703" s="151" t="s">
        <v>1720</v>
      </c>
      <c r="B703" s="154" t="s">
        <v>1291</v>
      </c>
      <c r="C703" s="154">
        <v>9</v>
      </c>
      <c r="D703" s="153" t="s">
        <v>3381</v>
      </c>
      <c r="E703" s="154" t="s">
        <v>1721</v>
      </c>
      <c r="F703" s="154" t="s">
        <v>1722</v>
      </c>
      <c r="G703" s="154" t="s">
        <v>1289</v>
      </c>
      <c r="H703" s="154" t="s">
        <v>294</v>
      </c>
      <c r="I703" s="154" t="s">
        <v>294</v>
      </c>
      <c r="J703" s="154" t="s">
        <v>74</v>
      </c>
      <c r="K703" s="154" t="s">
        <v>3394</v>
      </c>
      <c r="L703" s="161">
        <v>46231</v>
      </c>
      <c r="M703" s="160">
        <v>46231</v>
      </c>
      <c r="N703" s="154" t="str">
        <f>IF(ISNUMBER(PL[[#This Row],[CTO]]),"CTO "&amp;PL[[#This Row],[CTO]],"Otros")</f>
        <v>CTO 9</v>
      </c>
      <c r="O703" s="154" t="str">
        <f>IF(PL[[#This Row],[STATUS IUP]]="CERRADO","CERRADO",IF(ISNUMBER(SEARCH("validacion de enel",PL[[#This Row],[SUPPLIER NOTES]])),"PTE Validar Enel","ABIERTO"))</f>
        <v>CERRADO</v>
      </c>
      <c r="P703" s="154" t="str">
        <f>IF(PL[[#This Row],[ESTADO]]="CERRADO","Cerrados IUP",IF(PL[[#This Row],[ESTADO]]="PTE Validar Enel","Pendiente cierre ENEL",IF(ISNUMBER(SEARCH("suministro",PL[[#This Row],[SUPPLIER NOTES]])),"Suministros",IF(PL[[#This Row],[SC]]="SOCIAL","Social",IF(ISNUMBER(SEARCH("monolito",PL[[#This Row],[DESCRIPTION]])),"Monolitos","Varios")))))</f>
        <v>Cerrados IUP</v>
      </c>
      <c r="Q7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4" spans="1:17" s="157" customFormat="1" hidden="1" x14ac:dyDescent="0.2">
      <c r="A704" s="151" t="s">
        <v>2027</v>
      </c>
      <c r="B704" s="154" t="s">
        <v>1291</v>
      </c>
      <c r="C704" s="154">
        <v>9</v>
      </c>
      <c r="D704" s="153" t="s">
        <v>3381</v>
      </c>
      <c r="E704" s="154" t="s">
        <v>2028</v>
      </c>
      <c r="F704" s="154" t="s">
        <v>2029</v>
      </c>
      <c r="G704" s="154" t="s">
        <v>1289</v>
      </c>
      <c r="H704" s="154"/>
      <c r="I704" s="154"/>
      <c r="J704" s="154" t="s">
        <v>74</v>
      </c>
      <c r="K704" s="154" t="s">
        <v>3394</v>
      </c>
      <c r="L704" s="154"/>
      <c r="M704" s="156"/>
      <c r="N704" s="154" t="str">
        <f>IF(ISNUMBER(PL[[#This Row],[CTO]]),"CTO "&amp;PL[[#This Row],[CTO]],"Otros")</f>
        <v>CTO 9</v>
      </c>
      <c r="O704" s="154" t="str">
        <f>IF(PL[[#This Row],[STATUS IUP]]="CERRADO","CERRADO",IF(ISNUMBER(SEARCH("validacion de enel",PL[[#This Row],[SUPPLIER NOTES]])),"PTE Validar Enel","ABIERTO"))</f>
        <v>CERRADO</v>
      </c>
      <c r="P704" s="154" t="str">
        <f>IF(PL[[#This Row],[ESTADO]]="CERRADO","Cerrados IUP",IF(PL[[#This Row],[ESTADO]]="PTE Validar Enel","Pendiente cierre ENEL",IF(ISNUMBER(SEARCH("suministro",PL[[#This Row],[SUPPLIER NOTES]])),"Suministros",IF(PL[[#This Row],[SC]]="SOCIAL","Social",IF(ISNUMBER(SEARCH("monolito",PL[[#This Row],[DESCRIPTION]])),"Monolitos","Varios")))))</f>
        <v>Cerrados IUP</v>
      </c>
      <c r="Q7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5" spans="1:17" s="157" customFormat="1" hidden="1" x14ac:dyDescent="0.2">
      <c r="A705" s="151" t="s">
        <v>2030</v>
      </c>
      <c r="B705" s="154" t="s">
        <v>41</v>
      </c>
      <c r="C705" s="154">
        <v>9</v>
      </c>
      <c r="D705" s="153" t="s">
        <v>3381</v>
      </c>
      <c r="E705" s="154" t="s">
        <v>2031</v>
      </c>
      <c r="F705" s="154" t="s">
        <v>2032</v>
      </c>
      <c r="G705" s="154" t="s">
        <v>1289</v>
      </c>
      <c r="H705" s="154" t="s">
        <v>294</v>
      </c>
      <c r="I705" s="154" t="s">
        <v>294</v>
      </c>
      <c r="J705" s="154" t="s">
        <v>74</v>
      </c>
      <c r="K705" s="154" t="s">
        <v>3394</v>
      </c>
      <c r="L705" s="161">
        <v>46231</v>
      </c>
      <c r="M705" s="160">
        <v>46231</v>
      </c>
      <c r="N705" s="154" t="str">
        <f>IF(ISNUMBER(PL[[#This Row],[CTO]]),"CTO "&amp;PL[[#This Row],[CTO]],"Otros")</f>
        <v>CTO 9</v>
      </c>
      <c r="O705" s="154" t="str">
        <f>IF(PL[[#This Row],[STATUS IUP]]="CERRADO","CERRADO",IF(ISNUMBER(SEARCH("validacion de enel",PL[[#This Row],[SUPPLIER NOTES]])),"PTE Validar Enel","ABIERTO"))</f>
        <v>CERRADO</v>
      </c>
      <c r="P705" s="154" t="str">
        <f>IF(PL[[#This Row],[ESTADO]]="CERRADO","Cerrados IUP",IF(PL[[#This Row],[ESTADO]]="PTE Validar Enel","Pendiente cierre ENEL",IF(ISNUMBER(SEARCH("suministro",PL[[#This Row],[SUPPLIER NOTES]])),"Suministros",IF(PL[[#This Row],[SC]]="SOCIAL","Social",IF(ISNUMBER(SEARCH("monolito",PL[[#This Row],[DESCRIPTION]])),"Monolitos","Varios")))))</f>
        <v>Cerrados IUP</v>
      </c>
      <c r="Q7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6" spans="1:17" s="157" customFormat="1" hidden="1" x14ac:dyDescent="0.2">
      <c r="A706" s="151" t="s">
        <v>1717</v>
      </c>
      <c r="B706" s="154" t="s">
        <v>41</v>
      </c>
      <c r="C706" s="154">
        <v>9</v>
      </c>
      <c r="D706" s="153" t="s">
        <v>3381</v>
      </c>
      <c r="E706" s="154" t="s">
        <v>1718</v>
      </c>
      <c r="F706" s="154" t="s">
        <v>1719</v>
      </c>
      <c r="G706" s="154" t="s">
        <v>1289</v>
      </c>
      <c r="H706" s="154"/>
      <c r="I706" s="154" t="s">
        <v>3475</v>
      </c>
      <c r="J706" s="154" t="s">
        <v>74</v>
      </c>
      <c r="K706" s="154" t="s">
        <v>3394</v>
      </c>
      <c r="L706" s="155">
        <v>46288</v>
      </c>
      <c r="M706" s="156"/>
      <c r="N706" s="154" t="str">
        <f>IF(ISNUMBER(PL[[#This Row],[CTO]]),"CTO "&amp;PL[[#This Row],[CTO]],"Otros")</f>
        <v>CTO 9</v>
      </c>
      <c r="O706" s="154" t="str">
        <f>IF(PL[[#This Row],[STATUS IUP]]="CERRADO","CERRADO",IF(ISNUMBER(SEARCH("validacion de enel",PL[[#This Row],[SUPPLIER NOTES]])),"PTE Validar Enel","ABIERTO"))</f>
        <v>CERRADO</v>
      </c>
      <c r="P706" s="154" t="str">
        <f>IF(PL[[#This Row],[ESTADO]]="CERRADO","Cerrados IUP",IF(PL[[#This Row],[ESTADO]]="PTE Validar Enel","Pendiente cierre ENEL",IF(ISNUMBER(SEARCH("suministro",PL[[#This Row],[SUPPLIER NOTES]])),"Suministros",IF(PL[[#This Row],[SC]]="SOCIAL","Social",IF(ISNUMBER(SEARCH("monolito",PL[[#This Row],[DESCRIPTION]])),"Monolitos","Varios")))))</f>
        <v>Cerrados IUP</v>
      </c>
      <c r="Q7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7" spans="1:17" s="157" customFormat="1" hidden="1" x14ac:dyDescent="0.2">
      <c r="A707" s="151" t="s">
        <v>2849</v>
      </c>
      <c r="B707" s="154" t="s">
        <v>929</v>
      </c>
      <c r="C707" s="154">
        <v>9</v>
      </c>
      <c r="D707" s="153" t="s">
        <v>3381</v>
      </c>
      <c r="E707" s="154" t="s">
        <v>2850</v>
      </c>
      <c r="F707" s="154" t="s">
        <v>2851</v>
      </c>
      <c r="G707" s="154" t="s">
        <v>1290</v>
      </c>
      <c r="H707" s="154" t="s">
        <v>163</v>
      </c>
      <c r="I707" s="154" t="s">
        <v>163</v>
      </c>
      <c r="J707" s="154" t="s">
        <v>74</v>
      </c>
      <c r="K707" s="154" t="s">
        <v>3394</v>
      </c>
      <c r="L707" s="161">
        <v>46231</v>
      </c>
      <c r="M707" s="160">
        <v>46231</v>
      </c>
      <c r="N707" s="154" t="str">
        <f>IF(ISNUMBER(PL[[#This Row],[CTO]]),"CTO "&amp;PL[[#This Row],[CTO]],"Otros")</f>
        <v>CTO 9</v>
      </c>
      <c r="O707" s="154" t="str">
        <f>IF(PL[[#This Row],[STATUS IUP]]="CERRADO","CERRADO",IF(ISNUMBER(SEARCH("validacion de enel",PL[[#This Row],[SUPPLIER NOTES]])),"PTE Validar Enel","ABIERTO"))</f>
        <v>CERRADO</v>
      </c>
      <c r="P707" s="154" t="str">
        <f>IF(PL[[#This Row],[ESTADO]]="CERRADO","Cerrados IUP",IF(PL[[#This Row],[ESTADO]]="PTE Validar Enel","Pendiente cierre ENEL",IF(ISNUMBER(SEARCH("suministro",PL[[#This Row],[SUPPLIER NOTES]])),"Suministros",IF(PL[[#This Row],[SC]]="SOCIAL","Social",IF(ISNUMBER(SEARCH("monolito",PL[[#This Row],[DESCRIPTION]])),"Monolitos","Varios")))))</f>
        <v>Cerrados IUP</v>
      </c>
      <c r="Q7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8" spans="1:17" s="157" customFormat="1" hidden="1" x14ac:dyDescent="0.2">
      <c r="A708" s="151" t="s">
        <v>2109</v>
      </c>
      <c r="B708" s="154" t="s">
        <v>1291</v>
      </c>
      <c r="C708" s="154">
        <v>9</v>
      </c>
      <c r="D708" s="153" t="s">
        <v>3381</v>
      </c>
      <c r="E708" s="154" t="s">
        <v>2110</v>
      </c>
      <c r="F708" s="154" t="s">
        <v>2111</v>
      </c>
      <c r="G708" s="154" t="s">
        <v>1289</v>
      </c>
      <c r="H708" s="154"/>
      <c r="I708" s="154"/>
      <c r="J708" s="154" t="s">
        <v>74</v>
      </c>
      <c r="K708" s="154" t="s">
        <v>3394</v>
      </c>
      <c r="L708" s="154"/>
      <c r="M708" s="156"/>
      <c r="N708" s="154" t="str">
        <f>IF(ISNUMBER(PL[[#This Row],[CTO]]),"CTO "&amp;PL[[#This Row],[CTO]],"Otros")</f>
        <v>CTO 9</v>
      </c>
      <c r="O708" s="154" t="str">
        <f>IF(PL[[#This Row],[STATUS IUP]]="CERRADO","CERRADO",IF(ISNUMBER(SEARCH("validacion de enel",PL[[#This Row],[SUPPLIER NOTES]])),"PTE Validar Enel","ABIERTO"))</f>
        <v>CERRADO</v>
      </c>
      <c r="P708" s="154" t="str">
        <f>IF(PL[[#This Row],[ESTADO]]="CERRADO","Cerrados IUP",IF(PL[[#This Row],[ESTADO]]="PTE Validar Enel","Pendiente cierre ENEL",IF(ISNUMBER(SEARCH("suministro",PL[[#This Row],[SUPPLIER NOTES]])),"Suministros",IF(PL[[#This Row],[SC]]="SOCIAL","Social",IF(ISNUMBER(SEARCH("monolito",PL[[#This Row],[DESCRIPTION]])),"Monolitos","Varios")))))</f>
        <v>Cerrados IUP</v>
      </c>
      <c r="Q7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09" spans="1:17" s="157" customFormat="1" hidden="1" x14ac:dyDescent="0.2">
      <c r="A709" s="151" t="s">
        <v>1933</v>
      </c>
      <c r="B709" s="154" t="s">
        <v>1297</v>
      </c>
      <c r="C709" s="154">
        <v>9</v>
      </c>
      <c r="D709" s="153" t="s">
        <v>3381</v>
      </c>
      <c r="E709" s="154" t="s">
        <v>1934</v>
      </c>
      <c r="F709" s="154" t="s">
        <v>1935</v>
      </c>
      <c r="G709" s="154" t="s">
        <v>1290</v>
      </c>
      <c r="H709" s="154" t="s">
        <v>73</v>
      </c>
      <c r="I709" s="154" t="s">
        <v>73</v>
      </c>
      <c r="J709" s="154" t="s">
        <v>74</v>
      </c>
      <c r="K709" s="154" t="s">
        <v>3394</v>
      </c>
      <c r="L709" s="161">
        <v>46232</v>
      </c>
      <c r="M709" s="160">
        <v>46232</v>
      </c>
      <c r="N709" s="154" t="str">
        <f>IF(ISNUMBER(PL[[#This Row],[CTO]]),"CTO "&amp;PL[[#This Row],[CTO]],"Otros")</f>
        <v>CTO 9</v>
      </c>
      <c r="O709" s="154" t="str">
        <f>IF(PL[[#This Row],[STATUS IUP]]="CERRADO","CERRADO",IF(ISNUMBER(SEARCH("validacion de enel",PL[[#This Row],[SUPPLIER NOTES]])),"PTE Validar Enel","ABIERTO"))</f>
        <v>CERRADO</v>
      </c>
      <c r="P709" s="154" t="str">
        <f>IF(PL[[#This Row],[ESTADO]]="CERRADO","Cerrados IUP",IF(PL[[#This Row],[ESTADO]]="PTE Validar Enel","Pendiente cierre ENEL",IF(ISNUMBER(SEARCH("suministro",PL[[#This Row],[SUPPLIER NOTES]])),"Suministros",IF(PL[[#This Row],[SC]]="SOCIAL","Social",IF(ISNUMBER(SEARCH("monolito",PL[[#This Row],[DESCRIPTION]])),"Monolitos","Varios")))))</f>
        <v>Cerrados IUP</v>
      </c>
      <c r="Q7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0" spans="1:17" s="157" customFormat="1" hidden="1" x14ac:dyDescent="0.2">
      <c r="A710" s="151" t="s">
        <v>2846</v>
      </c>
      <c r="B710" s="154" t="s">
        <v>8</v>
      </c>
      <c r="C710" s="154">
        <v>9</v>
      </c>
      <c r="D710" s="153" t="s">
        <v>3381</v>
      </c>
      <c r="E710" s="154" t="s">
        <v>2847</v>
      </c>
      <c r="F710" s="154" t="s">
        <v>2848</v>
      </c>
      <c r="G710" s="154" t="s">
        <v>1289</v>
      </c>
      <c r="H710" s="154"/>
      <c r="I710" s="154"/>
      <c r="J710" s="154" t="s">
        <v>74</v>
      </c>
      <c r="K710" s="154" t="s">
        <v>3394</v>
      </c>
      <c r="L710" s="154"/>
      <c r="M710" s="156"/>
      <c r="N710" s="154" t="str">
        <f>IF(ISNUMBER(PL[[#This Row],[CTO]]),"CTO "&amp;PL[[#This Row],[CTO]],"Otros")</f>
        <v>CTO 9</v>
      </c>
      <c r="O710" s="154" t="str">
        <f>IF(PL[[#This Row],[STATUS IUP]]="CERRADO","CERRADO",IF(ISNUMBER(SEARCH("validacion de enel",PL[[#This Row],[SUPPLIER NOTES]])),"PTE Validar Enel","ABIERTO"))</f>
        <v>CERRADO</v>
      </c>
      <c r="P710" s="154" t="str">
        <f>IF(PL[[#This Row],[ESTADO]]="CERRADO","Cerrados IUP",IF(PL[[#This Row],[ESTADO]]="PTE Validar Enel","Pendiente cierre ENEL",IF(ISNUMBER(SEARCH("suministro",PL[[#This Row],[SUPPLIER NOTES]])),"Suministros",IF(PL[[#This Row],[SC]]="SOCIAL","Social",IF(ISNUMBER(SEARCH("monolito",PL[[#This Row],[DESCRIPTION]])),"Monolitos","Varios")))))</f>
        <v>Cerrados IUP</v>
      </c>
      <c r="Q7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1" spans="1:17" s="157" customFormat="1" hidden="1" x14ac:dyDescent="0.2">
      <c r="A711" s="151" t="s">
        <v>2304</v>
      </c>
      <c r="B711" s="154" t="s">
        <v>1291</v>
      </c>
      <c r="C711" s="154">
        <v>9</v>
      </c>
      <c r="D711" s="153" t="s">
        <v>3381</v>
      </c>
      <c r="E711" s="154" t="s">
        <v>2305</v>
      </c>
      <c r="F711" s="154" t="s">
        <v>2306</v>
      </c>
      <c r="G711" s="154" t="s">
        <v>1289</v>
      </c>
      <c r="H711" s="154" t="s">
        <v>294</v>
      </c>
      <c r="I711" s="154" t="s">
        <v>294</v>
      </c>
      <c r="J711" s="154" t="s">
        <v>74</v>
      </c>
      <c r="K711" s="154" t="s">
        <v>3394</v>
      </c>
      <c r="L711" s="161">
        <v>46231</v>
      </c>
      <c r="M711" s="160">
        <v>46231</v>
      </c>
      <c r="N711" s="154" t="str">
        <f>IF(ISNUMBER(PL[[#This Row],[CTO]]),"CTO "&amp;PL[[#This Row],[CTO]],"Otros")</f>
        <v>CTO 9</v>
      </c>
      <c r="O711" s="154" t="str">
        <f>IF(PL[[#This Row],[STATUS IUP]]="CERRADO","CERRADO",IF(ISNUMBER(SEARCH("validacion de enel",PL[[#This Row],[SUPPLIER NOTES]])),"PTE Validar Enel","ABIERTO"))</f>
        <v>CERRADO</v>
      </c>
      <c r="P711" s="154" t="str">
        <f>IF(PL[[#This Row],[ESTADO]]="CERRADO","Cerrados IUP",IF(PL[[#This Row],[ESTADO]]="PTE Validar Enel","Pendiente cierre ENEL",IF(ISNUMBER(SEARCH("suministro",PL[[#This Row],[SUPPLIER NOTES]])),"Suministros",IF(PL[[#This Row],[SC]]="SOCIAL","Social",IF(ISNUMBER(SEARCH("monolito",PL[[#This Row],[DESCRIPTION]])),"Monolitos","Varios")))))</f>
        <v>Cerrados IUP</v>
      </c>
      <c r="Q7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2" spans="1:17" s="157" customFormat="1" hidden="1" x14ac:dyDescent="0.2">
      <c r="A712" s="151" t="s">
        <v>1939</v>
      </c>
      <c r="B712" s="154" t="s">
        <v>1291</v>
      </c>
      <c r="C712" s="154">
        <v>9</v>
      </c>
      <c r="D712" s="153" t="s">
        <v>3381</v>
      </c>
      <c r="E712" s="154" t="s">
        <v>1940</v>
      </c>
      <c r="F712" s="154" t="s">
        <v>1941</v>
      </c>
      <c r="G712" s="154" t="s">
        <v>1289</v>
      </c>
      <c r="H712" s="154"/>
      <c r="I712" s="154"/>
      <c r="J712" s="154" t="s">
        <v>74</v>
      </c>
      <c r="K712" s="154" t="s">
        <v>3394</v>
      </c>
      <c r="L712" s="154"/>
      <c r="M712" s="156"/>
      <c r="N712" s="154" t="str">
        <f>IF(ISNUMBER(PL[[#This Row],[CTO]]),"CTO "&amp;PL[[#This Row],[CTO]],"Otros")</f>
        <v>CTO 9</v>
      </c>
      <c r="O712" s="154" t="str">
        <f>IF(PL[[#This Row],[STATUS IUP]]="CERRADO","CERRADO",IF(ISNUMBER(SEARCH("validacion de enel",PL[[#This Row],[SUPPLIER NOTES]])),"PTE Validar Enel","ABIERTO"))</f>
        <v>CERRADO</v>
      </c>
      <c r="P712" s="154" t="str">
        <f>IF(PL[[#This Row],[ESTADO]]="CERRADO","Cerrados IUP",IF(PL[[#This Row],[ESTADO]]="PTE Validar Enel","Pendiente cierre ENEL",IF(ISNUMBER(SEARCH("suministro",PL[[#This Row],[SUPPLIER NOTES]])),"Suministros",IF(PL[[#This Row],[SC]]="SOCIAL","Social",IF(ISNUMBER(SEARCH("monolito",PL[[#This Row],[DESCRIPTION]])),"Monolitos","Varios")))))</f>
        <v>Cerrados IUP</v>
      </c>
      <c r="Q7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3" spans="1:17" s="157" customFormat="1" hidden="1" x14ac:dyDescent="0.2">
      <c r="A713" s="151" t="s">
        <v>1942</v>
      </c>
      <c r="B713" s="154" t="s">
        <v>8</v>
      </c>
      <c r="C713" s="154">
        <v>9</v>
      </c>
      <c r="D713" s="153" t="s">
        <v>3381</v>
      </c>
      <c r="E713" s="154" t="s">
        <v>1943</v>
      </c>
      <c r="F713" s="154" t="s">
        <v>1944</v>
      </c>
      <c r="G713" s="154" t="s">
        <v>128</v>
      </c>
      <c r="H713" s="154" t="s">
        <v>3455</v>
      </c>
      <c r="I713" s="154"/>
      <c r="J713" s="154" t="s">
        <v>74</v>
      </c>
      <c r="K713" s="154" t="s">
        <v>3394</v>
      </c>
      <c r="L713" s="155">
        <v>46282</v>
      </c>
      <c r="M713" s="156"/>
      <c r="N713" s="154" t="str">
        <f>IF(ISNUMBER(PL[[#This Row],[CTO]]),"CTO "&amp;PL[[#This Row],[CTO]],"Otros")</f>
        <v>CTO 9</v>
      </c>
      <c r="O713" s="154" t="str">
        <f>IF(PL[[#This Row],[STATUS IUP]]="CERRADO","CERRADO",IF(ISNUMBER(SEARCH("validacion de enel",PL[[#This Row],[SUPPLIER NOTES]])),"PTE Validar Enel","ABIERTO"))</f>
        <v>CERRADO</v>
      </c>
      <c r="P713" s="154" t="str">
        <f>IF(PL[[#This Row],[ESTADO]]="CERRADO","Cerrados IUP",IF(PL[[#This Row],[ESTADO]]="PTE Validar Enel","Pendiente cierre ENEL",IF(ISNUMBER(SEARCH("suministro",PL[[#This Row],[SUPPLIER NOTES]])),"Suministros",IF(PL[[#This Row],[SC]]="SOCIAL","Social",IF(ISNUMBER(SEARCH("monolito",PL[[#This Row],[DESCRIPTION]])),"Monolitos","Varios")))))</f>
        <v>Cerrados IUP</v>
      </c>
      <c r="Q7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4" spans="1:17" s="157" customFormat="1" hidden="1" x14ac:dyDescent="0.2">
      <c r="A714" s="151" t="s">
        <v>2091</v>
      </c>
      <c r="B714" s="154" t="s">
        <v>8</v>
      </c>
      <c r="C714" s="154">
        <v>9</v>
      </c>
      <c r="D714" s="153" t="s">
        <v>3381</v>
      </c>
      <c r="E714" s="154" t="s">
        <v>2092</v>
      </c>
      <c r="F714" s="154" t="s">
        <v>2093</v>
      </c>
      <c r="G714" s="154" t="s">
        <v>1289</v>
      </c>
      <c r="H714" s="154" t="s">
        <v>294</v>
      </c>
      <c r="I714" s="154" t="s">
        <v>294</v>
      </c>
      <c r="J714" s="154" t="s">
        <v>74</v>
      </c>
      <c r="K714" s="154" t="s">
        <v>3394</v>
      </c>
      <c r="L714" s="161">
        <v>46231</v>
      </c>
      <c r="M714" s="160">
        <v>46231</v>
      </c>
      <c r="N714" s="154" t="str">
        <f>IF(ISNUMBER(PL[[#This Row],[CTO]]),"CTO "&amp;PL[[#This Row],[CTO]],"Otros")</f>
        <v>CTO 9</v>
      </c>
      <c r="O714" s="154" t="str">
        <f>IF(PL[[#This Row],[STATUS IUP]]="CERRADO","CERRADO",IF(ISNUMBER(SEARCH("validacion de enel",PL[[#This Row],[SUPPLIER NOTES]])),"PTE Validar Enel","ABIERTO"))</f>
        <v>CERRADO</v>
      </c>
      <c r="P714" s="154" t="str">
        <f>IF(PL[[#This Row],[ESTADO]]="CERRADO","Cerrados IUP",IF(PL[[#This Row],[ESTADO]]="PTE Validar Enel","Pendiente cierre ENEL",IF(ISNUMBER(SEARCH("suministro",PL[[#This Row],[SUPPLIER NOTES]])),"Suministros",IF(PL[[#This Row],[SC]]="SOCIAL","Social",IF(ISNUMBER(SEARCH("monolito",PL[[#This Row],[DESCRIPTION]])),"Monolitos","Varios")))))</f>
        <v>Cerrados IUP</v>
      </c>
      <c r="Q7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5" spans="1:17" s="157" customFormat="1" hidden="1" x14ac:dyDescent="0.2">
      <c r="A715" s="151" t="s">
        <v>2843</v>
      </c>
      <c r="B715" s="154" t="s">
        <v>1291</v>
      </c>
      <c r="C715" s="154">
        <v>9</v>
      </c>
      <c r="D715" s="153" t="s">
        <v>3381</v>
      </c>
      <c r="E715" s="154" t="s">
        <v>2844</v>
      </c>
      <c r="F715" s="154" t="s">
        <v>2845</v>
      </c>
      <c r="G715" s="154" t="s">
        <v>1289</v>
      </c>
      <c r="H715" s="154" t="s">
        <v>1633</v>
      </c>
      <c r="I715" s="154" t="s">
        <v>1633</v>
      </c>
      <c r="J715" s="154" t="s">
        <v>74</v>
      </c>
      <c r="K715" s="154" t="s">
        <v>3394</v>
      </c>
      <c r="L715" s="161">
        <v>46168</v>
      </c>
      <c r="M715" s="160">
        <v>46168</v>
      </c>
      <c r="N715" s="154" t="str">
        <f>IF(ISNUMBER(PL[[#This Row],[CTO]]),"CTO "&amp;PL[[#This Row],[CTO]],"Otros")</f>
        <v>CTO 9</v>
      </c>
      <c r="O715" s="154" t="str">
        <f>IF(PL[[#This Row],[STATUS IUP]]="CERRADO","CERRADO",IF(ISNUMBER(SEARCH("validacion de enel",PL[[#This Row],[SUPPLIER NOTES]])),"PTE Validar Enel","ABIERTO"))</f>
        <v>CERRADO</v>
      </c>
      <c r="P715" s="154" t="str">
        <f>IF(PL[[#This Row],[ESTADO]]="CERRADO","Cerrados IUP",IF(PL[[#This Row],[ESTADO]]="PTE Validar Enel","Pendiente cierre ENEL",IF(ISNUMBER(SEARCH("suministro",PL[[#This Row],[SUPPLIER NOTES]])),"Suministros",IF(PL[[#This Row],[SC]]="SOCIAL","Social",IF(ISNUMBER(SEARCH("monolito",PL[[#This Row],[DESCRIPTION]])),"Monolitos","Varios")))))</f>
        <v>Cerrados IUP</v>
      </c>
      <c r="Q7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6" spans="1:17" s="157" customFormat="1" hidden="1" x14ac:dyDescent="0.2">
      <c r="A716" s="151" t="s">
        <v>1945</v>
      </c>
      <c r="B716" s="154" t="s">
        <v>8</v>
      </c>
      <c r="C716" s="154">
        <v>9</v>
      </c>
      <c r="D716" s="153" t="s">
        <v>3381</v>
      </c>
      <c r="E716" s="154" t="s">
        <v>1946</v>
      </c>
      <c r="F716" s="154" t="s">
        <v>1947</v>
      </c>
      <c r="G716" s="154" t="s">
        <v>1289</v>
      </c>
      <c r="H716" s="154" t="s">
        <v>294</v>
      </c>
      <c r="I716" s="154" t="s">
        <v>294</v>
      </c>
      <c r="J716" s="154" t="s">
        <v>74</v>
      </c>
      <c r="K716" s="154" t="s">
        <v>3394</v>
      </c>
      <c r="L716" s="161">
        <v>46231</v>
      </c>
      <c r="M716" s="160">
        <v>46231</v>
      </c>
      <c r="N716" s="154" t="str">
        <f>IF(ISNUMBER(PL[[#This Row],[CTO]]),"CTO "&amp;PL[[#This Row],[CTO]],"Otros")</f>
        <v>CTO 9</v>
      </c>
      <c r="O716" s="154" t="str">
        <f>IF(PL[[#This Row],[STATUS IUP]]="CERRADO","CERRADO",IF(ISNUMBER(SEARCH("validacion de enel",PL[[#This Row],[SUPPLIER NOTES]])),"PTE Validar Enel","ABIERTO"))</f>
        <v>CERRADO</v>
      </c>
      <c r="P716" s="154" t="str">
        <f>IF(PL[[#This Row],[ESTADO]]="CERRADO","Cerrados IUP",IF(PL[[#This Row],[ESTADO]]="PTE Validar Enel","Pendiente cierre ENEL",IF(ISNUMBER(SEARCH("suministro",PL[[#This Row],[SUPPLIER NOTES]])),"Suministros",IF(PL[[#This Row],[SC]]="SOCIAL","Social",IF(ISNUMBER(SEARCH("monolito",PL[[#This Row],[DESCRIPTION]])),"Monolitos","Varios")))))</f>
        <v>Cerrados IUP</v>
      </c>
      <c r="Q7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7" spans="1:17" s="157" customFormat="1" hidden="1" x14ac:dyDescent="0.2">
      <c r="A717" s="151" t="s">
        <v>1948</v>
      </c>
      <c r="B717" s="154" t="s">
        <v>929</v>
      </c>
      <c r="C717" s="154">
        <v>9</v>
      </c>
      <c r="D717" s="153" t="s">
        <v>3381</v>
      </c>
      <c r="E717" s="154" t="s">
        <v>1949</v>
      </c>
      <c r="F717" s="154" t="s">
        <v>1950</v>
      </c>
      <c r="G717" s="154" t="s">
        <v>43</v>
      </c>
      <c r="H717" s="154" t="s">
        <v>294</v>
      </c>
      <c r="I717" s="154" t="s">
        <v>294</v>
      </c>
      <c r="J717" s="154" t="s">
        <v>74</v>
      </c>
      <c r="K717" s="154" t="s">
        <v>3394</v>
      </c>
      <c r="L717" s="161">
        <v>46231</v>
      </c>
      <c r="M717" s="160">
        <v>46231</v>
      </c>
      <c r="N717" s="154" t="str">
        <f>IF(ISNUMBER(PL[[#This Row],[CTO]]),"CTO "&amp;PL[[#This Row],[CTO]],"Otros")</f>
        <v>CTO 9</v>
      </c>
      <c r="O717" s="154" t="str">
        <f>IF(PL[[#This Row],[STATUS IUP]]="CERRADO","CERRADO",IF(ISNUMBER(SEARCH("validacion de enel",PL[[#This Row],[SUPPLIER NOTES]])),"PTE Validar Enel","ABIERTO"))</f>
        <v>CERRADO</v>
      </c>
      <c r="P717" s="154" t="str">
        <f>IF(PL[[#This Row],[ESTADO]]="CERRADO","Cerrados IUP",IF(PL[[#This Row],[ESTADO]]="PTE Validar Enel","Pendiente cierre ENEL",IF(ISNUMBER(SEARCH("suministro",PL[[#This Row],[SUPPLIER NOTES]])),"Suministros",IF(PL[[#This Row],[SC]]="SOCIAL","Social",IF(ISNUMBER(SEARCH("monolito",PL[[#This Row],[DESCRIPTION]])),"Monolitos","Varios")))))</f>
        <v>Cerrados IUP</v>
      </c>
      <c r="Q7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8" spans="1:17" s="157" customFormat="1" hidden="1" x14ac:dyDescent="0.2">
      <c r="A718" s="151" t="s">
        <v>1951</v>
      </c>
      <c r="B718" s="154" t="s">
        <v>1291</v>
      </c>
      <c r="C718" s="154">
        <v>9</v>
      </c>
      <c r="D718" s="153" t="s">
        <v>3381</v>
      </c>
      <c r="E718" s="154" t="s">
        <v>1952</v>
      </c>
      <c r="F718" s="154" t="s">
        <v>1953</v>
      </c>
      <c r="G718" s="154" t="s">
        <v>1290</v>
      </c>
      <c r="H718" s="154" t="s">
        <v>73</v>
      </c>
      <c r="I718" s="154" t="s">
        <v>73</v>
      </c>
      <c r="J718" s="154" t="s">
        <v>74</v>
      </c>
      <c r="K718" s="154" t="s">
        <v>3394</v>
      </c>
      <c r="L718" s="161">
        <v>46232</v>
      </c>
      <c r="M718" s="160">
        <v>46232</v>
      </c>
      <c r="N718" s="154" t="str">
        <f>IF(ISNUMBER(PL[[#This Row],[CTO]]),"CTO "&amp;PL[[#This Row],[CTO]],"Otros")</f>
        <v>CTO 9</v>
      </c>
      <c r="O718" s="154" t="str">
        <f>IF(PL[[#This Row],[STATUS IUP]]="CERRADO","CERRADO",IF(ISNUMBER(SEARCH("validacion de enel",PL[[#This Row],[SUPPLIER NOTES]])),"PTE Validar Enel","ABIERTO"))</f>
        <v>CERRADO</v>
      </c>
      <c r="P718" s="154" t="str">
        <f>IF(PL[[#This Row],[ESTADO]]="CERRADO","Cerrados IUP",IF(PL[[#This Row],[ESTADO]]="PTE Validar Enel","Pendiente cierre ENEL",IF(ISNUMBER(SEARCH("suministro",PL[[#This Row],[SUPPLIER NOTES]])),"Suministros",IF(PL[[#This Row],[SC]]="SOCIAL","Social",IF(ISNUMBER(SEARCH("monolito",PL[[#This Row],[DESCRIPTION]])),"Monolitos","Varios")))))</f>
        <v>Cerrados IUP</v>
      </c>
      <c r="Q7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19" spans="1:17" s="157" customFormat="1" hidden="1" x14ac:dyDescent="0.2">
      <c r="A719" s="151" t="s">
        <v>2795</v>
      </c>
      <c r="B719" s="154" t="s">
        <v>1291</v>
      </c>
      <c r="C719" s="154">
        <v>9</v>
      </c>
      <c r="D719" s="153" t="s">
        <v>3381</v>
      </c>
      <c r="E719" s="154" t="s">
        <v>2796</v>
      </c>
      <c r="F719" s="154" t="s">
        <v>2797</v>
      </c>
      <c r="G719" s="154" t="s">
        <v>1289</v>
      </c>
      <c r="H719" s="154"/>
      <c r="I719" s="154"/>
      <c r="J719" s="154" t="s">
        <v>74</v>
      </c>
      <c r="K719" s="154" t="s">
        <v>3394</v>
      </c>
      <c r="L719" s="154"/>
      <c r="M719" s="156"/>
      <c r="N719" s="154" t="str">
        <f>IF(ISNUMBER(PL[[#This Row],[CTO]]),"CTO "&amp;PL[[#This Row],[CTO]],"Otros")</f>
        <v>CTO 9</v>
      </c>
      <c r="O719" s="154" t="str">
        <f>IF(PL[[#This Row],[STATUS IUP]]="CERRADO","CERRADO",IF(ISNUMBER(SEARCH("validacion de enel",PL[[#This Row],[SUPPLIER NOTES]])),"PTE Validar Enel","ABIERTO"))</f>
        <v>CERRADO</v>
      </c>
      <c r="P719" s="154" t="str">
        <f>IF(PL[[#This Row],[ESTADO]]="CERRADO","Cerrados IUP",IF(PL[[#This Row],[ESTADO]]="PTE Validar Enel","Pendiente cierre ENEL",IF(ISNUMBER(SEARCH("suministro",PL[[#This Row],[SUPPLIER NOTES]])),"Suministros",IF(PL[[#This Row],[SC]]="SOCIAL","Social",IF(ISNUMBER(SEARCH("monolito",PL[[#This Row],[DESCRIPTION]])),"Monolitos","Varios")))))</f>
        <v>Cerrados IUP</v>
      </c>
      <c r="Q7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0" spans="1:17" s="157" customFormat="1" hidden="1" x14ac:dyDescent="0.2">
      <c r="A720" s="151" t="s">
        <v>1957</v>
      </c>
      <c r="B720" s="154" t="s">
        <v>41</v>
      </c>
      <c r="C720" s="154">
        <v>9</v>
      </c>
      <c r="D720" s="153" t="s">
        <v>3381</v>
      </c>
      <c r="E720" s="154" t="s">
        <v>1958</v>
      </c>
      <c r="F720" s="154" t="s">
        <v>1959</v>
      </c>
      <c r="G720" s="154" t="s">
        <v>1289</v>
      </c>
      <c r="H720" s="154" t="s">
        <v>1960</v>
      </c>
      <c r="I720" s="154" t="s">
        <v>73</v>
      </c>
      <c r="J720" s="154" t="s">
        <v>74</v>
      </c>
      <c r="K720" s="154" t="s">
        <v>3394</v>
      </c>
      <c r="L720" s="161">
        <v>46220</v>
      </c>
      <c r="M720" s="160">
        <v>46220</v>
      </c>
      <c r="N720" s="154" t="str">
        <f>IF(ISNUMBER(PL[[#This Row],[CTO]]),"CTO "&amp;PL[[#This Row],[CTO]],"Otros")</f>
        <v>CTO 9</v>
      </c>
      <c r="O720" s="154" t="str">
        <f>IF(PL[[#This Row],[STATUS IUP]]="CERRADO","CERRADO",IF(ISNUMBER(SEARCH("validacion de enel",PL[[#This Row],[SUPPLIER NOTES]])),"PTE Validar Enel","ABIERTO"))</f>
        <v>CERRADO</v>
      </c>
      <c r="P720" s="154" t="str">
        <f>IF(PL[[#This Row],[ESTADO]]="CERRADO","Cerrados IUP",IF(PL[[#This Row],[ESTADO]]="PTE Validar Enel","Pendiente cierre ENEL",IF(ISNUMBER(SEARCH("suministro",PL[[#This Row],[SUPPLIER NOTES]])),"Suministros",IF(PL[[#This Row],[SC]]="SOCIAL","Social",IF(ISNUMBER(SEARCH("monolito",PL[[#This Row],[DESCRIPTION]])),"Monolitos","Varios")))))</f>
        <v>Cerrados IUP</v>
      </c>
      <c r="Q7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1" spans="1:17" s="157" customFormat="1" hidden="1" x14ac:dyDescent="0.2">
      <c r="A721" s="151" t="s">
        <v>2909</v>
      </c>
      <c r="B721" s="154" t="s">
        <v>41</v>
      </c>
      <c r="C721" s="154">
        <v>9</v>
      </c>
      <c r="D721" s="153" t="s">
        <v>3381</v>
      </c>
      <c r="E721" s="154" t="s">
        <v>2910</v>
      </c>
      <c r="F721" s="154" t="s">
        <v>2911</v>
      </c>
      <c r="G721" s="154" t="s">
        <v>1289</v>
      </c>
      <c r="H721" s="154" t="s">
        <v>2912</v>
      </c>
      <c r="I721" s="154" t="s">
        <v>2913</v>
      </c>
      <c r="J721" s="154" t="s">
        <v>74</v>
      </c>
      <c r="K721" s="154" t="s">
        <v>3394</v>
      </c>
      <c r="L721" s="161">
        <v>46220</v>
      </c>
      <c r="M721" s="160">
        <v>46153</v>
      </c>
      <c r="N721" s="154" t="str">
        <f>IF(ISNUMBER(PL[[#This Row],[CTO]]),"CTO "&amp;PL[[#This Row],[CTO]],"Otros")</f>
        <v>CTO 9</v>
      </c>
      <c r="O721" s="154" t="str">
        <f>IF(PL[[#This Row],[STATUS IUP]]="CERRADO","CERRADO",IF(ISNUMBER(SEARCH("validacion de enel",PL[[#This Row],[SUPPLIER NOTES]])),"PTE Validar Enel","ABIERTO"))</f>
        <v>CERRADO</v>
      </c>
      <c r="P721" s="154" t="str">
        <f>IF(PL[[#This Row],[ESTADO]]="CERRADO","Cerrados IUP",IF(PL[[#This Row],[ESTADO]]="PTE Validar Enel","Pendiente cierre ENEL",IF(ISNUMBER(SEARCH("suministro",PL[[#This Row],[SUPPLIER NOTES]])),"Suministros",IF(PL[[#This Row],[SC]]="SOCIAL","Social",IF(ISNUMBER(SEARCH("monolito",PL[[#This Row],[DESCRIPTION]])),"Monolitos","Varios")))))</f>
        <v>Cerrados IUP</v>
      </c>
      <c r="Q7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2" spans="1:17" s="157" customFormat="1" hidden="1" x14ac:dyDescent="0.2">
      <c r="A722" s="151" t="s">
        <v>2906</v>
      </c>
      <c r="B722" s="154" t="s">
        <v>8</v>
      </c>
      <c r="C722" s="154">
        <v>9</v>
      </c>
      <c r="D722" s="153" t="s">
        <v>3381</v>
      </c>
      <c r="E722" s="154" t="s">
        <v>2907</v>
      </c>
      <c r="F722" s="154" t="s">
        <v>2908</v>
      </c>
      <c r="G722" s="154" t="s">
        <v>1289</v>
      </c>
      <c r="H722" s="154"/>
      <c r="I722" s="154"/>
      <c r="J722" s="154" t="s">
        <v>74</v>
      </c>
      <c r="K722" s="154" t="s">
        <v>3394</v>
      </c>
      <c r="L722" s="154"/>
      <c r="M722" s="156"/>
      <c r="N722" s="154" t="str">
        <f>IF(ISNUMBER(PL[[#This Row],[CTO]]),"CTO "&amp;PL[[#This Row],[CTO]],"Otros")</f>
        <v>CTO 9</v>
      </c>
      <c r="O722" s="154" t="str">
        <f>IF(PL[[#This Row],[STATUS IUP]]="CERRADO","CERRADO",IF(ISNUMBER(SEARCH("validacion de enel",PL[[#This Row],[SUPPLIER NOTES]])),"PTE Validar Enel","ABIERTO"))</f>
        <v>CERRADO</v>
      </c>
      <c r="P722" s="154" t="str">
        <f>IF(PL[[#This Row],[ESTADO]]="CERRADO","Cerrados IUP",IF(PL[[#This Row],[ESTADO]]="PTE Validar Enel","Pendiente cierre ENEL",IF(ISNUMBER(SEARCH("suministro",PL[[#This Row],[SUPPLIER NOTES]])),"Suministros",IF(PL[[#This Row],[SC]]="SOCIAL","Social",IF(ISNUMBER(SEARCH("monolito",PL[[#This Row],[DESCRIPTION]])),"Monolitos","Varios")))))</f>
        <v>Cerrados IUP</v>
      </c>
      <c r="Q7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3" spans="1:17" s="157" customFormat="1" hidden="1" x14ac:dyDescent="0.2">
      <c r="A723" s="151" t="s">
        <v>2789</v>
      </c>
      <c r="B723" s="154" t="s">
        <v>41</v>
      </c>
      <c r="C723" s="154">
        <v>9</v>
      </c>
      <c r="D723" s="153" t="s">
        <v>3381</v>
      </c>
      <c r="E723" s="154" t="s">
        <v>2790</v>
      </c>
      <c r="F723" s="154" t="s">
        <v>2791</v>
      </c>
      <c r="G723" s="154" t="s">
        <v>1289</v>
      </c>
      <c r="H723" s="154" t="s">
        <v>294</v>
      </c>
      <c r="I723" s="154" t="s">
        <v>294</v>
      </c>
      <c r="J723" s="154" t="s">
        <v>74</v>
      </c>
      <c r="K723" s="154" t="s">
        <v>3394</v>
      </c>
      <c r="L723" s="161">
        <v>46231</v>
      </c>
      <c r="M723" s="160">
        <v>46231</v>
      </c>
      <c r="N723" s="154" t="str">
        <f>IF(ISNUMBER(PL[[#This Row],[CTO]]),"CTO "&amp;PL[[#This Row],[CTO]],"Otros")</f>
        <v>CTO 9</v>
      </c>
      <c r="O723" s="154" t="str">
        <f>IF(PL[[#This Row],[STATUS IUP]]="CERRADO","CERRADO",IF(ISNUMBER(SEARCH("validacion de enel",PL[[#This Row],[SUPPLIER NOTES]])),"PTE Validar Enel","ABIERTO"))</f>
        <v>CERRADO</v>
      </c>
      <c r="P723" s="154" t="str">
        <f>IF(PL[[#This Row],[ESTADO]]="CERRADO","Cerrados IUP",IF(PL[[#This Row],[ESTADO]]="PTE Validar Enel","Pendiente cierre ENEL",IF(ISNUMBER(SEARCH("suministro",PL[[#This Row],[SUPPLIER NOTES]])),"Suministros",IF(PL[[#This Row],[SC]]="SOCIAL","Social",IF(ISNUMBER(SEARCH("monolito",PL[[#This Row],[DESCRIPTION]])),"Monolitos","Varios")))))</f>
        <v>Cerrados IUP</v>
      </c>
      <c r="Q7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4" spans="1:17" s="157" customFormat="1" hidden="1" x14ac:dyDescent="0.2">
      <c r="A724" s="151" t="s">
        <v>2265</v>
      </c>
      <c r="B724" s="154" t="s">
        <v>41</v>
      </c>
      <c r="C724" s="154">
        <v>9</v>
      </c>
      <c r="D724" s="153" t="s">
        <v>3381</v>
      </c>
      <c r="E724" s="154" t="s">
        <v>2266</v>
      </c>
      <c r="F724" s="154" t="s">
        <v>2267</v>
      </c>
      <c r="G724" s="154" t="s">
        <v>43</v>
      </c>
      <c r="H724" s="154" t="s">
        <v>2268</v>
      </c>
      <c r="I724" s="154" t="s">
        <v>73</v>
      </c>
      <c r="J724" s="154" t="s">
        <v>74</v>
      </c>
      <c r="K724" s="154" t="s">
        <v>3394</v>
      </c>
      <c r="L724" s="161">
        <v>46220</v>
      </c>
      <c r="M724" s="160">
        <v>46220</v>
      </c>
      <c r="N724" s="154" t="str">
        <f>IF(ISNUMBER(PL[[#This Row],[CTO]]),"CTO "&amp;PL[[#This Row],[CTO]],"Otros")</f>
        <v>CTO 9</v>
      </c>
      <c r="O724" s="154" t="str">
        <f>IF(PL[[#This Row],[STATUS IUP]]="CERRADO","CERRADO",IF(ISNUMBER(SEARCH("validacion de enel",PL[[#This Row],[SUPPLIER NOTES]])),"PTE Validar Enel","ABIERTO"))</f>
        <v>CERRADO</v>
      </c>
      <c r="P724" s="154" t="str">
        <f>IF(PL[[#This Row],[ESTADO]]="CERRADO","Cerrados IUP",IF(PL[[#This Row],[ESTADO]]="PTE Validar Enel","Pendiente cierre ENEL",IF(ISNUMBER(SEARCH("suministro",PL[[#This Row],[SUPPLIER NOTES]])),"Suministros",IF(PL[[#This Row],[SC]]="SOCIAL","Social",IF(ISNUMBER(SEARCH("monolito",PL[[#This Row],[DESCRIPTION]])),"Monolitos","Varios")))))</f>
        <v>Cerrados IUP</v>
      </c>
      <c r="Q7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5" spans="1:17" s="157" customFormat="1" hidden="1" x14ac:dyDescent="0.2">
      <c r="A725" s="151" t="s">
        <v>2786</v>
      </c>
      <c r="B725" s="154" t="s">
        <v>1297</v>
      </c>
      <c r="C725" s="154">
        <v>9</v>
      </c>
      <c r="D725" s="153" t="s">
        <v>3381</v>
      </c>
      <c r="E725" s="154" t="s">
        <v>2787</v>
      </c>
      <c r="F725" s="154" t="s">
        <v>2788</v>
      </c>
      <c r="G725" s="154" t="s">
        <v>43</v>
      </c>
      <c r="H725" s="154" t="s">
        <v>73</v>
      </c>
      <c r="I725" s="154" t="s">
        <v>73</v>
      </c>
      <c r="J725" s="154" t="s">
        <v>74</v>
      </c>
      <c r="K725" s="154" t="s">
        <v>3394</v>
      </c>
      <c r="L725" s="161">
        <v>46220</v>
      </c>
      <c r="M725" s="160">
        <v>46220</v>
      </c>
      <c r="N725" s="154" t="str">
        <f>IF(ISNUMBER(PL[[#This Row],[CTO]]),"CTO "&amp;PL[[#This Row],[CTO]],"Otros")</f>
        <v>CTO 9</v>
      </c>
      <c r="O725" s="154" t="str">
        <f>IF(PL[[#This Row],[STATUS IUP]]="CERRADO","CERRADO",IF(ISNUMBER(SEARCH("validacion de enel",PL[[#This Row],[SUPPLIER NOTES]])),"PTE Validar Enel","ABIERTO"))</f>
        <v>CERRADO</v>
      </c>
      <c r="P725" s="154" t="str">
        <f>IF(PL[[#This Row],[ESTADO]]="CERRADO","Cerrados IUP",IF(PL[[#This Row],[ESTADO]]="PTE Validar Enel","Pendiente cierre ENEL",IF(ISNUMBER(SEARCH("suministro",PL[[#This Row],[SUPPLIER NOTES]])),"Suministros",IF(PL[[#This Row],[SC]]="SOCIAL","Social",IF(ISNUMBER(SEARCH("monolito",PL[[#This Row],[DESCRIPTION]])),"Monolitos","Varios")))))</f>
        <v>Cerrados IUP</v>
      </c>
      <c r="Q7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6" spans="1:17" s="157" customFormat="1" hidden="1" x14ac:dyDescent="0.2">
      <c r="A726" s="151" t="s">
        <v>2238</v>
      </c>
      <c r="B726" s="154" t="s">
        <v>41</v>
      </c>
      <c r="C726" s="154">
        <v>9</v>
      </c>
      <c r="D726" s="153" t="s">
        <v>3381</v>
      </c>
      <c r="E726" s="154" t="s">
        <v>2239</v>
      </c>
      <c r="F726" s="154" t="s">
        <v>2240</v>
      </c>
      <c r="G726" s="154" t="s">
        <v>1290</v>
      </c>
      <c r="H726" s="154" t="s">
        <v>73</v>
      </c>
      <c r="I726" s="154" t="s">
        <v>73</v>
      </c>
      <c r="J726" s="154" t="s">
        <v>74</v>
      </c>
      <c r="K726" s="154" t="s">
        <v>3394</v>
      </c>
      <c r="L726" s="161">
        <v>46232</v>
      </c>
      <c r="M726" s="160">
        <v>46232</v>
      </c>
      <c r="N726" s="154" t="str">
        <f>IF(ISNUMBER(PL[[#This Row],[CTO]]),"CTO "&amp;PL[[#This Row],[CTO]],"Otros")</f>
        <v>CTO 9</v>
      </c>
      <c r="O726" s="154" t="str">
        <f>IF(PL[[#This Row],[STATUS IUP]]="CERRADO","CERRADO",IF(ISNUMBER(SEARCH("validacion de enel",PL[[#This Row],[SUPPLIER NOTES]])),"PTE Validar Enel","ABIERTO"))</f>
        <v>CERRADO</v>
      </c>
      <c r="P726" s="154" t="str">
        <f>IF(PL[[#This Row],[ESTADO]]="CERRADO","Cerrados IUP",IF(PL[[#This Row],[ESTADO]]="PTE Validar Enel","Pendiente cierre ENEL",IF(ISNUMBER(SEARCH("suministro",PL[[#This Row],[SUPPLIER NOTES]])),"Suministros",IF(PL[[#This Row],[SC]]="SOCIAL","Social",IF(ISNUMBER(SEARCH("monolito",PL[[#This Row],[DESCRIPTION]])),"Monolitos","Varios")))))</f>
        <v>Cerrados IUP</v>
      </c>
      <c r="Q7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7" spans="1:17" s="157" customFormat="1" ht="16" hidden="1" x14ac:dyDescent="0.2">
      <c r="A727" s="151" t="s">
        <v>2088</v>
      </c>
      <c r="B727" s="152" t="s">
        <v>1291</v>
      </c>
      <c r="C727" s="154">
        <v>9</v>
      </c>
      <c r="D727" s="153" t="s">
        <v>3381</v>
      </c>
      <c r="E727" s="154" t="s">
        <v>2089</v>
      </c>
      <c r="F727" s="152" t="s">
        <v>2090</v>
      </c>
      <c r="G727" s="154" t="s">
        <v>43</v>
      </c>
      <c r="H727" s="154" t="s">
        <v>3454</v>
      </c>
      <c r="I727" s="154"/>
      <c r="J727" s="154" t="s">
        <v>74</v>
      </c>
      <c r="K727" s="154" t="s">
        <v>3394</v>
      </c>
      <c r="L727" s="155">
        <v>46303</v>
      </c>
      <c r="M727" s="156"/>
      <c r="N727" s="154" t="str">
        <f>IF(ISNUMBER(PL[[#This Row],[CTO]]),"CTO "&amp;PL[[#This Row],[CTO]],"Otros")</f>
        <v>CTO 9</v>
      </c>
      <c r="O727" s="154" t="str">
        <f>IF(PL[[#This Row],[STATUS IUP]]="CERRADO","CERRADO",IF(ISNUMBER(SEARCH("validacion de enel",PL[[#This Row],[SUPPLIER NOTES]])),"PTE Validar Enel","ABIERTO"))</f>
        <v>CERRADO</v>
      </c>
      <c r="P727" s="154" t="str">
        <f>IF(PL[[#This Row],[ESTADO]]="CERRADO","Cerrados IUP",IF(PL[[#This Row],[ESTADO]]="PTE Validar Enel","Pendiente cierre ENEL",IF(ISNUMBER(SEARCH("suministro",PL[[#This Row],[SUPPLIER NOTES]])),"Suministros",IF(PL[[#This Row],[SC]]="SOCIAL","Social",IF(ISNUMBER(SEARCH("monolito",PL[[#This Row],[DESCRIPTION]])),"Monolitos","Varios")))))</f>
        <v>Cerrados IUP</v>
      </c>
      <c r="Q7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28" spans="1:17" s="157" customFormat="1" hidden="1" x14ac:dyDescent="0.2">
      <c r="A728" s="151" t="s">
        <v>2262</v>
      </c>
      <c r="B728" s="154" t="s">
        <v>8</v>
      </c>
      <c r="C728" s="154">
        <v>9</v>
      </c>
      <c r="D728" s="153" t="s">
        <v>3381</v>
      </c>
      <c r="E728" s="154" t="s">
        <v>2263</v>
      </c>
      <c r="F728" s="154" t="s">
        <v>2264</v>
      </c>
      <c r="G728" s="154" t="s">
        <v>128</v>
      </c>
      <c r="H728" s="154"/>
      <c r="I728" s="154"/>
      <c r="J728" s="154" t="s">
        <v>74</v>
      </c>
      <c r="K728" s="154" t="s">
        <v>3394</v>
      </c>
      <c r="L728" s="154"/>
      <c r="M728" s="156"/>
      <c r="N728" s="154" t="str">
        <f>IF(ISNUMBER(PL[[#This Row],[CTO]]),"CTO "&amp;PL[[#This Row],[CTO]],"Otros")</f>
        <v>CTO 9</v>
      </c>
      <c r="O728" s="154" t="str">
        <f>IF(PL[[#This Row],[STATUS IUP]]="CERRADO","CERRADO",IF(ISNUMBER(SEARCH("validacion de enel",PL[[#This Row],[SUPPLIER NOTES]])),"PTE Validar Enel","ABIERTO"))</f>
        <v>CERRADO</v>
      </c>
      <c r="P728" s="154" t="str">
        <f>IF(PL[[#This Row],[ESTADO]]="CERRADO","Cerrados IUP",IF(PL[[#This Row],[ESTADO]]="PTE Validar Enel","Pendiente cierre ENEL",IF(ISNUMBER(SEARCH("suministro",PL[[#This Row],[SUPPLIER NOTES]])),"Suministros",IF(PL[[#This Row],[SC]]="SOCIAL","Social",IF(ISNUMBER(SEARCH("monolito",PL[[#This Row],[DESCRIPTION]])),"Monolitos","Varios")))))</f>
        <v>Cerrados IUP</v>
      </c>
      <c r="Q7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29" spans="1:17" s="157" customFormat="1" hidden="1" x14ac:dyDescent="0.2">
      <c r="A729" s="151" t="s">
        <v>2902</v>
      </c>
      <c r="B729" s="154" t="s">
        <v>47</v>
      </c>
      <c r="C729" s="154">
        <v>9</v>
      </c>
      <c r="D729" s="153" t="s">
        <v>3381</v>
      </c>
      <c r="E729" s="154" t="s">
        <v>2903</v>
      </c>
      <c r="F729" s="154" t="s">
        <v>2904</v>
      </c>
      <c r="G729" s="154" t="s">
        <v>1290</v>
      </c>
      <c r="H729" s="154" t="s">
        <v>2905</v>
      </c>
      <c r="I729" s="154" t="s">
        <v>2905</v>
      </c>
      <c r="J729" s="154" t="s">
        <v>74</v>
      </c>
      <c r="K729" s="154" t="s">
        <v>3394</v>
      </c>
      <c r="L729" s="161">
        <v>46231</v>
      </c>
      <c r="M729" s="160">
        <v>46231</v>
      </c>
      <c r="N729" s="154" t="str">
        <f>IF(ISNUMBER(PL[[#This Row],[CTO]]),"CTO "&amp;PL[[#This Row],[CTO]],"Otros")</f>
        <v>CTO 9</v>
      </c>
      <c r="O729" s="154" t="str">
        <f>IF(PL[[#This Row],[STATUS IUP]]="CERRADO","CERRADO",IF(ISNUMBER(SEARCH("validacion de enel",PL[[#This Row],[SUPPLIER NOTES]])),"PTE Validar Enel","ABIERTO"))</f>
        <v>CERRADO</v>
      </c>
      <c r="P729" s="154" t="str">
        <f>IF(PL[[#This Row],[ESTADO]]="CERRADO","Cerrados IUP",IF(PL[[#This Row],[ESTADO]]="PTE Validar Enel","Pendiente cierre ENEL",IF(ISNUMBER(SEARCH("suministro",PL[[#This Row],[SUPPLIER NOTES]])),"Suministros",IF(PL[[#This Row],[SC]]="SOCIAL","Social",IF(ISNUMBER(SEARCH("monolito",PL[[#This Row],[DESCRIPTION]])),"Monolitos","Varios")))))</f>
        <v>Cerrados IUP</v>
      </c>
      <c r="Q7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0" spans="1:17" s="157" customFormat="1" hidden="1" x14ac:dyDescent="0.2">
      <c r="A730" s="151" t="s">
        <v>2241</v>
      </c>
      <c r="B730" s="154" t="s">
        <v>1297</v>
      </c>
      <c r="C730" s="154">
        <v>9</v>
      </c>
      <c r="D730" s="153" t="s">
        <v>3381</v>
      </c>
      <c r="E730" s="154" t="s">
        <v>2242</v>
      </c>
      <c r="F730" s="154" t="s">
        <v>2243</v>
      </c>
      <c r="G730" s="154" t="s">
        <v>1290</v>
      </c>
      <c r="H730" s="154" t="s">
        <v>73</v>
      </c>
      <c r="I730" s="154" t="s">
        <v>73</v>
      </c>
      <c r="J730" s="154" t="s">
        <v>74</v>
      </c>
      <c r="K730" s="154" t="s">
        <v>3394</v>
      </c>
      <c r="L730" s="161">
        <v>46231</v>
      </c>
      <c r="M730" s="160">
        <v>46231</v>
      </c>
      <c r="N730" s="154" t="str">
        <f>IF(ISNUMBER(PL[[#This Row],[CTO]]),"CTO "&amp;PL[[#This Row],[CTO]],"Otros")</f>
        <v>CTO 9</v>
      </c>
      <c r="O730" s="154" t="str">
        <f>IF(PL[[#This Row],[STATUS IUP]]="CERRADO","CERRADO",IF(ISNUMBER(SEARCH("validacion de enel",PL[[#This Row],[SUPPLIER NOTES]])),"PTE Validar Enel","ABIERTO"))</f>
        <v>CERRADO</v>
      </c>
      <c r="P730" s="154" t="str">
        <f>IF(PL[[#This Row],[ESTADO]]="CERRADO","Cerrados IUP",IF(PL[[#This Row],[ESTADO]]="PTE Validar Enel","Pendiente cierre ENEL",IF(ISNUMBER(SEARCH("suministro",PL[[#This Row],[SUPPLIER NOTES]])),"Suministros",IF(PL[[#This Row],[SC]]="SOCIAL","Social",IF(ISNUMBER(SEARCH("monolito",PL[[#This Row],[DESCRIPTION]])),"Monolitos","Varios")))))</f>
        <v>Cerrados IUP</v>
      </c>
      <c r="Q7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1" spans="1:17" s="157" customFormat="1" hidden="1" x14ac:dyDescent="0.2">
      <c r="A731" s="151" t="s">
        <v>2529</v>
      </c>
      <c r="B731" s="154" t="s">
        <v>1291</v>
      </c>
      <c r="C731" s="154">
        <v>9</v>
      </c>
      <c r="D731" s="153" t="s">
        <v>3381</v>
      </c>
      <c r="E731" s="154" t="s">
        <v>2530</v>
      </c>
      <c r="F731" s="154" t="s">
        <v>2531</v>
      </c>
      <c r="G731" s="154" t="s">
        <v>1290</v>
      </c>
      <c r="H731" s="154" t="s">
        <v>294</v>
      </c>
      <c r="I731" s="154" t="s">
        <v>294</v>
      </c>
      <c r="J731" s="154" t="s">
        <v>74</v>
      </c>
      <c r="K731" s="154" t="s">
        <v>3394</v>
      </c>
      <c r="L731" s="161">
        <v>46231</v>
      </c>
      <c r="M731" s="160">
        <v>46231</v>
      </c>
      <c r="N731" s="154" t="str">
        <f>IF(ISNUMBER(PL[[#This Row],[CTO]]),"CTO "&amp;PL[[#This Row],[CTO]],"Otros")</f>
        <v>CTO 9</v>
      </c>
      <c r="O731" s="154" t="str">
        <f>IF(PL[[#This Row],[STATUS IUP]]="CERRADO","CERRADO",IF(ISNUMBER(SEARCH("validacion de enel",PL[[#This Row],[SUPPLIER NOTES]])),"PTE Validar Enel","ABIERTO"))</f>
        <v>CERRADO</v>
      </c>
      <c r="P731" s="154" t="str">
        <f>IF(PL[[#This Row],[ESTADO]]="CERRADO","Cerrados IUP",IF(PL[[#This Row],[ESTADO]]="PTE Validar Enel","Pendiente cierre ENEL",IF(ISNUMBER(SEARCH("suministro",PL[[#This Row],[SUPPLIER NOTES]])),"Suministros",IF(PL[[#This Row],[SC]]="SOCIAL","Social",IF(ISNUMBER(SEARCH("monolito",PL[[#This Row],[DESCRIPTION]])),"Monolitos","Varios")))))</f>
        <v>Cerrados IUP</v>
      </c>
      <c r="Q7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2" spans="1:17" s="157" customFormat="1" hidden="1" x14ac:dyDescent="0.2">
      <c r="A732" s="151" t="s">
        <v>2050</v>
      </c>
      <c r="B732" s="154" t="s">
        <v>8</v>
      </c>
      <c r="C732" s="154">
        <v>9</v>
      </c>
      <c r="D732" s="153" t="s">
        <v>3381</v>
      </c>
      <c r="E732" s="154" t="s">
        <v>2051</v>
      </c>
      <c r="F732" s="154" t="s">
        <v>2052</v>
      </c>
      <c r="G732" s="154" t="s">
        <v>1290</v>
      </c>
      <c r="H732" s="154"/>
      <c r="I732" s="154"/>
      <c r="J732" s="154" t="s">
        <v>74</v>
      </c>
      <c r="K732" s="154" t="s">
        <v>3394</v>
      </c>
      <c r="L732" s="154"/>
      <c r="M732" s="156"/>
      <c r="N732" s="154" t="str">
        <f>IF(ISNUMBER(PL[[#This Row],[CTO]]),"CTO "&amp;PL[[#This Row],[CTO]],"Otros")</f>
        <v>CTO 9</v>
      </c>
      <c r="O732" s="154" t="str">
        <f>IF(PL[[#This Row],[STATUS IUP]]="CERRADO","CERRADO",IF(ISNUMBER(SEARCH("validacion de enel",PL[[#This Row],[SUPPLIER NOTES]])),"PTE Validar Enel","ABIERTO"))</f>
        <v>CERRADO</v>
      </c>
      <c r="P732" s="154" t="str">
        <f>IF(PL[[#This Row],[ESTADO]]="CERRADO","Cerrados IUP",IF(PL[[#This Row],[ESTADO]]="PTE Validar Enel","Pendiente cierre ENEL",IF(ISNUMBER(SEARCH("suministro",PL[[#This Row],[SUPPLIER NOTES]])),"Suministros",IF(PL[[#This Row],[SC]]="SOCIAL","Social",IF(ISNUMBER(SEARCH("monolito",PL[[#This Row],[DESCRIPTION]])),"Monolitos","Varios")))))</f>
        <v>Cerrados IUP</v>
      </c>
      <c r="Q7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3" spans="1:17" s="157" customFormat="1" hidden="1" x14ac:dyDescent="0.2">
      <c r="A733" s="151" t="s">
        <v>2053</v>
      </c>
      <c r="B733" s="154" t="s">
        <v>1314</v>
      </c>
      <c r="C733" s="154">
        <v>9</v>
      </c>
      <c r="D733" s="153" t="s">
        <v>3381</v>
      </c>
      <c r="E733" s="154" t="s">
        <v>2054</v>
      </c>
      <c r="F733" s="154" t="s">
        <v>2055</v>
      </c>
      <c r="G733" s="154" t="s">
        <v>216</v>
      </c>
      <c r="H733" s="154"/>
      <c r="I733" s="154"/>
      <c r="J733" s="154" t="s">
        <v>74</v>
      </c>
      <c r="K733" s="154" t="s">
        <v>3394</v>
      </c>
      <c r="L733" s="154"/>
      <c r="M733" s="156"/>
      <c r="N733" s="154" t="str">
        <f>IF(ISNUMBER(PL[[#This Row],[CTO]]),"CTO "&amp;PL[[#This Row],[CTO]],"Otros")</f>
        <v>CTO 9</v>
      </c>
      <c r="O733" s="154" t="str">
        <f>IF(PL[[#This Row],[STATUS IUP]]="CERRADO","CERRADO",IF(ISNUMBER(SEARCH("validacion de enel",PL[[#This Row],[SUPPLIER NOTES]])),"PTE Validar Enel","ABIERTO"))</f>
        <v>CERRADO</v>
      </c>
      <c r="P733" s="154" t="str">
        <f>IF(PL[[#This Row],[ESTADO]]="CERRADO","Cerrados IUP",IF(PL[[#This Row],[ESTADO]]="PTE Validar Enel","Pendiente cierre ENEL",IF(ISNUMBER(SEARCH("suministro",PL[[#This Row],[SUPPLIER NOTES]])),"Suministros",IF(PL[[#This Row],[SC]]="SOCIAL","Social",IF(ISNUMBER(SEARCH("monolito",PL[[#This Row],[DESCRIPTION]])),"Monolitos","Varios")))))</f>
        <v>Cerrados IUP</v>
      </c>
      <c r="Q7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4" spans="1:17" s="157" customFormat="1" hidden="1" x14ac:dyDescent="0.2">
      <c r="A734" s="151" t="s">
        <v>2899</v>
      </c>
      <c r="B734" s="154" t="s">
        <v>1314</v>
      </c>
      <c r="C734" s="154">
        <v>9</v>
      </c>
      <c r="D734" s="153" t="s">
        <v>3381</v>
      </c>
      <c r="E734" s="154" t="s">
        <v>2900</v>
      </c>
      <c r="F734" s="154" t="s">
        <v>2901</v>
      </c>
      <c r="G734" s="154" t="s">
        <v>216</v>
      </c>
      <c r="H734" s="154"/>
      <c r="I734" s="154"/>
      <c r="J734" s="154" t="s">
        <v>74</v>
      </c>
      <c r="K734" s="154" t="s">
        <v>3394</v>
      </c>
      <c r="L734" s="154"/>
      <c r="M734" s="156"/>
      <c r="N734" s="154" t="str">
        <f>IF(ISNUMBER(PL[[#This Row],[CTO]]),"CTO "&amp;PL[[#This Row],[CTO]],"Otros")</f>
        <v>CTO 9</v>
      </c>
      <c r="O734" s="154" t="str">
        <f>IF(PL[[#This Row],[STATUS IUP]]="CERRADO","CERRADO",IF(ISNUMBER(SEARCH("validacion de enel",PL[[#This Row],[SUPPLIER NOTES]])),"PTE Validar Enel","ABIERTO"))</f>
        <v>CERRADO</v>
      </c>
      <c r="P734" s="154" t="str">
        <f>IF(PL[[#This Row],[ESTADO]]="CERRADO","Cerrados IUP",IF(PL[[#This Row],[ESTADO]]="PTE Validar Enel","Pendiente cierre ENEL",IF(ISNUMBER(SEARCH("suministro",PL[[#This Row],[SUPPLIER NOTES]])),"Suministros",IF(PL[[#This Row],[SC]]="SOCIAL","Social",IF(ISNUMBER(SEARCH("monolito",PL[[#This Row],[DESCRIPTION]])),"Monolitos","Varios")))))</f>
        <v>Cerrados IUP</v>
      </c>
      <c r="Q7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5" spans="1:17" s="157" customFormat="1" hidden="1" x14ac:dyDescent="0.2">
      <c r="A735" s="151" t="s">
        <v>2840</v>
      </c>
      <c r="B735" s="154" t="s">
        <v>8</v>
      </c>
      <c r="C735" s="154">
        <v>9</v>
      </c>
      <c r="D735" s="153" t="s">
        <v>3381</v>
      </c>
      <c r="E735" s="154" t="s">
        <v>2841</v>
      </c>
      <c r="F735" s="154" t="s">
        <v>2842</v>
      </c>
      <c r="G735" s="154" t="s">
        <v>216</v>
      </c>
      <c r="H735" s="154"/>
      <c r="I735" s="154"/>
      <c r="J735" s="154" t="s">
        <v>74</v>
      </c>
      <c r="K735" s="154" t="s">
        <v>3394</v>
      </c>
      <c r="L735" s="154"/>
      <c r="M735" s="156"/>
      <c r="N735" s="154" t="str">
        <f>IF(ISNUMBER(PL[[#This Row],[CTO]]),"CTO "&amp;PL[[#This Row],[CTO]],"Otros")</f>
        <v>CTO 9</v>
      </c>
      <c r="O735" s="154" t="str">
        <f>IF(PL[[#This Row],[STATUS IUP]]="CERRADO","CERRADO",IF(ISNUMBER(SEARCH("validacion de enel",PL[[#This Row],[SUPPLIER NOTES]])),"PTE Validar Enel","ABIERTO"))</f>
        <v>CERRADO</v>
      </c>
      <c r="P735" s="154" t="str">
        <f>IF(PL[[#This Row],[ESTADO]]="CERRADO","Cerrados IUP",IF(PL[[#This Row],[ESTADO]]="PTE Validar Enel","Pendiente cierre ENEL",IF(ISNUMBER(SEARCH("suministro",PL[[#This Row],[SUPPLIER NOTES]])),"Suministros",IF(PL[[#This Row],[SC]]="SOCIAL","Social",IF(ISNUMBER(SEARCH("monolito",PL[[#This Row],[DESCRIPTION]])),"Monolitos","Varios")))))</f>
        <v>Cerrados IUP</v>
      </c>
      <c r="Q7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6" spans="1:17" s="157" customFormat="1" hidden="1" x14ac:dyDescent="0.2">
      <c r="A736" s="151" t="s">
        <v>2896</v>
      </c>
      <c r="B736" s="154" t="s">
        <v>1314</v>
      </c>
      <c r="C736" s="154">
        <v>9</v>
      </c>
      <c r="D736" s="153" t="s">
        <v>3381</v>
      </c>
      <c r="E736" s="154" t="s">
        <v>2897</v>
      </c>
      <c r="F736" s="154" t="s">
        <v>2898</v>
      </c>
      <c r="G736" s="154" t="s">
        <v>216</v>
      </c>
      <c r="H736" s="154"/>
      <c r="I736" s="154"/>
      <c r="J736" s="154" t="s">
        <v>74</v>
      </c>
      <c r="K736" s="154" t="s">
        <v>3394</v>
      </c>
      <c r="L736" s="154"/>
      <c r="M736" s="156"/>
      <c r="N736" s="154" t="str">
        <f>IF(ISNUMBER(PL[[#This Row],[CTO]]),"CTO "&amp;PL[[#This Row],[CTO]],"Otros")</f>
        <v>CTO 9</v>
      </c>
      <c r="O736" s="154" t="str">
        <f>IF(PL[[#This Row],[STATUS IUP]]="CERRADO","CERRADO",IF(ISNUMBER(SEARCH("validacion de enel",PL[[#This Row],[SUPPLIER NOTES]])),"PTE Validar Enel","ABIERTO"))</f>
        <v>CERRADO</v>
      </c>
      <c r="P736" s="154" t="str">
        <f>IF(PL[[#This Row],[ESTADO]]="CERRADO","Cerrados IUP",IF(PL[[#This Row],[ESTADO]]="PTE Validar Enel","Pendiente cierre ENEL",IF(ISNUMBER(SEARCH("suministro",PL[[#This Row],[SUPPLIER NOTES]])),"Suministros",IF(PL[[#This Row],[SC]]="SOCIAL","Social",IF(ISNUMBER(SEARCH("monolito",PL[[#This Row],[DESCRIPTION]])),"Monolitos","Varios")))))</f>
        <v>Cerrados IUP</v>
      </c>
      <c r="Q7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7" spans="1:17" s="157" customFormat="1" hidden="1" x14ac:dyDescent="0.2">
      <c r="A737" s="151" t="s">
        <v>2085</v>
      </c>
      <c r="B737" s="154" t="s">
        <v>1314</v>
      </c>
      <c r="C737" s="154">
        <v>9</v>
      </c>
      <c r="D737" s="153" t="s">
        <v>3381</v>
      </c>
      <c r="E737" s="154" t="s">
        <v>2086</v>
      </c>
      <c r="F737" s="154" t="s">
        <v>2087</v>
      </c>
      <c r="G737" s="154" t="s">
        <v>216</v>
      </c>
      <c r="H737" s="154"/>
      <c r="I737" s="154"/>
      <c r="J737" s="154" t="s">
        <v>74</v>
      </c>
      <c r="K737" s="154" t="s">
        <v>3394</v>
      </c>
      <c r="L737" s="154"/>
      <c r="M737" s="156"/>
      <c r="N737" s="154" t="str">
        <f>IF(ISNUMBER(PL[[#This Row],[CTO]]),"CTO "&amp;PL[[#This Row],[CTO]],"Otros")</f>
        <v>CTO 9</v>
      </c>
      <c r="O737" s="154" t="str">
        <f>IF(PL[[#This Row],[STATUS IUP]]="CERRADO","CERRADO",IF(ISNUMBER(SEARCH("validacion de enel",PL[[#This Row],[SUPPLIER NOTES]])),"PTE Validar Enel","ABIERTO"))</f>
        <v>CERRADO</v>
      </c>
      <c r="P737" s="154" t="str">
        <f>IF(PL[[#This Row],[ESTADO]]="CERRADO","Cerrados IUP",IF(PL[[#This Row],[ESTADO]]="PTE Validar Enel","Pendiente cierre ENEL",IF(ISNUMBER(SEARCH("suministro",PL[[#This Row],[SUPPLIER NOTES]])),"Suministros",IF(PL[[#This Row],[SC]]="SOCIAL","Social",IF(ISNUMBER(SEARCH("monolito",PL[[#This Row],[DESCRIPTION]])),"Monolitos","Varios")))))</f>
        <v>Cerrados IUP</v>
      </c>
      <c r="Q7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8" spans="1:17" s="157" customFormat="1" hidden="1" x14ac:dyDescent="0.2">
      <c r="A738" s="151" t="s">
        <v>2500</v>
      </c>
      <c r="B738" s="154" t="s">
        <v>8</v>
      </c>
      <c r="C738" s="154">
        <v>9</v>
      </c>
      <c r="D738" s="153" t="s">
        <v>3381</v>
      </c>
      <c r="E738" s="154" t="s">
        <v>2501</v>
      </c>
      <c r="F738" s="154" t="s">
        <v>2502</v>
      </c>
      <c r="G738" s="154" t="s">
        <v>1289</v>
      </c>
      <c r="H738" s="154"/>
      <c r="I738" s="154"/>
      <c r="J738" s="154" t="s">
        <v>74</v>
      </c>
      <c r="K738" s="154" t="s">
        <v>3394</v>
      </c>
      <c r="L738" s="154"/>
      <c r="M738" s="156"/>
      <c r="N738" s="154" t="str">
        <f>IF(ISNUMBER(PL[[#This Row],[CTO]]),"CTO "&amp;PL[[#This Row],[CTO]],"Otros")</f>
        <v>CTO 9</v>
      </c>
      <c r="O738" s="154" t="str">
        <f>IF(PL[[#This Row],[STATUS IUP]]="CERRADO","CERRADO",IF(ISNUMBER(SEARCH("validacion de enel",PL[[#This Row],[SUPPLIER NOTES]])),"PTE Validar Enel","ABIERTO"))</f>
        <v>CERRADO</v>
      </c>
      <c r="P738" s="154" t="str">
        <f>IF(PL[[#This Row],[ESTADO]]="CERRADO","Cerrados IUP",IF(PL[[#This Row],[ESTADO]]="PTE Validar Enel","Pendiente cierre ENEL",IF(ISNUMBER(SEARCH("suministro",PL[[#This Row],[SUPPLIER NOTES]])),"Suministros",IF(PL[[#This Row],[SC]]="SOCIAL","Social",IF(ISNUMBER(SEARCH("monolito",PL[[#This Row],[DESCRIPTION]])),"Monolitos","Varios")))))</f>
        <v>Cerrados IUP</v>
      </c>
      <c r="Q7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39" spans="1:17" s="157" customFormat="1" hidden="1" x14ac:dyDescent="0.2">
      <c r="A739" s="151" t="s">
        <v>1463</v>
      </c>
      <c r="B739" s="154" t="s">
        <v>1452</v>
      </c>
      <c r="C739" s="154">
        <v>9</v>
      </c>
      <c r="D739" s="153" t="s">
        <v>3381</v>
      </c>
      <c r="E739" s="154" t="s">
        <v>1464</v>
      </c>
      <c r="F739" s="154" t="s">
        <v>1465</v>
      </c>
      <c r="G739" s="154" t="s">
        <v>1290</v>
      </c>
      <c r="H739" s="154"/>
      <c r="I739" s="154"/>
      <c r="J739" s="154" t="s">
        <v>74</v>
      </c>
      <c r="K739" s="154" t="s">
        <v>3394</v>
      </c>
      <c r="L739" s="154"/>
      <c r="M739" s="156"/>
      <c r="N739" s="154" t="str">
        <f>IF(ISNUMBER(PL[[#This Row],[CTO]]),"CTO "&amp;PL[[#This Row],[CTO]],"Otros")</f>
        <v>CTO 9</v>
      </c>
      <c r="O739" s="154" t="str">
        <f>IF(PL[[#This Row],[STATUS IUP]]="CERRADO","CERRADO",IF(ISNUMBER(SEARCH("validacion de enel",PL[[#This Row],[SUPPLIER NOTES]])),"PTE Validar Enel","ABIERTO"))</f>
        <v>CERRADO</v>
      </c>
      <c r="P739" s="154" t="str">
        <f>IF(PL[[#This Row],[ESTADO]]="CERRADO","Cerrados IUP",IF(PL[[#This Row],[ESTADO]]="PTE Validar Enel","Pendiente cierre ENEL",IF(ISNUMBER(SEARCH("suministro",PL[[#This Row],[SUPPLIER NOTES]])),"Suministros",IF(PL[[#This Row],[SC]]="SOCIAL","Social",IF(ISNUMBER(SEARCH("monolito",PL[[#This Row],[DESCRIPTION]])),"Monolitos","Varios")))))</f>
        <v>Cerrados IUP</v>
      </c>
      <c r="Q7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0" spans="1:17" s="157" customFormat="1" hidden="1" x14ac:dyDescent="0.2">
      <c r="A740" s="151" t="s">
        <v>1983</v>
      </c>
      <c r="B740" s="154" t="s">
        <v>290</v>
      </c>
      <c r="C740" s="154">
        <v>9</v>
      </c>
      <c r="D740" s="153" t="s">
        <v>3381</v>
      </c>
      <c r="E740" s="154" t="s">
        <v>1984</v>
      </c>
      <c r="F740" s="154" t="s">
        <v>1532</v>
      </c>
      <c r="G740" s="154" t="s">
        <v>1289</v>
      </c>
      <c r="H740" s="154"/>
      <c r="I740" s="154"/>
      <c r="J740" s="154" t="s">
        <v>74</v>
      </c>
      <c r="K740" s="154" t="s">
        <v>3394</v>
      </c>
      <c r="L740" s="154"/>
      <c r="M740" s="156"/>
      <c r="N740" s="154" t="str">
        <f>IF(ISNUMBER(PL[[#This Row],[CTO]]),"CTO "&amp;PL[[#This Row],[CTO]],"Otros")</f>
        <v>CTO 9</v>
      </c>
      <c r="O740" s="154" t="str">
        <f>IF(PL[[#This Row],[STATUS IUP]]="CERRADO","CERRADO",IF(ISNUMBER(SEARCH("validacion de enel",PL[[#This Row],[SUPPLIER NOTES]])),"PTE Validar Enel","ABIERTO"))</f>
        <v>CERRADO</v>
      </c>
      <c r="P740" s="154" t="str">
        <f>IF(PL[[#This Row],[ESTADO]]="CERRADO","Cerrados IUP",IF(PL[[#This Row],[ESTADO]]="PTE Validar Enel","Pendiente cierre ENEL",IF(ISNUMBER(SEARCH("suministro",PL[[#This Row],[SUPPLIER NOTES]])),"Suministros",IF(PL[[#This Row],[SC]]="SOCIAL","Social",IF(ISNUMBER(SEARCH("monolito",PL[[#This Row],[DESCRIPTION]])),"Monolitos","Varios")))))</f>
        <v>Cerrados IUP</v>
      </c>
      <c r="Q7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1" spans="1:17" s="157" customFormat="1" hidden="1" x14ac:dyDescent="0.2">
      <c r="A741" s="151" t="s">
        <v>2935</v>
      </c>
      <c r="B741" s="154" t="s">
        <v>41</v>
      </c>
      <c r="C741" s="154">
        <v>9</v>
      </c>
      <c r="D741" s="153" t="s">
        <v>3381</v>
      </c>
      <c r="E741" s="154" t="s">
        <v>2936</v>
      </c>
      <c r="F741" s="154" t="s">
        <v>2937</v>
      </c>
      <c r="G741" s="154" t="s">
        <v>49</v>
      </c>
      <c r="H741" s="154" t="s">
        <v>2938</v>
      </c>
      <c r="I741" s="154" t="s">
        <v>2939</v>
      </c>
      <c r="J741" s="154" t="s">
        <v>74</v>
      </c>
      <c r="K741" s="154" t="s">
        <v>3394</v>
      </c>
      <c r="L741" s="161">
        <v>46154</v>
      </c>
      <c r="M741" s="160">
        <v>46153</v>
      </c>
      <c r="N741" s="154" t="str">
        <f>IF(ISNUMBER(PL[[#This Row],[CTO]]),"CTO "&amp;PL[[#This Row],[CTO]],"Otros")</f>
        <v>CTO 9</v>
      </c>
      <c r="O741" s="154" t="str">
        <f>IF(PL[[#This Row],[STATUS IUP]]="CERRADO","CERRADO",IF(ISNUMBER(SEARCH("validacion de enel",PL[[#This Row],[SUPPLIER NOTES]])),"PTE Validar Enel","ABIERTO"))</f>
        <v>CERRADO</v>
      </c>
      <c r="P741" s="154" t="str">
        <f>IF(PL[[#This Row],[ESTADO]]="CERRADO","Cerrados IUP",IF(PL[[#This Row],[ESTADO]]="PTE Validar Enel","Pendiente cierre ENEL",IF(ISNUMBER(SEARCH("suministro",PL[[#This Row],[SUPPLIER NOTES]])),"Suministros",IF(PL[[#This Row],[SC]]="SOCIAL","Social",IF(ISNUMBER(SEARCH("monolito",PL[[#This Row],[DESCRIPTION]])),"Monolitos","Varios")))))</f>
        <v>Cerrados IUP</v>
      </c>
      <c r="Q7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2" spans="1:17" hidden="1" x14ac:dyDescent="0.2">
      <c r="A742" s="116" t="s">
        <v>1726</v>
      </c>
      <c r="B742" s="117" t="s">
        <v>8</v>
      </c>
      <c r="C742" s="82">
        <v>9</v>
      </c>
      <c r="D742" s="118" t="s">
        <v>3381</v>
      </c>
      <c r="E742" s="117" t="s">
        <v>1727</v>
      </c>
      <c r="F742" s="117" t="s">
        <v>1728</v>
      </c>
      <c r="G742" s="82" t="s">
        <v>128</v>
      </c>
      <c r="H742" s="90"/>
      <c r="I742" s="67"/>
      <c r="J742" s="67" t="s">
        <v>74</v>
      </c>
      <c r="K742" s="67" t="s">
        <v>3394</v>
      </c>
      <c r="L742" s="119">
        <v>46305</v>
      </c>
      <c r="M742" s="69"/>
      <c r="N742" s="67" t="str">
        <f>IF(ISNUMBER(PL[[#This Row],[CTO]]),"CTO "&amp;PL[[#This Row],[CTO]],"Otros")</f>
        <v>CTO 9</v>
      </c>
      <c r="O742" s="67" t="str">
        <f>IF(PL[[#This Row],[STATUS IUP]]="CERRADO","CERRADO",IF(ISNUMBER(SEARCH("validacion de enel",PL[[#This Row],[SUPPLIER NOTES]])),"PTE Validar Enel","ABIERTO"))</f>
        <v>CERRADO</v>
      </c>
      <c r="P742" s="67" t="str">
        <f>IF(PL[[#This Row],[ESTADO]]="CERRADO","Cerrados IUP",IF(PL[[#This Row],[ESTADO]]="PTE Validar Enel","Pendiente cierre ENEL",IF(ISNUMBER(SEARCH("suministro",PL[[#This Row],[SUPPLIER NOTES]])),"Suministros",IF(PL[[#This Row],[SC]]="SOCIAL","Social",IF(ISNUMBER(SEARCH("monolito",PL[[#This Row],[DESCRIPTION]])),"Monolitos","Varios")))))</f>
        <v>Cerrados IUP</v>
      </c>
      <c r="Q74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3" spans="1:17" hidden="1" x14ac:dyDescent="0.2">
      <c r="A743" s="66" t="s">
        <v>2168</v>
      </c>
      <c r="B743" s="67" t="s">
        <v>41</v>
      </c>
      <c r="C743" s="82">
        <v>9</v>
      </c>
      <c r="D743" s="68" t="s">
        <v>3381</v>
      </c>
      <c r="E743" s="67" t="s">
        <v>2169</v>
      </c>
      <c r="F743" s="67" t="s">
        <v>2170</v>
      </c>
      <c r="G743" s="82" t="s">
        <v>1289</v>
      </c>
      <c r="H743" s="90"/>
      <c r="I743" s="67"/>
      <c r="J743" s="67" t="s">
        <v>11</v>
      </c>
      <c r="K743" s="67" t="s">
        <v>3393</v>
      </c>
      <c r="L743" s="67"/>
      <c r="M743" s="69"/>
      <c r="N743" s="67" t="str">
        <f>IF(ISNUMBER(PL[[#This Row],[CTO]]),"CTO "&amp;PL[[#This Row],[CTO]],"Otros")</f>
        <v>CTO 9</v>
      </c>
      <c r="O743" s="67" t="str">
        <f>IF(PL[[#This Row],[STATUS IUP]]="CERRADO","CERRADO",IF(ISNUMBER(SEARCH("validacion de enel",PL[[#This Row],[SUPPLIER NOTES]])),"PTE Validar Enel","ABIERTO"))</f>
        <v>ABIERTO</v>
      </c>
      <c r="P743" s="67" t="str">
        <f>IF(PL[[#This Row],[ESTADO]]="CERRADO","Cerrados IUP",IF(PL[[#This Row],[ESTADO]]="PTE Validar Enel","Pendiente cierre ENEL",IF(ISNUMBER(SEARCH("suministro",PL[[#This Row],[SUPPLIER NOTES]])),"Suministros",IF(PL[[#This Row],[SC]]="SOCIAL","Social",IF(ISNUMBER(SEARCH("monolito",PL[[#This Row],[DESCRIPTION]])),"Monolitos","Varios")))))</f>
        <v>Varios</v>
      </c>
      <c r="Q74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4" spans="1:17" hidden="1" x14ac:dyDescent="0.2">
      <c r="A744" s="66" t="s">
        <v>2192</v>
      </c>
      <c r="B744" s="67" t="s">
        <v>41</v>
      </c>
      <c r="C744" s="82">
        <v>9</v>
      </c>
      <c r="D744" s="68" t="s">
        <v>3381</v>
      </c>
      <c r="E744" s="67" t="s">
        <v>2193</v>
      </c>
      <c r="F744" s="67" t="s">
        <v>2194</v>
      </c>
      <c r="G744" s="82" t="s">
        <v>1290</v>
      </c>
      <c r="H744" s="90" t="s">
        <v>2195</v>
      </c>
      <c r="I744" s="67"/>
      <c r="J744" s="67" t="s">
        <v>1369</v>
      </c>
      <c r="K744" s="67" t="s">
        <v>3393</v>
      </c>
      <c r="L744" s="67"/>
      <c r="M744" s="163">
        <v>46231</v>
      </c>
      <c r="N744" s="67" t="str">
        <f>IF(ISNUMBER(PL[[#This Row],[CTO]]),"CTO "&amp;PL[[#This Row],[CTO]],"Otros")</f>
        <v>CTO 9</v>
      </c>
      <c r="O744" s="67" t="str">
        <f>IF(PL[[#This Row],[STATUS IUP]]="CERRADO","CERRADO",IF(ISNUMBER(SEARCH("validacion de enel",PL[[#This Row],[SUPPLIER NOTES]])),"PTE Validar Enel","ABIERTO"))</f>
        <v>ABIERTO</v>
      </c>
      <c r="P744" s="67" t="str">
        <f>IF(PL[[#This Row],[ESTADO]]="CERRADO","Cerrados IUP",IF(PL[[#This Row],[ESTADO]]="PTE Validar Enel","Pendiente cierre ENEL",IF(ISNUMBER(SEARCH("suministro",PL[[#This Row],[SUPPLIER NOTES]])),"Suministros",IF(PL[[#This Row],[SC]]="SOCIAL","Social",IF(ISNUMBER(SEARCH("monolito",PL[[#This Row],[DESCRIPTION]])),"Monolitos","Varios")))))</f>
        <v>Varios</v>
      </c>
      <c r="Q74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5" spans="1:17" s="157" customFormat="1" hidden="1" x14ac:dyDescent="0.2">
      <c r="A745" s="151" t="s">
        <v>58</v>
      </c>
      <c r="B745" s="154" t="s">
        <v>47</v>
      </c>
      <c r="C745" s="154">
        <v>9</v>
      </c>
      <c r="D745" s="153" t="s">
        <v>3381</v>
      </c>
      <c r="E745" s="154"/>
      <c r="F745" s="154" t="s">
        <v>59</v>
      </c>
      <c r="G745" s="154" t="s">
        <v>49</v>
      </c>
      <c r="H745" s="154"/>
      <c r="I745" s="154"/>
      <c r="J745" s="154" t="s">
        <v>74</v>
      </c>
      <c r="K745" s="154" t="s">
        <v>3394</v>
      </c>
      <c r="L745" s="154"/>
      <c r="M745" s="156"/>
      <c r="N745" s="154" t="str">
        <f>IF(ISNUMBER(PL[[#This Row],[CTO]]),"CTO "&amp;PL[[#This Row],[CTO]],"Otros")</f>
        <v>CTO 9</v>
      </c>
      <c r="O745" s="154" t="str">
        <f>IF(PL[[#This Row],[STATUS IUP]]="CERRADO","CERRADO",IF(ISNUMBER(SEARCH("validacion de enel",PL[[#This Row],[SUPPLIER NOTES]])),"PTE Validar Enel","ABIERTO"))</f>
        <v>CERRADO</v>
      </c>
      <c r="P745" s="154" t="str">
        <f>IF(PL[[#This Row],[ESTADO]]="CERRADO","Cerrados IUP",IF(PL[[#This Row],[ESTADO]]="PTE Validar Enel","Pendiente cierre ENEL",IF(ISNUMBER(SEARCH("suministro",PL[[#This Row],[SUPPLIER NOTES]])),"Suministros",IF(PL[[#This Row],[SC]]="SOCIAL","Social",IF(ISNUMBER(SEARCH("monolito",PL[[#This Row],[DESCRIPTION]])),"Monolitos","Varios")))))</f>
        <v>Cerrados IUP</v>
      </c>
      <c r="Q7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46" spans="1:17" s="157" customFormat="1" hidden="1" x14ac:dyDescent="0.2">
      <c r="A746" s="151" t="s">
        <v>1115</v>
      </c>
      <c r="B746" s="154" t="s">
        <v>41</v>
      </c>
      <c r="C746" s="154">
        <v>9</v>
      </c>
      <c r="D746" s="154" t="s">
        <v>3381</v>
      </c>
      <c r="E746" s="153" t="s">
        <v>3392</v>
      </c>
      <c r="F746" s="154" t="s">
        <v>1116</v>
      </c>
      <c r="G746" s="154" t="s">
        <v>43</v>
      </c>
      <c r="H746" s="154"/>
      <c r="I746" s="154"/>
      <c r="J746" s="154" t="s">
        <v>74</v>
      </c>
      <c r="K746" s="154" t="s">
        <v>3394</v>
      </c>
      <c r="L746" s="154"/>
      <c r="M746" s="156"/>
      <c r="N746" s="154" t="str">
        <f>IF(ISNUMBER(PL[[#This Row],[CTO]]),"CTO "&amp;PL[[#This Row],[CTO]],"Otros")</f>
        <v>CTO 9</v>
      </c>
      <c r="O746" s="154" t="str">
        <f>IF(PL[[#This Row],[STATUS IUP]]="CERRADO","CERRADO",IF(ISNUMBER(SEARCH("validacion de enel",PL[[#This Row],[SUPPLIER NOTES]])),"PTE Validar Enel","ABIERTO"))</f>
        <v>CERRADO</v>
      </c>
      <c r="P746" s="154" t="str">
        <f>IF(PL[[#This Row],[ESTADO]]="CERRADO","Cerrados IUP",IF(PL[[#This Row],[ESTADO]]="PTE Validar Enel","Pendiente cierre ENEL",IF(ISNUMBER(SEARCH("suministro",PL[[#This Row],[SUPPLIER NOTES]])),"Suministros",IF(PL[[#This Row],[SC]]="SOCIAL","Social",IF(ISNUMBER(SEARCH("monolito",PL[[#This Row],[DESCRIPTION]])),"Monolitos","Varios")))))</f>
        <v>Cerrados IUP</v>
      </c>
      <c r="Q7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47" spans="1:17" x14ac:dyDescent="0.2">
      <c r="A747" s="75" t="s">
        <v>1117</v>
      </c>
      <c r="B747" s="74" t="s">
        <v>41</v>
      </c>
      <c r="C747" s="82">
        <v>9</v>
      </c>
      <c r="D747" s="74" t="s">
        <v>3381</v>
      </c>
      <c r="E747" s="76" t="s">
        <v>3392</v>
      </c>
      <c r="F747" s="74" t="s">
        <v>1118</v>
      </c>
      <c r="G747" s="74" t="s">
        <v>43</v>
      </c>
      <c r="H747" s="74" t="s">
        <v>3460</v>
      </c>
      <c r="I747" s="74"/>
      <c r="J747" s="74" t="s">
        <v>11</v>
      </c>
      <c r="K747" s="74" t="s">
        <v>3393</v>
      </c>
      <c r="L747" s="74"/>
      <c r="M747" s="77"/>
      <c r="N747" s="74" t="str">
        <f>IF(ISNUMBER(PL[[#This Row],[CTO]]),"CTO "&amp;PL[[#This Row],[CTO]],"Otros")</f>
        <v>CTO 9</v>
      </c>
      <c r="O747" s="74" t="str">
        <f>IF(PL[[#This Row],[STATUS IUP]]="CERRADO","CERRADO",IF(ISNUMBER(SEARCH("validacion de enel",PL[[#This Row],[SUPPLIER NOTES]])),"PTE Validar Enel","ABIERTO"))</f>
        <v>ABIERTO</v>
      </c>
      <c r="P747" s="74" t="str">
        <f>IF(PL[[#This Row],[ESTADO]]="CERRADO","Cerrados IUP",IF(PL[[#This Row],[ESTADO]]="PTE Validar Enel","Pendiente cierre ENEL",IF(ISNUMBER(SEARCH("suministro",PL[[#This Row],[SUPPLIER NOTES]])),"Suministros",IF(PL[[#This Row],[SC]]="SOCIAL","Social",IF(ISNUMBER(SEARCH("monolito",PL[[#This Row],[DESCRIPTION]])),"Monolitos","Varios")))))</f>
        <v>Suministros</v>
      </c>
      <c r="Q74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48" spans="1:17" x14ac:dyDescent="0.2">
      <c r="A748" s="85" t="s">
        <v>1119</v>
      </c>
      <c r="B748" s="82" t="s">
        <v>41</v>
      </c>
      <c r="C748" s="82">
        <v>9</v>
      </c>
      <c r="D748" s="82" t="s">
        <v>3381</v>
      </c>
      <c r="E748" s="84" t="s">
        <v>3392</v>
      </c>
      <c r="F748" s="82" t="s">
        <v>1120</v>
      </c>
      <c r="G748" s="82" t="s">
        <v>43</v>
      </c>
      <c r="H748" s="82"/>
      <c r="I748" s="82"/>
      <c r="J748" s="82" t="s">
        <v>11</v>
      </c>
      <c r="K748" s="82" t="s">
        <v>3393</v>
      </c>
      <c r="L748" s="82"/>
      <c r="M748" s="83"/>
      <c r="N748" s="82" t="str">
        <f>IF(ISNUMBER(PL[[#This Row],[CTO]]),"CTO "&amp;PL[[#This Row],[CTO]],"Otros")</f>
        <v>CTO 9</v>
      </c>
      <c r="O748" s="82" t="str">
        <f>IF(PL[[#This Row],[STATUS IUP]]="CERRADO","CERRADO",IF(ISNUMBER(SEARCH("validacion de enel",PL[[#This Row],[SUPPLIER NOTES]])),"PTE Validar Enel","ABIERTO"))</f>
        <v>ABIERTO</v>
      </c>
      <c r="P748" s="82" t="str">
        <f>IF(PL[[#This Row],[ESTADO]]="CERRADO","Cerrados IUP",IF(PL[[#This Row],[ESTADO]]="PTE Validar Enel","Pendiente cierre ENEL",IF(ISNUMBER(SEARCH("suministro",PL[[#This Row],[SUPPLIER NOTES]])),"Suministros",IF(PL[[#This Row],[SC]]="SOCIAL","Social",IF(ISNUMBER(SEARCH("monolito",PL[[#This Row],[DESCRIPTION]])),"Monolitos","Varios")))))</f>
        <v>Varios</v>
      </c>
      <c r="Q748" s="82"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49" spans="1:17" ht="64" x14ac:dyDescent="0.2">
      <c r="A749" s="86" t="s">
        <v>1121</v>
      </c>
      <c r="B749" s="115" t="s">
        <v>41</v>
      </c>
      <c r="C749" s="82">
        <v>9</v>
      </c>
      <c r="D749" s="87" t="s">
        <v>3381</v>
      </c>
      <c r="E749" s="88" t="s">
        <v>3392</v>
      </c>
      <c r="F749" s="115" t="s">
        <v>1122</v>
      </c>
      <c r="G749" s="87" t="s">
        <v>43</v>
      </c>
      <c r="H749" s="87" t="s">
        <v>3454</v>
      </c>
      <c r="I749" s="87"/>
      <c r="J749" s="87" t="s">
        <v>11</v>
      </c>
      <c r="K749" s="87" t="s">
        <v>3393</v>
      </c>
      <c r="L749" s="87"/>
      <c r="M749" s="89"/>
      <c r="N749" s="87" t="str">
        <f>IF(ISNUMBER(PL[[#This Row],[CTO]]),"CTO "&amp;PL[[#This Row],[CTO]],"Otros")</f>
        <v>CTO 9</v>
      </c>
      <c r="O749" s="87" t="str">
        <f>IF(PL[[#This Row],[STATUS IUP]]="CERRADO","CERRADO",IF(ISNUMBER(SEARCH("validacion de enel",PL[[#This Row],[SUPPLIER NOTES]])),"PTE Validar Enel","ABIERTO"))</f>
        <v>PTE Validar Enel</v>
      </c>
      <c r="P749"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749"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50" spans="1:17" s="157" customFormat="1" hidden="1" x14ac:dyDescent="0.2">
      <c r="A750" s="151" t="s">
        <v>1127</v>
      </c>
      <c r="B750" s="154" t="s">
        <v>41</v>
      </c>
      <c r="C750" s="154">
        <v>9</v>
      </c>
      <c r="D750" s="154" t="s">
        <v>3381</v>
      </c>
      <c r="E750" s="153" t="s">
        <v>3392</v>
      </c>
      <c r="F750" s="154" t="s">
        <v>1128</v>
      </c>
      <c r="G750" s="154" t="s">
        <v>49</v>
      </c>
      <c r="H750" s="154"/>
      <c r="I750" s="154"/>
      <c r="J750" s="154" t="s">
        <v>74</v>
      </c>
      <c r="K750" s="154" t="s">
        <v>3394</v>
      </c>
      <c r="L750" s="154"/>
      <c r="M750" s="156"/>
      <c r="N750" s="154" t="str">
        <f>IF(ISNUMBER(PL[[#This Row],[CTO]]),"CTO "&amp;PL[[#This Row],[CTO]],"Otros")</f>
        <v>CTO 9</v>
      </c>
      <c r="O750" s="154" t="str">
        <f>IF(PL[[#This Row],[STATUS IUP]]="CERRADO","CERRADO",IF(ISNUMBER(SEARCH("validacion de enel",PL[[#This Row],[SUPPLIER NOTES]])),"PTE Validar Enel","ABIERTO"))</f>
        <v>CERRADO</v>
      </c>
      <c r="P750" s="154" t="str">
        <f>IF(PL[[#This Row],[ESTADO]]="CERRADO","Cerrados IUP",IF(PL[[#This Row],[ESTADO]]="PTE Validar Enel","Pendiente cierre ENEL",IF(ISNUMBER(SEARCH("suministro",PL[[#This Row],[SUPPLIER NOTES]])),"Suministros",IF(PL[[#This Row],[SC]]="SOCIAL","Social",IF(ISNUMBER(SEARCH("monolito",PL[[#This Row],[DESCRIPTION]])),"Monolitos","Varios")))))</f>
        <v>Cerrados IUP</v>
      </c>
      <c r="Q7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751" spans="1:17" s="157" customFormat="1" hidden="1" x14ac:dyDescent="0.2">
      <c r="A751" s="151" t="s">
        <v>1129</v>
      </c>
      <c r="B751" s="154" t="s">
        <v>41</v>
      </c>
      <c r="C751" s="154">
        <v>9</v>
      </c>
      <c r="D751" s="154" t="s">
        <v>3381</v>
      </c>
      <c r="E751" s="153" t="s">
        <v>3392</v>
      </c>
      <c r="F751" s="154" t="s">
        <v>1130</v>
      </c>
      <c r="G751" s="154" t="s">
        <v>49</v>
      </c>
      <c r="H751" s="154"/>
      <c r="I751" s="154"/>
      <c r="J751" s="154" t="s">
        <v>74</v>
      </c>
      <c r="K751" s="154" t="s">
        <v>3394</v>
      </c>
      <c r="L751" s="154"/>
      <c r="M751" s="156"/>
      <c r="N751" s="154" t="str">
        <f>IF(ISNUMBER(PL[[#This Row],[CTO]]),"CTO "&amp;PL[[#This Row],[CTO]],"Otros")</f>
        <v>CTO 9</v>
      </c>
      <c r="O751" s="154" t="str">
        <f>IF(PL[[#This Row],[STATUS IUP]]="CERRADO","CERRADO",IF(ISNUMBER(SEARCH("validacion de enel",PL[[#This Row],[SUPPLIER NOTES]])),"PTE Validar Enel","ABIERTO"))</f>
        <v>CERRADO</v>
      </c>
      <c r="P751" s="154" t="str">
        <f>IF(PL[[#This Row],[ESTADO]]="CERRADO","Cerrados IUP",IF(PL[[#This Row],[ESTADO]]="PTE Validar Enel","Pendiente cierre ENEL",IF(ISNUMBER(SEARCH("suministro",PL[[#This Row],[SUPPLIER NOTES]])),"Suministros",IF(PL[[#This Row],[SC]]="SOCIAL","Social",IF(ISNUMBER(SEARCH("monolito",PL[[#This Row],[DESCRIPTION]])),"Monolitos","Varios")))))</f>
        <v>Cerrados IUP</v>
      </c>
      <c r="Q7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752" spans="1:17" s="157" customFormat="1" hidden="1" x14ac:dyDescent="0.2">
      <c r="A752" s="151" t="s">
        <v>1131</v>
      </c>
      <c r="B752" s="154" t="s">
        <v>41</v>
      </c>
      <c r="C752" s="154">
        <v>9</v>
      </c>
      <c r="D752" s="154" t="s">
        <v>3381</v>
      </c>
      <c r="E752" s="153" t="s">
        <v>3392</v>
      </c>
      <c r="F752" s="154" t="s">
        <v>1132</v>
      </c>
      <c r="G752" s="154" t="s">
        <v>49</v>
      </c>
      <c r="H752" s="154"/>
      <c r="I752" s="154"/>
      <c r="J752" s="154" t="s">
        <v>74</v>
      </c>
      <c r="K752" s="154" t="s">
        <v>3394</v>
      </c>
      <c r="L752" s="154"/>
      <c r="M752" s="156"/>
      <c r="N752" s="154" t="str">
        <f>IF(ISNUMBER(PL[[#This Row],[CTO]]),"CTO "&amp;PL[[#This Row],[CTO]],"Otros")</f>
        <v>CTO 9</v>
      </c>
      <c r="O752" s="154" t="str">
        <f>IF(PL[[#This Row],[STATUS IUP]]="CERRADO","CERRADO",IF(ISNUMBER(SEARCH("validacion de enel",PL[[#This Row],[SUPPLIER NOTES]])),"PTE Validar Enel","ABIERTO"))</f>
        <v>CERRADO</v>
      </c>
      <c r="P752" s="154" t="str">
        <f>IF(PL[[#This Row],[ESTADO]]="CERRADO","Cerrados IUP",IF(PL[[#This Row],[ESTADO]]="PTE Validar Enel","Pendiente cierre ENEL",IF(ISNUMBER(SEARCH("suministro",PL[[#This Row],[SUPPLIER NOTES]])),"Suministros",IF(PL[[#This Row],[SC]]="SOCIAL","Social",IF(ISNUMBER(SEARCH("monolito",PL[[#This Row],[DESCRIPTION]])),"Monolitos","Varios")))))</f>
        <v>Cerrados IUP</v>
      </c>
      <c r="Q7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753" spans="1:17" s="157" customFormat="1" hidden="1" x14ac:dyDescent="0.2">
      <c r="A753" s="151" t="s">
        <v>99</v>
      </c>
      <c r="B753" s="154" t="s">
        <v>8</v>
      </c>
      <c r="C753" s="154">
        <v>9</v>
      </c>
      <c r="D753" s="153" t="s">
        <v>3381</v>
      </c>
      <c r="E753" s="154"/>
      <c r="F753" s="154" t="s">
        <v>100</v>
      </c>
      <c r="G753" s="154" t="s">
        <v>1290</v>
      </c>
      <c r="H753" s="154"/>
      <c r="I753" s="154"/>
      <c r="J753" s="154" t="s">
        <v>74</v>
      </c>
      <c r="K753" s="154" t="s">
        <v>3394</v>
      </c>
      <c r="L753" s="154"/>
      <c r="M753" s="156"/>
      <c r="N753" s="154" t="str">
        <f>IF(ISNUMBER(PL[[#This Row],[CTO]]),"CTO "&amp;PL[[#This Row],[CTO]],"Otros")</f>
        <v>CTO 9</v>
      </c>
      <c r="O753" s="154" t="str">
        <f>IF(PL[[#This Row],[STATUS IUP]]="CERRADO","CERRADO",IF(ISNUMBER(SEARCH("validacion de enel",PL[[#This Row],[SUPPLIER NOTES]])),"PTE Validar Enel","ABIERTO"))</f>
        <v>CERRADO</v>
      </c>
      <c r="P753" s="154" t="str">
        <f>IF(PL[[#This Row],[ESTADO]]="CERRADO","Cerrados IUP",IF(PL[[#This Row],[ESTADO]]="PTE Validar Enel","Pendiente cierre ENEL",IF(ISNUMBER(SEARCH("suministro",PL[[#This Row],[SUPPLIER NOTES]])),"Suministros",IF(PL[[#This Row],[SC]]="SOCIAL","Social",IF(ISNUMBER(SEARCH("monolito",PL[[#This Row],[DESCRIPTION]])),"Monolitos","Varios")))))</f>
        <v>Cerrados IUP</v>
      </c>
      <c r="Q7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754" spans="1:17" s="157" customFormat="1" hidden="1" x14ac:dyDescent="0.2">
      <c r="A754" s="151" t="s">
        <v>1262</v>
      </c>
      <c r="B754" s="154" t="s">
        <v>8</v>
      </c>
      <c r="C754" s="154">
        <v>9</v>
      </c>
      <c r="D754" s="153" t="s">
        <v>3381</v>
      </c>
      <c r="E754" s="154"/>
      <c r="F754" s="154" t="s">
        <v>1263</v>
      </c>
      <c r="G754" s="154" t="s">
        <v>43</v>
      </c>
      <c r="H754" s="154"/>
      <c r="I754" s="154"/>
      <c r="J754" s="154" t="s">
        <v>74</v>
      </c>
      <c r="K754" s="154" t="s">
        <v>3394</v>
      </c>
      <c r="L754" s="154"/>
      <c r="M754" s="156"/>
      <c r="N754" s="154" t="str">
        <f>IF(ISNUMBER(PL[[#This Row],[CTO]]),"CTO "&amp;PL[[#This Row],[CTO]],"Otros")</f>
        <v>CTO 9</v>
      </c>
      <c r="O754" s="154" t="str">
        <f>IF(PL[[#This Row],[STATUS IUP]]="CERRADO","CERRADO",IF(ISNUMBER(SEARCH("validacion de enel",PL[[#This Row],[SUPPLIER NOTES]])),"PTE Validar Enel","ABIERTO"))</f>
        <v>CERRADO</v>
      </c>
      <c r="P754" s="154" t="str">
        <f>IF(PL[[#This Row],[ESTADO]]="CERRADO","Cerrados IUP",IF(PL[[#This Row],[ESTADO]]="PTE Validar Enel","Pendiente cierre ENEL",IF(ISNUMBER(SEARCH("suministro",PL[[#This Row],[SUPPLIER NOTES]])),"Suministros",IF(PL[[#This Row],[SC]]="SOCIAL","Social",IF(ISNUMBER(SEARCH("monolito",PL[[#This Row],[DESCRIPTION]])),"Monolitos","Varios")))))</f>
        <v>Cerrados IUP</v>
      </c>
      <c r="Q7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55" spans="1:17" x14ac:dyDescent="0.2">
      <c r="A755" s="75" t="s">
        <v>1204</v>
      </c>
      <c r="B755" s="74" t="s">
        <v>8</v>
      </c>
      <c r="C755" s="82">
        <v>9</v>
      </c>
      <c r="D755" s="76" t="s">
        <v>3381</v>
      </c>
      <c r="E755" s="74"/>
      <c r="F755" s="74" t="s">
        <v>1205</v>
      </c>
      <c r="G755" s="74" t="s">
        <v>43</v>
      </c>
      <c r="H755" s="74" t="s">
        <v>3460</v>
      </c>
      <c r="I755" s="74"/>
      <c r="J755" s="74" t="s">
        <v>11</v>
      </c>
      <c r="K755" s="74" t="s">
        <v>3393</v>
      </c>
      <c r="L755" s="74"/>
      <c r="M755" s="77"/>
      <c r="N755" s="74" t="str">
        <f>IF(ISNUMBER(PL[[#This Row],[CTO]]),"CTO "&amp;PL[[#This Row],[CTO]],"Otros")</f>
        <v>CTO 9</v>
      </c>
      <c r="O755" s="74" t="str">
        <f>IF(PL[[#This Row],[STATUS IUP]]="CERRADO","CERRADO",IF(ISNUMBER(SEARCH("validacion de enel",PL[[#This Row],[SUPPLIER NOTES]])),"PTE Validar Enel","ABIERTO"))</f>
        <v>ABIERTO</v>
      </c>
      <c r="P755" s="74" t="str">
        <f>IF(PL[[#This Row],[ESTADO]]="CERRADO","Cerrados IUP",IF(PL[[#This Row],[ESTADO]]="PTE Validar Enel","Pendiente cierre ENEL",IF(ISNUMBER(SEARCH("suministro",PL[[#This Row],[SUPPLIER NOTES]])),"Suministros",IF(PL[[#This Row],[SC]]="SOCIAL","Social",IF(ISNUMBER(SEARCH("monolito",PL[[#This Row],[DESCRIPTION]])),"Monolitos","Varios")))))</f>
        <v>Suministros</v>
      </c>
      <c r="Q75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56" spans="1:17" ht="48" x14ac:dyDescent="0.2">
      <c r="A756" s="86" t="s">
        <v>1218</v>
      </c>
      <c r="B756" s="115" t="s">
        <v>8</v>
      </c>
      <c r="C756" s="82">
        <v>9</v>
      </c>
      <c r="D756" s="88" t="s">
        <v>3381</v>
      </c>
      <c r="E756" s="87"/>
      <c r="F756" s="115" t="s">
        <v>1219</v>
      </c>
      <c r="G756" s="87" t="s">
        <v>43</v>
      </c>
      <c r="H756" s="87" t="s">
        <v>3454</v>
      </c>
      <c r="I756" s="87"/>
      <c r="J756" s="87" t="s">
        <v>11</v>
      </c>
      <c r="K756" s="87" t="s">
        <v>3393</v>
      </c>
      <c r="L756" s="87"/>
      <c r="M756" s="89"/>
      <c r="N756" s="87" t="str">
        <f>IF(ISNUMBER(PL[[#This Row],[CTO]]),"CTO "&amp;PL[[#This Row],[CTO]],"Otros")</f>
        <v>CTO 9</v>
      </c>
      <c r="O756" s="87" t="str">
        <f>IF(PL[[#This Row],[STATUS IUP]]="CERRADO","CERRADO",IF(ISNUMBER(SEARCH("validacion de enel",PL[[#This Row],[SUPPLIER NOTES]])),"PTE Validar Enel","ABIERTO"))</f>
        <v>PTE Validar Enel</v>
      </c>
      <c r="P75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75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57" spans="1:17" s="157" customFormat="1" hidden="1" x14ac:dyDescent="0.2">
      <c r="A757" s="151" t="s">
        <v>1220</v>
      </c>
      <c r="B757" s="154" t="s">
        <v>8</v>
      </c>
      <c r="C757" s="154">
        <v>9</v>
      </c>
      <c r="D757" s="153" t="s">
        <v>3381</v>
      </c>
      <c r="E757" s="154"/>
      <c r="F757" s="154" t="s">
        <v>1221</v>
      </c>
      <c r="G757" s="154" t="s">
        <v>43</v>
      </c>
      <c r="H757" s="154"/>
      <c r="I757" s="154"/>
      <c r="J757" s="154" t="s">
        <v>74</v>
      </c>
      <c r="K757" s="154" t="s">
        <v>3394</v>
      </c>
      <c r="L757" s="154"/>
      <c r="M757" s="156"/>
      <c r="N757" s="154" t="str">
        <f>IF(ISNUMBER(PL[[#This Row],[CTO]]),"CTO "&amp;PL[[#This Row],[CTO]],"Otros")</f>
        <v>CTO 9</v>
      </c>
      <c r="O757" s="154" t="str">
        <f>IF(PL[[#This Row],[STATUS IUP]]="CERRADO","CERRADO",IF(ISNUMBER(SEARCH("validacion de enel",PL[[#This Row],[SUPPLIER NOTES]])),"PTE Validar Enel","ABIERTO"))</f>
        <v>CERRADO</v>
      </c>
      <c r="P757" s="154" t="str">
        <f>IF(PL[[#This Row],[ESTADO]]="CERRADO","Cerrados IUP",IF(PL[[#This Row],[ESTADO]]="PTE Validar Enel","Pendiente cierre ENEL",IF(ISNUMBER(SEARCH("suministro",PL[[#This Row],[SUPPLIER NOTES]])),"Suministros",IF(PL[[#This Row],[SC]]="SOCIAL","Social",IF(ISNUMBER(SEARCH("monolito",PL[[#This Row],[DESCRIPTION]])),"Monolitos","Varios")))))</f>
        <v>Cerrados IUP</v>
      </c>
      <c r="Q7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758" spans="1:17" s="157" customFormat="1" hidden="1" x14ac:dyDescent="0.2">
      <c r="A758" s="151" t="s">
        <v>1663</v>
      </c>
      <c r="B758" s="154" t="s">
        <v>41</v>
      </c>
      <c r="C758" s="154">
        <v>9</v>
      </c>
      <c r="D758" s="153" t="s">
        <v>3382</v>
      </c>
      <c r="E758" s="154" t="s">
        <v>1664</v>
      </c>
      <c r="F758" s="154" t="s">
        <v>1665</v>
      </c>
      <c r="G758" s="154" t="s">
        <v>1290</v>
      </c>
      <c r="H758" s="154"/>
      <c r="I758" s="154" t="s">
        <v>1667</v>
      </c>
      <c r="J758" s="154" t="s">
        <v>74</v>
      </c>
      <c r="K758" s="154" t="s">
        <v>3394</v>
      </c>
      <c r="L758" s="154"/>
      <c r="M758" s="160">
        <v>46139</v>
      </c>
      <c r="N758" s="154" t="str">
        <f>IF(ISNUMBER(PL[[#This Row],[CTO]]),"CTO "&amp;PL[[#This Row],[CTO]],"Otros")</f>
        <v>CTO 9</v>
      </c>
      <c r="O758" s="154" t="str">
        <f>IF(PL[[#This Row],[STATUS IUP]]="CERRADO","CERRADO",IF(ISNUMBER(SEARCH("validacion de enel",PL[[#This Row],[SUPPLIER NOTES]])),"PTE Validar Enel","ABIERTO"))</f>
        <v>CERRADO</v>
      </c>
      <c r="P758" s="154" t="str">
        <f>IF(PL[[#This Row],[ESTADO]]="CERRADO","Cerrados IUP",IF(PL[[#This Row],[ESTADO]]="PTE Validar Enel","Pendiente cierre ENEL",IF(ISNUMBER(SEARCH("suministro",PL[[#This Row],[SUPPLIER NOTES]])),"Suministros",IF(PL[[#This Row],[SC]]="SOCIAL","Social",IF(ISNUMBER(SEARCH("monolito",PL[[#This Row],[DESCRIPTION]])),"Monolitos","Varios")))))</f>
        <v>Cerrados IUP</v>
      </c>
      <c r="Q7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59" spans="1:17" s="157" customFormat="1" hidden="1" x14ac:dyDescent="0.2">
      <c r="A759" s="151" t="s">
        <v>1660</v>
      </c>
      <c r="B759" s="154" t="s">
        <v>41</v>
      </c>
      <c r="C759" s="154">
        <v>9</v>
      </c>
      <c r="D759" s="153" t="s">
        <v>3382</v>
      </c>
      <c r="E759" s="154" t="s">
        <v>1661</v>
      </c>
      <c r="F759" s="154" t="s">
        <v>1662</v>
      </c>
      <c r="G759" s="154" t="s">
        <v>1290</v>
      </c>
      <c r="H759" s="154" t="s">
        <v>163</v>
      </c>
      <c r="I759" s="154" t="s">
        <v>163</v>
      </c>
      <c r="J759" s="154" t="s">
        <v>74</v>
      </c>
      <c r="K759" s="154" t="s">
        <v>3394</v>
      </c>
      <c r="L759" s="161">
        <v>46226</v>
      </c>
      <c r="M759" s="160">
        <v>46226</v>
      </c>
      <c r="N759" s="154" t="str">
        <f>IF(ISNUMBER(PL[[#This Row],[CTO]]),"CTO "&amp;PL[[#This Row],[CTO]],"Otros")</f>
        <v>CTO 9</v>
      </c>
      <c r="O759" s="154" t="str">
        <f>IF(PL[[#This Row],[STATUS IUP]]="CERRADO","CERRADO",IF(ISNUMBER(SEARCH("validacion de enel",PL[[#This Row],[SUPPLIER NOTES]])),"PTE Validar Enel","ABIERTO"))</f>
        <v>CERRADO</v>
      </c>
      <c r="P759" s="154" t="str">
        <f>IF(PL[[#This Row],[ESTADO]]="CERRADO","Cerrados IUP",IF(PL[[#This Row],[ESTADO]]="PTE Validar Enel","Pendiente cierre ENEL",IF(ISNUMBER(SEARCH("suministro",PL[[#This Row],[SUPPLIER NOTES]])),"Suministros",IF(PL[[#This Row],[SC]]="SOCIAL","Social",IF(ISNUMBER(SEARCH("monolito",PL[[#This Row],[DESCRIPTION]])),"Monolitos","Varios")))))</f>
        <v>Cerrados IUP</v>
      </c>
      <c r="Q7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0" spans="1:17" s="157" customFormat="1" hidden="1" x14ac:dyDescent="0.2">
      <c r="A760" s="151" t="s">
        <v>2570</v>
      </c>
      <c r="B760" s="154" t="s">
        <v>41</v>
      </c>
      <c r="C760" s="154">
        <v>9</v>
      </c>
      <c r="D760" s="153" t="s">
        <v>3382</v>
      </c>
      <c r="E760" s="154" t="s">
        <v>2571</v>
      </c>
      <c r="F760" s="154" t="s">
        <v>2572</v>
      </c>
      <c r="G760" s="154" t="s">
        <v>1290</v>
      </c>
      <c r="H760" s="154" t="s">
        <v>2573</v>
      </c>
      <c r="I760" s="154" t="s">
        <v>73</v>
      </c>
      <c r="J760" s="154" t="s">
        <v>74</v>
      </c>
      <c r="K760" s="154" t="s">
        <v>3394</v>
      </c>
      <c r="L760" s="161">
        <v>46211</v>
      </c>
      <c r="M760" s="160">
        <v>46153</v>
      </c>
      <c r="N760" s="154" t="str">
        <f>IF(ISNUMBER(PL[[#This Row],[CTO]]),"CTO "&amp;PL[[#This Row],[CTO]],"Otros")</f>
        <v>CTO 9</v>
      </c>
      <c r="O760" s="154" t="str">
        <f>IF(PL[[#This Row],[STATUS IUP]]="CERRADO","CERRADO",IF(ISNUMBER(SEARCH("validacion de enel",PL[[#This Row],[SUPPLIER NOTES]])),"PTE Validar Enel","ABIERTO"))</f>
        <v>CERRADO</v>
      </c>
      <c r="P760" s="154" t="str">
        <f>IF(PL[[#This Row],[ESTADO]]="CERRADO","Cerrados IUP",IF(PL[[#This Row],[ESTADO]]="PTE Validar Enel","Pendiente cierre ENEL",IF(ISNUMBER(SEARCH("suministro",PL[[#This Row],[SUPPLIER NOTES]])),"Suministros",IF(PL[[#This Row],[SC]]="SOCIAL","Social",IF(ISNUMBER(SEARCH("monolito",PL[[#This Row],[DESCRIPTION]])),"Monolitos","Varios")))))</f>
        <v>Cerrados IUP</v>
      </c>
      <c r="Q7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1" spans="1:17" s="157" customFormat="1" hidden="1" x14ac:dyDescent="0.2">
      <c r="A761" s="151" t="s">
        <v>2548</v>
      </c>
      <c r="B761" s="154" t="s">
        <v>1297</v>
      </c>
      <c r="C761" s="154">
        <v>9</v>
      </c>
      <c r="D761" s="153" t="s">
        <v>3382</v>
      </c>
      <c r="E761" s="154" t="s">
        <v>2549</v>
      </c>
      <c r="F761" s="154" t="s">
        <v>2550</v>
      </c>
      <c r="G761" s="154" t="s">
        <v>1290</v>
      </c>
      <c r="H761" s="154"/>
      <c r="I761" s="154"/>
      <c r="J761" s="154" t="s">
        <v>74</v>
      </c>
      <c r="K761" s="154" t="s">
        <v>3394</v>
      </c>
      <c r="L761" s="154"/>
      <c r="M761" s="156"/>
      <c r="N761" s="154" t="str">
        <f>IF(ISNUMBER(PL[[#This Row],[CTO]]),"CTO "&amp;PL[[#This Row],[CTO]],"Otros")</f>
        <v>CTO 9</v>
      </c>
      <c r="O761" s="154" t="str">
        <f>IF(PL[[#This Row],[STATUS IUP]]="CERRADO","CERRADO",IF(ISNUMBER(SEARCH("validacion de enel",PL[[#This Row],[SUPPLIER NOTES]])),"PTE Validar Enel","ABIERTO"))</f>
        <v>CERRADO</v>
      </c>
      <c r="P761" s="154" t="str">
        <f>IF(PL[[#This Row],[ESTADO]]="CERRADO","Cerrados IUP",IF(PL[[#This Row],[ESTADO]]="PTE Validar Enel","Pendiente cierre ENEL",IF(ISNUMBER(SEARCH("suministro",PL[[#This Row],[SUPPLIER NOTES]])),"Suministros",IF(PL[[#This Row],[SC]]="SOCIAL","Social",IF(ISNUMBER(SEARCH("monolito",PL[[#This Row],[DESCRIPTION]])),"Monolitos","Varios")))))</f>
        <v>Cerrados IUP</v>
      </c>
      <c r="Q7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2" spans="1:17" s="157" customFormat="1" hidden="1" x14ac:dyDescent="0.2">
      <c r="A762" s="151" t="s">
        <v>2574</v>
      </c>
      <c r="B762" s="154" t="s">
        <v>41</v>
      </c>
      <c r="C762" s="154">
        <v>9</v>
      </c>
      <c r="D762" s="153" t="s">
        <v>3382</v>
      </c>
      <c r="E762" s="154" t="s">
        <v>2575</v>
      </c>
      <c r="F762" s="154" t="s">
        <v>2576</v>
      </c>
      <c r="G762" s="154" t="s">
        <v>1290</v>
      </c>
      <c r="H762" s="154" t="s">
        <v>163</v>
      </c>
      <c r="I762" s="154" t="s">
        <v>163</v>
      </c>
      <c r="J762" s="154" t="s">
        <v>74</v>
      </c>
      <c r="K762" s="154" t="s">
        <v>3394</v>
      </c>
      <c r="L762" s="161">
        <v>46226</v>
      </c>
      <c r="M762" s="160">
        <v>46226</v>
      </c>
      <c r="N762" s="154" t="str">
        <f>IF(ISNUMBER(PL[[#This Row],[CTO]]),"CTO "&amp;PL[[#This Row],[CTO]],"Otros")</f>
        <v>CTO 9</v>
      </c>
      <c r="O762" s="154" t="str">
        <f>IF(PL[[#This Row],[STATUS IUP]]="CERRADO","CERRADO",IF(ISNUMBER(SEARCH("validacion de enel",PL[[#This Row],[SUPPLIER NOTES]])),"PTE Validar Enel","ABIERTO"))</f>
        <v>CERRADO</v>
      </c>
      <c r="P762" s="154" t="str">
        <f>IF(PL[[#This Row],[ESTADO]]="CERRADO","Cerrados IUP",IF(PL[[#This Row],[ESTADO]]="PTE Validar Enel","Pendiente cierre ENEL",IF(ISNUMBER(SEARCH("suministro",PL[[#This Row],[SUPPLIER NOTES]])),"Suministros",IF(PL[[#This Row],[SC]]="SOCIAL","Social",IF(ISNUMBER(SEARCH("monolito",PL[[#This Row],[DESCRIPTION]])),"Monolitos","Varios")))))</f>
        <v>Cerrados IUP</v>
      </c>
      <c r="Q7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3" spans="1:17" s="157" customFormat="1" hidden="1" x14ac:dyDescent="0.2">
      <c r="A763" s="151" t="s">
        <v>2545</v>
      </c>
      <c r="B763" s="154" t="s">
        <v>1291</v>
      </c>
      <c r="C763" s="154">
        <v>9</v>
      </c>
      <c r="D763" s="153" t="s">
        <v>3382</v>
      </c>
      <c r="E763" s="154" t="s">
        <v>2546</v>
      </c>
      <c r="F763" s="154" t="s">
        <v>2547</v>
      </c>
      <c r="G763" s="154" t="s">
        <v>1290</v>
      </c>
      <c r="H763" s="154"/>
      <c r="I763" s="154" t="s">
        <v>73</v>
      </c>
      <c r="J763" s="154" t="s">
        <v>74</v>
      </c>
      <c r="K763" s="154" t="s">
        <v>3394</v>
      </c>
      <c r="L763" s="154"/>
      <c r="M763" s="160">
        <v>46136</v>
      </c>
      <c r="N763" s="154" t="str">
        <f>IF(ISNUMBER(PL[[#This Row],[CTO]]),"CTO "&amp;PL[[#This Row],[CTO]],"Otros")</f>
        <v>CTO 9</v>
      </c>
      <c r="O763" s="154" t="str">
        <f>IF(PL[[#This Row],[STATUS IUP]]="CERRADO","CERRADO",IF(ISNUMBER(SEARCH("validacion de enel",PL[[#This Row],[SUPPLIER NOTES]])),"PTE Validar Enel","ABIERTO"))</f>
        <v>CERRADO</v>
      </c>
      <c r="P763" s="154" t="str">
        <f>IF(PL[[#This Row],[ESTADO]]="CERRADO","Cerrados IUP",IF(PL[[#This Row],[ESTADO]]="PTE Validar Enel","Pendiente cierre ENEL",IF(ISNUMBER(SEARCH("suministro",PL[[#This Row],[SUPPLIER NOTES]])),"Suministros",IF(PL[[#This Row],[SC]]="SOCIAL","Social",IF(ISNUMBER(SEARCH("monolito",PL[[#This Row],[DESCRIPTION]])),"Monolitos","Varios")))))</f>
        <v>Cerrados IUP</v>
      </c>
      <c r="Q7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4" spans="1:17" s="157" customFormat="1" hidden="1" x14ac:dyDescent="0.2">
      <c r="A764" s="151" t="s">
        <v>2379</v>
      </c>
      <c r="B764" s="154" t="s">
        <v>1291</v>
      </c>
      <c r="C764" s="154">
        <v>9</v>
      </c>
      <c r="D764" s="153" t="s">
        <v>3382</v>
      </c>
      <c r="E764" s="154" t="s">
        <v>2380</v>
      </c>
      <c r="F764" s="154" t="s">
        <v>2381</v>
      </c>
      <c r="G764" s="154" t="s">
        <v>1290</v>
      </c>
      <c r="H764" s="154"/>
      <c r="I764" s="154" t="s">
        <v>73</v>
      </c>
      <c r="J764" s="154" t="s">
        <v>74</v>
      </c>
      <c r="K764" s="154" t="s">
        <v>3394</v>
      </c>
      <c r="L764" s="154"/>
      <c r="M764" s="160">
        <v>46136</v>
      </c>
      <c r="N764" s="154" t="str">
        <f>IF(ISNUMBER(PL[[#This Row],[CTO]]),"CTO "&amp;PL[[#This Row],[CTO]],"Otros")</f>
        <v>CTO 9</v>
      </c>
      <c r="O764" s="154" t="str">
        <f>IF(PL[[#This Row],[STATUS IUP]]="CERRADO","CERRADO",IF(ISNUMBER(SEARCH("validacion de enel",PL[[#This Row],[SUPPLIER NOTES]])),"PTE Validar Enel","ABIERTO"))</f>
        <v>CERRADO</v>
      </c>
      <c r="P764" s="154" t="str">
        <f>IF(PL[[#This Row],[ESTADO]]="CERRADO","Cerrados IUP",IF(PL[[#This Row],[ESTADO]]="PTE Validar Enel","Pendiente cierre ENEL",IF(ISNUMBER(SEARCH("suministro",PL[[#This Row],[SUPPLIER NOTES]])),"Suministros",IF(PL[[#This Row],[SC]]="SOCIAL","Social",IF(ISNUMBER(SEARCH("monolito",PL[[#This Row],[DESCRIPTION]])),"Monolitos","Varios")))))</f>
        <v>Cerrados IUP</v>
      </c>
      <c r="Q7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5" spans="1:17" s="157" customFormat="1" hidden="1" x14ac:dyDescent="0.2">
      <c r="A765" s="151" t="s">
        <v>2496</v>
      </c>
      <c r="B765" s="154" t="s">
        <v>41</v>
      </c>
      <c r="C765" s="154">
        <v>9</v>
      </c>
      <c r="D765" s="153" t="s">
        <v>3382</v>
      </c>
      <c r="E765" s="154" t="s">
        <v>2497</v>
      </c>
      <c r="F765" s="154" t="s">
        <v>2498</v>
      </c>
      <c r="G765" s="154" t="s">
        <v>1290</v>
      </c>
      <c r="H765" s="154"/>
      <c r="I765" s="154" t="s">
        <v>2499</v>
      </c>
      <c r="J765" s="154" t="s">
        <v>74</v>
      </c>
      <c r="K765" s="154" t="s">
        <v>3394</v>
      </c>
      <c r="L765" s="154"/>
      <c r="M765" s="160">
        <v>46139</v>
      </c>
      <c r="N765" s="154" t="str">
        <f>IF(ISNUMBER(PL[[#This Row],[CTO]]),"CTO "&amp;PL[[#This Row],[CTO]],"Otros")</f>
        <v>CTO 9</v>
      </c>
      <c r="O765" s="154" t="str">
        <f>IF(PL[[#This Row],[STATUS IUP]]="CERRADO","CERRADO",IF(ISNUMBER(SEARCH("validacion de enel",PL[[#This Row],[SUPPLIER NOTES]])),"PTE Validar Enel","ABIERTO"))</f>
        <v>CERRADO</v>
      </c>
      <c r="P765" s="154" t="str">
        <f>IF(PL[[#This Row],[ESTADO]]="CERRADO","Cerrados IUP",IF(PL[[#This Row],[ESTADO]]="PTE Validar Enel","Pendiente cierre ENEL",IF(ISNUMBER(SEARCH("suministro",PL[[#This Row],[SUPPLIER NOTES]])),"Suministros",IF(PL[[#This Row],[SC]]="SOCIAL","Social",IF(ISNUMBER(SEARCH("monolito",PL[[#This Row],[DESCRIPTION]])),"Monolitos","Varios")))))</f>
        <v>Cerrados IUP</v>
      </c>
      <c r="Q7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6" spans="1:17" s="157" customFormat="1" hidden="1" x14ac:dyDescent="0.2">
      <c r="A766" s="151" t="s">
        <v>2658</v>
      </c>
      <c r="B766" s="154" t="s">
        <v>1291</v>
      </c>
      <c r="C766" s="154">
        <v>9</v>
      </c>
      <c r="D766" s="153" t="s">
        <v>3382</v>
      </c>
      <c r="E766" s="154" t="s">
        <v>2659</v>
      </c>
      <c r="F766" s="154" t="s">
        <v>2660</v>
      </c>
      <c r="G766" s="154" t="s">
        <v>1290</v>
      </c>
      <c r="H766" s="154"/>
      <c r="I766" s="154" t="s">
        <v>2661</v>
      </c>
      <c r="J766" s="154" t="s">
        <v>74</v>
      </c>
      <c r="K766" s="154" t="s">
        <v>3394</v>
      </c>
      <c r="L766" s="154"/>
      <c r="M766" s="160">
        <v>46136</v>
      </c>
      <c r="N766" s="154" t="str">
        <f>IF(ISNUMBER(PL[[#This Row],[CTO]]),"CTO "&amp;PL[[#This Row],[CTO]],"Otros")</f>
        <v>CTO 9</v>
      </c>
      <c r="O766" s="154" t="str">
        <f>IF(PL[[#This Row],[STATUS IUP]]="CERRADO","CERRADO",IF(ISNUMBER(SEARCH("validacion de enel",PL[[#This Row],[SUPPLIER NOTES]])),"PTE Validar Enel","ABIERTO"))</f>
        <v>CERRADO</v>
      </c>
      <c r="P766" s="154" t="str">
        <f>IF(PL[[#This Row],[ESTADO]]="CERRADO","Cerrados IUP",IF(PL[[#This Row],[ESTADO]]="PTE Validar Enel","Pendiente cierre ENEL",IF(ISNUMBER(SEARCH("suministro",PL[[#This Row],[SUPPLIER NOTES]])),"Suministros",IF(PL[[#This Row],[SC]]="SOCIAL","Social",IF(ISNUMBER(SEARCH("monolito",PL[[#This Row],[DESCRIPTION]])),"Monolitos","Varios")))))</f>
        <v>Cerrados IUP</v>
      </c>
      <c r="Q7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7" spans="1:17" s="157" customFormat="1" hidden="1" x14ac:dyDescent="0.2">
      <c r="A767" s="151" t="s">
        <v>2295</v>
      </c>
      <c r="B767" s="154" t="s">
        <v>929</v>
      </c>
      <c r="C767" s="154">
        <v>9</v>
      </c>
      <c r="D767" s="153" t="s">
        <v>3382</v>
      </c>
      <c r="E767" s="154" t="s">
        <v>2296</v>
      </c>
      <c r="F767" s="154" t="s">
        <v>2297</v>
      </c>
      <c r="G767" s="154" t="s">
        <v>1290</v>
      </c>
      <c r="H767" s="154" t="s">
        <v>163</v>
      </c>
      <c r="I767" s="154" t="s">
        <v>163</v>
      </c>
      <c r="J767" s="154" t="s">
        <v>74</v>
      </c>
      <c r="K767" s="154" t="s">
        <v>3394</v>
      </c>
      <c r="L767" s="161">
        <v>46226</v>
      </c>
      <c r="M767" s="160">
        <v>46226</v>
      </c>
      <c r="N767" s="154" t="str">
        <f>IF(ISNUMBER(PL[[#This Row],[CTO]]),"CTO "&amp;PL[[#This Row],[CTO]],"Otros")</f>
        <v>CTO 9</v>
      </c>
      <c r="O767" s="154" t="str">
        <f>IF(PL[[#This Row],[STATUS IUP]]="CERRADO","CERRADO",IF(ISNUMBER(SEARCH("validacion de enel",PL[[#This Row],[SUPPLIER NOTES]])),"PTE Validar Enel","ABIERTO"))</f>
        <v>CERRADO</v>
      </c>
      <c r="P767" s="154" t="str">
        <f>IF(PL[[#This Row],[ESTADO]]="CERRADO","Cerrados IUP",IF(PL[[#This Row],[ESTADO]]="PTE Validar Enel","Pendiente cierre ENEL",IF(ISNUMBER(SEARCH("suministro",PL[[#This Row],[SUPPLIER NOTES]])),"Suministros",IF(PL[[#This Row],[SC]]="SOCIAL","Social",IF(ISNUMBER(SEARCH("monolito",PL[[#This Row],[DESCRIPTION]])),"Monolitos","Varios")))))</f>
        <v>Cerrados IUP</v>
      </c>
      <c r="Q7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8" spans="1:17" s="157" customFormat="1" hidden="1" x14ac:dyDescent="0.2">
      <c r="A768" s="151" t="s">
        <v>1754</v>
      </c>
      <c r="B768" s="154" t="s">
        <v>929</v>
      </c>
      <c r="C768" s="154">
        <v>9</v>
      </c>
      <c r="D768" s="153" t="s">
        <v>3382</v>
      </c>
      <c r="E768" s="154" t="s">
        <v>1755</v>
      </c>
      <c r="F768" s="154" t="s">
        <v>1756</v>
      </c>
      <c r="G768" s="154" t="s">
        <v>1290</v>
      </c>
      <c r="H768" s="154" t="s">
        <v>163</v>
      </c>
      <c r="I768" s="154" t="s">
        <v>163</v>
      </c>
      <c r="J768" s="154" t="s">
        <v>74</v>
      </c>
      <c r="K768" s="154" t="s">
        <v>3394</v>
      </c>
      <c r="L768" s="161">
        <v>46226</v>
      </c>
      <c r="M768" s="160">
        <v>46226</v>
      </c>
      <c r="N768" s="154" t="str">
        <f>IF(ISNUMBER(PL[[#This Row],[CTO]]),"CTO "&amp;PL[[#This Row],[CTO]],"Otros")</f>
        <v>CTO 9</v>
      </c>
      <c r="O768" s="154" t="str">
        <f>IF(PL[[#This Row],[STATUS IUP]]="CERRADO","CERRADO",IF(ISNUMBER(SEARCH("validacion de enel",PL[[#This Row],[SUPPLIER NOTES]])),"PTE Validar Enel","ABIERTO"))</f>
        <v>CERRADO</v>
      </c>
      <c r="P768" s="154" t="str">
        <f>IF(PL[[#This Row],[ESTADO]]="CERRADO","Cerrados IUP",IF(PL[[#This Row],[ESTADO]]="PTE Validar Enel","Pendiente cierre ENEL",IF(ISNUMBER(SEARCH("suministro",PL[[#This Row],[SUPPLIER NOTES]])),"Suministros",IF(PL[[#This Row],[SC]]="SOCIAL","Social",IF(ISNUMBER(SEARCH("monolito",PL[[#This Row],[DESCRIPTION]])),"Monolitos","Varios")))))</f>
        <v>Cerrados IUP</v>
      </c>
      <c r="Q7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69" spans="1:17" s="157" customFormat="1" hidden="1" x14ac:dyDescent="0.2">
      <c r="A769" s="151" t="s">
        <v>2759</v>
      </c>
      <c r="B769" s="154" t="s">
        <v>1291</v>
      </c>
      <c r="C769" s="154">
        <v>9</v>
      </c>
      <c r="D769" s="153" t="s">
        <v>3382</v>
      </c>
      <c r="E769" s="154" t="s">
        <v>2760</v>
      </c>
      <c r="F769" s="154" t="s">
        <v>2761</v>
      </c>
      <c r="G769" s="154" t="s">
        <v>1290</v>
      </c>
      <c r="H769" s="154" t="s">
        <v>163</v>
      </c>
      <c r="I769" s="154" t="s">
        <v>163</v>
      </c>
      <c r="J769" s="154" t="s">
        <v>74</v>
      </c>
      <c r="K769" s="154" t="s">
        <v>3394</v>
      </c>
      <c r="L769" s="161">
        <v>46226</v>
      </c>
      <c r="M769" s="160">
        <v>46226</v>
      </c>
      <c r="N769" s="154" t="str">
        <f>IF(ISNUMBER(PL[[#This Row],[CTO]]),"CTO "&amp;PL[[#This Row],[CTO]],"Otros")</f>
        <v>CTO 9</v>
      </c>
      <c r="O769" s="154" t="str">
        <f>IF(PL[[#This Row],[STATUS IUP]]="CERRADO","CERRADO",IF(ISNUMBER(SEARCH("validacion de enel",PL[[#This Row],[SUPPLIER NOTES]])),"PTE Validar Enel","ABIERTO"))</f>
        <v>CERRADO</v>
      </c>
      <c r="P769" s="154" t="str">
        <f>IF(PL[[#This Row],[ESTADO]]="CERRADO","Cerrados IUP",IF(PL[[#This Row],[ESTADO]]="PTE Validar Enel","Pendiente cierre ENEL",IF(ISNUMBER(SEARCH("suministro",PL[[#This Row],[SUPPLIER NOTES]])),"Suministros",IF(PL[[#This Row],[SC]]="SOCIAL","Social",IF(ISNUMBER(SEARCH("monolito",PL[[#This Row],[DESCRIPTION]])),"Monolitos","Varios")))))</f>
        <v>Cerrados IUP</v>
      </c>
      <c r="Q7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0" spans="1:17" s="157" customFormat="1" hidden="1" x14ac:dyDescent="0.2">
      <c r="A770" s="151" t="s">
        <v>2186</v>
      </c>
      <c r="B770" s="154" t="s">
        <v>41</v>
      </c>
      <c r="C770" s="154">
        <v>9</v>
      </c>
      <c r="D770" s="153" t="s">
        <v>3382</v>
      </c>
      <c r="E770" s="154" t="s">
        <v>2187</v>
      </c>
      <c r="F770" s="154" t="s">
        <v>2188</v>
      </c>
      <c r="G770" s="154" t="s">
        <v>1290</v>
      </c>
      <c r="H770" s="154" t="s">
        <v>163</v>
      </c>
      <c r="I770" s="154" t="s">
        <v>163</v>
      </c>
      <c r="J770" s="154" t="s">
        <v>74</v>
      </c>
      <c r="K770" s="154" t="s">
        <v>3394</v>
      </c>
      <c r="L770" s="161">
        <v>46231</v>
      </c>
      <c r="M770" s="160">
        <v>46231</v>
      </c>
      <c r="N770" s="154" t="str">
        <f>IF(ISNUMBER(PL[[#This Row],[CTO]]),"CTO "&amp;PL[[#This Row],[CTO]],"Otros")</f>
        <v>CTO 9</v>
      </c>
      <c r="O770" s="154" t="str">
        <f>IF(PL[[#This Row],[STATUS IUP]]="CERRADO","CERRADO",IF(ISNUMBER(SEARCH("validacion de enel",PL[[#This Row],[SUPPLIER NOTES]])),"PTE Validar Enel","ABIERTO"))</f>
        <v>CERRADO</v>
      </c>
      <c r="P770" s="154" t="str">
        <f>IF(PL[[#This Row],[ESTADO]]="CERRADO","Cerrados IUP",IF(PL[[#This Row],[ESTADO]]="PTE Validar Enel","Pendiente cierre ENEL",IF(ISNUMBER(SEARCH("suministro",PL[[#This Row],[SUPPLIER NOTES]])),"Suministros",IF(PL[[#This Row],[SC]]="SOCIAL","Social",IF(ISNUMBER(SEARCH("monolito",PL[[#This Row],[DESCRIPTION]])),"Monolitos","Varios")))))</f>
        <v>Cerrados IUP</v>
      </c>
      <c r="Q7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1" spans="1:17" s="157" customFormat="1" ht="32" hidden="1" x14ac:dyDescent="0.2">
      <c r="A771" s="151" t="s">
        <v>1657</v>
      </c>
      <c r="B771" s="152" t="s">
        <v>41</v>
      </c>
      <c r="C771" s="154">
        <v>9</v>
      </c>
      <c r="D771" s="153" t="s">
        <v>3382</v>
      </c>
      <c r="E771" s="154" t="s">
        <v>1658</v>
      </c>
      <c r="F771" s="152" t="s">
        <v>1659</v>
      </c>
      <c r="G771" s="154" t="s">
        <v>1289</v>
      </c>
      <c r="H771" s="154" t="s">
        <v>3454</v>
      </c>
      <c r="I771" s="154"/>
      <c r="J771" s="154" t="s">
        <v>74</v>
      </c>
      <c r="K771" s="154" t="s">
        <v>3394</v>
      </c>
      <c r="L771" s="155">
        <v>46294</v>
      </c>
      <c r="M771" s="156"/>
      <c r="N771" s="154" t="str">
        <f>IF(ISNUMBER(PL[[#This Row],[CTO]]),"CTO "&amp;PL[[#This Row],[CTO]],"Otros")</f>
        <v>CTO 9</v>
      </c>
      <c r="O771" s="154" t="str">
        <f>IF(PL[[#This Row],[STATUS IUP]]="CERRADO","CERRADO",IF(ISNUMBER(SEARCH("validacion de enel",PL[[#This Row],[SUPPLIER NOTES]])),"PTE Validar Enel","ABIERTO"))</f>
        <v>CERRADO</v>
      </c>
      <c r="P771" s="154" t="str">
        <f>IF(PL[[#This Row],[ESTADO]]="CERRADO","Cerrados IUP",IF(PL[[#This Row],[ESTADO]]="PTE Validar Enel","Pendiente cierre ENEL",IF(ISNUMBER(SEARCH("suministro",PL[[#This Row],[SUPPLIER NOTES]])),"Suministros",IF(PL[[#This Row],[SC]]="SOCIAL","Social",IF(ISNUMBER(SEARCH("monolito",PL[[#This Row],[DESCRIPTION]])),"Monolitos","Varios")))))</f>
        <v>Cerrados IUP</v>
      </c>
      <c r="Q7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2" spans="1:17" s="157" customFormat="1" hidden="1" x14ac:dyDescent="0.2">
      <c r="A772" s="151" t="s">
        <v>2235</v>
      </c>
      <c r="B772" s="154" t="s">
        <v>929</v>
      </c>
      <c r="C772" s="154">
        <v>9</v>
      </c>
      <c r="D772" s="153" t="s">
        <v>3382</v>
      </c>
      <c r="E772" s="154" t="s">
        <v>2236</v>
      </c>
      <c r="F772" s="154" t="s">
        <v>2237</v>
      </c>
      <c r="G772" s="154" t="s">
        <v>1290</v>
      </c>
      <c r="H772" s="154"/>
      <c r="I772" s="154"/>
      <c r="J772" s="154" t="s">
        <v>74</v>
      </c>
      <c r="K772" s="154" t="s">
        <v>3394</v>
      </c>
      <c r="L772" s="154"/>
      <c r="M772" s="156"/>
      <c r="N772" s="154" t="str">
        <f>IF(ISNUMBER(PL[[#This Row],[CTO]]),"CTO "&amp;PL[[#This Row],[CTO]],"Otros")</f>
        <v>CTO 9</v>
      </c>
      <c r="O772" s="154" t="str">
        <f>IF(PL[[#This Row],[STATUS IUP]]="CERRADO","CERRADO",IF(ISNUMBER(SEARCH("validacion de enel",PL[[#This Row],[SUPPLIER NOTES]])),"PTE Validar Enel","ABIERTO"))</f>
        <v>CERRADO</v>
      </c>
      <c r="P772" s="154" t="str">
        <f>IF(PL[[#This Row],[ESTADO]]="CERRADO","Cerrados IUP",IF(PL[[#This Row],[ESTADO]]="PTE Validar Enel","Pendiente cierre ENEL",IF(ISNUMBER(SEARCH("suministro",PL[[#This Row],[SUPPLIER NOTES]])),"Suministros",IF(PL[[#This Row],[SC]]="SOCIAL","Social",IF(ISNUMBER(SEARCH("monolito",PL[[#This Row],[DESCRIPTION]])),"Monolitos","Varios")))))</f>
        <v>Cerrados IUP</v>
      </c>
      <c r="Q7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3" spans="1:17" s="157" customFormat="1" hidden="1" x14ac:dyDescent="0.2">
      <c r="A773" s="151" t="s">
        <v>2755</v>
      </c>
      <c r="B773" s="154" t="s">
        <v>929</v>
      </c>
      <c r="C773" s="154">
        <v>9</v>
      </c>
      <c r="D773" s="153" t="s">
        <v>3382</v>
      </c>
      <c r="E773" s="154" t="s">
        <v>2756</v>
      </c>
      <c r="F773" s="154" t="s">
        <v>2757</v>
      </c>
      <c r="G773" s="154" t="s">
        <v>1290</v>
      </c>
      <c r="H773" s="154" t="s">
        <v>2758</v>
      </c>
      <c r="I773" s="154" t="s">
        <v>73</v>
      </c>
      <c r="J773" s="154" t="s">
        <v>74</v>
      </c>
      <c r="K773" s="154" t="s">
        <v>3394</v>
      </c>
      <c r="L773" s="161">
        <v>46213</v>
      </c>
      <c r="M773" s="160">
        <v>46153</v>
      </c>
      <c r="N773" s="154" t="str">
        <f>IF(ISNUMBER(PL[[#This Row],[CTO]]),"CTO "&amp;PL[[#This Row],[CTO]],"Otros")</f>
        <v>CTO 9</v>
      </c>
      <c r="O773" s="154" t="str">
        <f>IF(PL[[#This Row],[STATUS IUP]]="CERRADO","CERRADO",IF(ISNUMBER(SEARCH("validacion de enel",PL[[#This Row],[SUPPLIER NOTES]])),"PTE Validar Enel","ABIERTO"))</f>
        <v>CERRADO</v>
      </c>
      <c r="P773" s="154" t="str">
        <f>IF(PL[[#This Row],[ESTADO]]="CERRADO","Cerrados IUP",IF(PL[[#This Row],[ESTADO]]="PTE Validar Enel","Pendiente cierre ENEL",IF(ISNUMBER(SEARCH("suministro",PL[[#This Row],[SUPPLIER NOTES]])),"Suministros",IF(PL[[#This Row],[SC]]="SOCIAL","Social",IF(ISNUMBER(SEARCH("monolito",PL[[#This Row],[DESCRIPTION]])),"Monolitos","Varios")))))</f>
        <v>Cerrados IUP</v>
      </c>
      <c r="Q7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4" spans="1:17" s="157" customFormat="1" hidden="1" x14ac:dyDescent="0.2">
      <c r="A774" s="151" t="s">
        <v>2364</v>
      </c>
      <c r="B774" s="154" t="s">
        <v>1314</v>
      </c>
      <c r="C774" s="154">
        <v>9</v>
      </c>
      <c r="D774" s="153" t="s">
        <v>3382</v>
      </c>
      <c r="E774" s="154" t="s">
        <v>2365</v>
      </c>
      <c r="F774" s="154" t="s">
        <v>2366</v>
      </c>
      <c r="G774" s="154" t="s">
        <v>1290</v>
      </c>
      <c r="H774" s="154" t="s">
        <v>294</v>
      </c>
      <c r="I774" s="154" t="s">
        <v>294</v>
      </c>
      <c r="J774" s="154" t="s">
        <v>74</v>
      </c>
      <c r="K774" s="154" t="s">
        <v>3394</v>
      </c>
      <c r="L774" s="161">
        <v>46232</v>
      </c>
      <c r="M774" s="160">
        <v>46232</v>
      </c>
      <c r="N774" s="154" t="str">
        <f>IF(ISNUMBER(PL[[#This Row],[CTO]]),"CTO "&amp;PL[[#This Row],[CTO]],"Otros")</f>
        <v>CTO 9</v>
      </c>
      <c r="O774" s="154" t="str">
        <f>IF(PL[[#This Row],[STATUS IUP]]="CERRADO","CERRADO",IF(ISNUMBER(SEARCH("validacion de enel",PL[[#This Row],[SUPPLIER NOTES]])),"PTE Validar Enel","ABIERTO"))</f>
        <v>CERRADO</v>
      </c>
      <c r="P774" s="154" t="str">
        <f>IF(PL[[#This Row],[ESTADO]]="CERRADO","Cerrados IUP",IF(PL[[#This Row],[ESTADO]]="PTE Validar Enel","Pendiente cierre ENEL",IF(ISNUMBER(SEARCH("suministro",PL[[#This Row],[SUPPLIER NOTES]])),"Suministros",IF(PL[[#This Row],[SC]]="SOCIAL","Social",IF(ISNUMBER(SEARCH("monolito",PL[[#This Row],[DESCRIPTION]])),"Monolitos","Varios")))))</f>
        <v>Cerrados IUP</v>
      </c>
      <c r="Q7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5" spans="1:17" s="157" customFormat="1" hidden="1" x14ac:dyDescent="0.2">
      <c r="A775" s="151" t="s">
        <v>2521</v>
      </c>
      <c r="B775" s="154" t="s">
        <v>1314</v>
      </c>
      <c r="C775" s="154">
        <v>9</v>
      </c>
      <c r="D775" s="153" t="s">
        <v>3382</v>
      </c>
      <c r="E775" s="154" t="s">
        <v>2522</v>
      </c>
      <c r="F775" s="154" t="s">
        <v>2523</v>
      </c>
      <c r="G775" s="154" t="s">
        <v>1290</v>
      </c>
      <c r="H775" s="154" t="s">
        <v>163</v>
      </c>
      <c r="I775" s="154" t="s">
        <v>163</v>
      </c>
      <c r="J775" s="154" t="s">
        <v>74</v>
      </c>
      <c r="K775" s="154" t="s">
        <v>3394</v>
      </c>
      <c r="L775" s="161">
        <v>46231</v>
      </c>
      <c r="M775" s="160">
        <v>46231</v>
      </c>
      <c r="N775" s="154" t="str">
        <f>IF(ISNUMBER(PL[[#This Row],[CTO]]),"CTO "&amp;PL[[#This Row],[CTO]],"Otros")</f>
        <v>CTO 9</v>
      </c>
      <c r="O775" s="154" t="str">
        <f>IF(PL[[#This Row],[STATUS IUP]]="CERRADO","CERRADO",IF(ISNUMBER(SEARCH("validacion de enel",PL[[#This Row],[SUPPLIER NOTES]])),"PTE Validar Enel","ABIERTO"))</f>
        <v>CERRADO</v>
      </c>
      <c r="P775" s="154" t="str">
        <f>IF(PL[[#This Row],[ESTADO]]="CERRADO","Cerrados IUP",IF(PL[[#This Row],[ESTADO]]="PTE Validar Enel","Pendiente cierre ENEL",IF(ISNUMBER(SEARCH("suministro",PL[[#This Row],[SUPPLIER NOTES]])),"Suministros",IF(PL[[#This Row],[SC]]="SOCIAL","Social",IF(ISNUMBER(SEARCH("monolito",PL[[#This Row],[DESCRIPTION]])),"Monolitos","Varios")))))</f>
        <v>Cerrados IUP</v>
      </c>
      <c r="Q7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6" spans="1:17" s="157" customFormat="1" hidden="1" x14ac:dyDescent="0.2">
      <c r="A776" s="151" t="s">
        <v>2292</v>
      </c>
      <c r="B776" s="154" t="s">
        <v>1314</v>
      </c>
      <c r="C776" s="154">
        <v>9</v>
      </c>
      <c r="D776" s="153" t="s">
        <v>3382</v>
      </c>
      <c r="E776" s="154" t="s">
        <v>2293</v>
      </c>
      <c r="F776" s="154" t="s">
        <v>2294</v>
      </c>
      <c r="G776" s="154" t="s">
        <v>1290</v>
      </c>
      <c r="H776" s="154" t="s">
        <v>163</v>
      </c>
      <c r="I776" s="154" t="s">
        <v>163</v>
      </c>
      <c r="J776" s="154" t="s">
        <v>74</v>
      </c>
      <c r="K776" s="154" t="s">
        <v>3394</v>
      </c>
      <c r="L776" s="161">
        <v>46231</v>
      </c>
      <c r="M776" s="160">
        <v>46231</v>
      </c>
      <c r="N776" s="154" t="str">
        <f>IF(ISNUMBER(PL[[#This Row],[CTO]]),"CTO "&amp;PL[[#This Row],[CTO]],"Otros")</f>
        <v>CTO 9</v>
      </c>
      <c r="O776" s="154" t="str">
        <f>IF(PL[[#This Row],[STATUS IUP]]="CERRADO","CERRADO",IF(ISNUMBER(SEARCH("validacion de enel",PL[[#This Row],[SUPPLIER NOTES]])),"PTE Validar Enel","ABIERTO"))</f>
        <v>CERRADO</v>
      </c>
      <c r="P776" s="154" t="str">
        <f>IF(PL[[#This Row],[ESTADO]]="CERRADO","Cerrados IUP",IF(PL[[#This Row],[ESTADO]]="PTE Validar Enel","Pendiente cierre ENEL",IF(ISNUMBER(SEARCH("suministro",PL[[#This Row],[SUPPLIER NOTES]])),"Suministros",IF(PL[[#This Row],[SC]]="SOCIAL","Social",IF(ISNUMBER(SEARCH("monolito",PL[[#This Row],[DESCRIPTION]])),"Monolitos","Varios")))))</f>
        <v>Cerrados IUP</v>
      </c>
      <c r="Q7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7" spans="1:17" s="157" customFormat="1" hidden="1" x14ac:dyDescent="0.2">
      <c r="A777" s="151" t="s">
        <v>2662</v>
      </c>
      <c r="B777" s="154" t="s">
        <v>1314</v>
      </c>
      <c r="C777" s="154">
        <v>9</v>
      </c>
      <c r="D777" s="153" t="s">
        <v>3382</v>
      </c>
      <c r="E777" s="154" t="s">
        <v>2663</v>
      </c>
      <c r="F777" s="154" t="s">
        <v>2664</v>
      </c>
      <c r="G777" s="154" t="s">
        <v>1290</v>
      </c>
      <c r="H777" s="154" t="s">
        <v>163</v>
      </c>
      <c r="I777" s="154" t="s">
        <v>163</v>
      </c>
      <c r="J777" s="154" t="s">
        <v>74</v>
      </c>
      <c r="K777" s="154" t="s">
        <v>3394</v>
      </c>
      <c r="L777" s="161">
        <v>46231</v>
      </c>
      <c r="M777" s="160">
        <v>46231</v>
      </c>
      <c r="N777" s="154" t="str">
        <f>IF(ISNUMBER(PL[[#This Row],[CTO]]),"CTO "&amp;PL[[#This Row],[CTO]],"Otros")</f>
        <v>CTO 9</v>
      </c>
      <c r="O777" s="154" t="str">
        <f>IF(PL[[#This Row],[STATUS IUP]]="CERRADO","CERRADO",IF(ISNUMBER(SEARCH("validacion de enel",PL[[#This Row],[SUPPLIER NOTES]])),"PTE Validar Enel","ABIERTO"))</f>
        <v>CERRADO</v>
      </c>
      <c r="P777" s="154" t="str">
        <f>IF(PL[[#This Row],[ESTADO]]="CERRADO","Cerrados IUP",IF(PL[[#This Row],[ESTADO]]="PTE Validar Enel","Pendiente cierre ENEL",IF(ISNUMBER(SEARCH("suministro",PL[[#This Row],[SUPPLIER NOTES]])),"Suministros",IF(PL[[#This Row],[SC]]="SOCIAL","Social",IF(ISNUMBER(SEARCH("monolito",PL[[#This Row],[DESCRIPTION]])),"Monolitos","Varios")))))</f>
        <v>Cerrados IUP</v>
      </c>
      <c r="Q7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8" spans="1:17" s="157" customFormat="1" hidden="1" x14ac:dyDescent="0.2">
      <c r="A778" s="151" t="s">
        <v>2465</v>
      </c>
      <c r="B778" s="154" t="s">
        <v>41</v>
      </c>
      <c r="C778" s="154">
        <v>9</v>
      </c>
      <c r="D778" s="153" t="s">
        <v>3382</v>
      </c>
      <c r="E778" s="154" t="s">
        <v>2466</v>
      </c>
      <c r="F778" s="154" t="s">
        <v>2467</v>
      </c>
      <c r="G778" s="154" t="s">
        <v>43</v>
      </c>
      <c r="H778" s="154" t="s">
        <v>2468</v>
      </c>
      <c r="I778" s="154" t="s">
        <v>1520</v>
      </c>
      <c r="J778" s="154" t="s">
        <v>74</v>
      </c>
      <c r="K778" s="154" t="s">
        <v>3394</v>
      </c>
      <c r="L778" s="161">
        <v>46154</v>
      </c>
      <c r="M778" s="160">
        <v>46153</v>
      </c>
      <c r="N778" s="154" t="str">
        <f>IF(ISNUMBER(PL[[#This Row],[CTO]]),"CTO "&amp;PL[[#This Row],[CTO]],"Otros")</f>
        <v>CTO 9</v>
      </c>
      <c r="O778" s="154" t="str">
        <f>IF(PL[[#This Row],[STATUS IUP]]="CERRADO","CERRADO",IF(ISNUMBER(SEARCH("validacion de enel",PL[[#This Row],[SUPPLIER NOTES]])),"PTE Validar Enel","ABIERTO"))</f>
        <v>CERRADO</v>
      </c>
      <c r="P778" s="154" t="str">
        <f>IF(PL[[#This Row],[ESTADO]]="CERRADO","Cerrados IUP",IF(PL[[#This Row],[ESTADO]]="PTE Validar Enel","Pendiente cierre ENEL",IF(ISNUMBER(SEARCH("suministro",PL[[#This Row],[SUPPLIER NOTES]])),"Suministros",IF(PL[[#This Row],[SC]]="SOCIAL","Social",IF(ISNUMBER(SEARCH("monolito",PL[[#This Row],[DESCRIPTION]])),"Monolitos","Varios")))))</f>
        <v>Cerrados IUP</v>
      </c>
      <c r="Q7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79" spans="1:17" s="157" customFormat="1" hidden="1" x14ac:dyDescent="0.2">
      <c r="A779" s="151" t="s">
        <v>2461</v>
      </c>
      <c r="B779" s="154" t="s">
        <v>41</v>
      </c>
      <c r="C779" s="154">
        <v>9</v>
      </c>
      <c r="D779" s="153" t="s">
        <v>3382</v>
      </c>
      <c r="E779" s="154" t="s">
        <v>2462</v>
      </c>
      <c r="F779" s="154" t="s">
        <v>2463</v>
      </c>
      <c r="G779" s="154" t="s">
        <v>43</v>
      </c>
      <c r="H779" s="154" t="s">
        <v>2464</v>
      </c>
      <c r="I779" s="154" t="s">
        <v>73</v>
      </c>
      <c r="J779" s="154" t="s">
        <v>74</v>
      </c>
      <c r="K779" s="154" t="s">
        <v>3394</v>
      </c>
      <c r="L779" s="161">
        <v>46213</v>
      </c>
      <c r="M779" s="160">
        <v>46153</v>
      </c>
      <c r="N779" s="154" t="str">
        <f>IF(ISNUMBER(PL[[#This Row],[CTO]]),"CTO "&amp;PL[[#This Row],[CTO]],"Otros")</f>
        <v>CTO 9</v>
      </c>
      <c r="O779" s="154" t="str">
        <f>IF(PL[[#This Row],[STATUS IUP]]="CERRADO","CERRADO",IF(ISNUMBER(SEARCH("validacion de enel",PL[[#This Row],[SUPPLIER NOTES]])),"PTE Validar Enel","ABIERTO"))</f>
        <v>CERRADO</v>
      </c>
      <c r="P779" s="154" t="str">
        <f>IF(PL[[#This Row],[ESTADO]]="CERRADO","Cerrados IUP",IF(PL[[#This Row],[ESTADO]]="PTE Validar Enel","Pendiente cierre ENEL",IF(ISNUMBER(SEARCH("suministro",PL[[#This Row],[SUPPLIER NOTES]])),"Suministros",IF(PL[[#This Row],[SC]]="SOCIAL","Social",IF(ISNUMBER(SEARCH("monolito",PL[[#This Row],[DESCRIPTION]])),"Monolitos","Varios")))))</f>
        <v>Cerrados IUP</v>
      </c>
      <c r="Q7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0" spans="1:17" s="157" customFormat="1" hidden="1" x14ac:dyDescent="0.2">
      <c r="A780" s="151" t="s">
        <v>2321</v>
      </c>
      <c r="B780" s="154" t="s">
        <v>8</v>
      </c>
      <c r="C780" s="154">
        <v>9</v>
      </c>
      <c r="D780" s="153" t="s">
        <v>3382</v>
      </c>
      <c r="E780" s="154" t="s">
        <v>2322</v>
      </c>
      <c r="F780" s="154" t="s">
        <v>2323</v>
      </c>
      <c r="G780" s="154" t="s">
        <v>43</v>
      </c>
      <c r="H780" s="154" t="s">
        <v>163</v>
      </c>
      <c r="I780" s="154" t="s">
        <v>163</v>
      </c>
      <c r="J780" s="154" t="s">
        <v>74</v>
      </c>
      <c r="K780" s="154" t="s">
        <v>3394</v>
      </c>
      <c r="L780" s="161">
        <v>46226</v>
      </c>
      <c r="M780" s="160">
        <v>46226</v>
      </c>
      <c r="N780" s="154" t="str">
        <f>IF(ISNUMBER(PL[[#This Row],[CTO]]),"CTO "&amp;PL[[#This Row],[CTO]],"Otros")</f>
        <v>CTO 9</v>
      </c>
      <c r="O780" s="154" t="str">
        <f>IF(PL[[#This Row],[STATUS IUP]]="CERRADO","CERRADO",IF(ISNUMBER(SEARCH("validacion de enel",PL[[#This Row],[SUPPLIER NOTES]])),"PTE Validar Enel","ABIERTO"))</f>
        <v>CERRADO</v>
      </c>
      <c r="P780" s="154" t="str">
        <f>IF(PL[[#This Row],[ESTADO]]="CERRADO","Cerrados IUP",IF(PL[[#This Row],[ESTADO]]="PTE Validar Enel","Pendiente cierre ENEL",IF(ISNUMBER(SEARCH("suministro",PL[[#This Row],[SUPPLIER NOTES]])),"Suministros",IF(PL[[#This Row],[SC]]="SOCIAL","Social",IF(ISNUMBER(SEARCH("monolito",PL[[#This Row],[DESCRIPTION]])),"Monolitos","Varios")))))</f>
        <v>Cerrados IUP</v>
      </c>
      <c r="Q7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1" spans="1:17" s="157" customFormat="1" hidden="1" x14ac:dyDescent="0.2">
      <c r="A781" s="151" t="s">
        <v>2751</v>
      </c>
      <c r="B781" s="154" t="s">
        <v>41</v>
      </c>
      <c r="C781" s="154">
        <v>9</v>
      </c>
      <c r="D781" s="153" t="s">
        <v>3382</v>
      </c>
      <c r="E781" s="154" t="s">
        <v>2752</v>
      </c>
      <c r="F781" s="154" t="s">
        <v>2753</v>
      </c>
      <c r="G781" s="154" t="s">
        <v>43</v>
      </c>
      <c r="H781" s="154" t="s">
        <v>2754</v>
      </c>
      <c r="I781" s="154" t="s">
        <v>1520</v>
      </c>
      <c r="J781" s="154" t="s">
        <v>74</v>
      </c>
      <c r="K781" s="154" t="s">
        <v>3394</v>
      </c>
      <c r="L781" s="161">
        <v>46154</v>
      </c>
      <c r="M781" s="160">
        <v>46153</v>
      </c>
      <c r="N781" s="154" t="str">
        <f>IF(ISNUMBER(PL[[#This Row],[CTO]]),"CTO "&amp;PL[[#This Row],[CTO]],"Otros")</f>
        <v>CTO 9</v>
      </c>
      <c r="O781" s="154" t="str">
        <f>IF(PL[[#This Row],[STATUS IUP]]="CERRADO","CERRADO",IF(ISNUMBER(SEARCH("validacion de enel",PL[[#This Row],[SUPPLIER NOTES]])),"PTE Validar Enel","ABIERTO"))</f>
        <v>CERRADO</v>
      </c>
      <c r="P781" s="154" t="str">
        <f>IF(PL[[#This Row],[ESTADO]]="CERRADO","Cerrados IUP",IF(PL[[#This Row],[ESTADO]]="PTE Validar Enel","Pendiente cierre ENEL",IF(ISNUMBER(SEARCH("suministro",PL[[#This Row],[SUPPLIER NOTES]])),"Suministros",IF(PL[[#This Row],[SC]]="SOCIAL","Social",IF(ISNUMBER(SEARCH("monolito",PL[[#This Row],[DESCRIPTION]])),"Monolitos","Varios")))))</f>
        <v>Cerrados IUP</v>
      </c>
      <c r="Q7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2" spans="1:17" s="157" customFormat="1" hidden="1" x14ac:dyDescent="0.2">
      <c r="A782" s="151" t="s">
        <v>2748</v>
      </c>
      <c r="B782" s="154" t="s">
        <v>41</v>
      </c>
      <c r="C782" s="154">
        <v>9</v>
      </c>
      <c r="D782" s="153" t="s">
        <v>3382</v>
      </c>
      <c r="E782" s="154" t="s">
        <v>2749</v>
      </c>
      <c r="F782" s="154" t="s">
        <v>2750</v>
      </c>
      <c r="G782" s="154" t="s">
        <v>1289</v>
      </c>
      <c r="H782" s="154" t="s">
        <v>294</v>
      </c>
      <c r="I782" s="154" t="s">
        <v>294</v>
      </c>
      <c r="J782" s="154" t="s">
        <v>74</v>
      </c>
      <c r="K782" s="154" t="s">
        <v>3394</v>
      </c>
      <c r="L782" s="161">
        <v>46232</v>
      </c>
      <c r="M782" s="160">
        <v>46232</v>
      </c>
      <c r="N782" s="154" t="str">
        <f>IF(ISNUMBER(PL[[#This Row],[CTO]]),"CTO "&amp;PL[[#This Row],[CTO]],"Otros")</f>
        <v>CTO 9</v>
      </c>
      <c r="O782" s="154" t="str">
        <f>IF(PL[[#This Row],[STATUS IUP]]="CERRADO","CERRADO",IF(ISNUMBER(SEARCH("validacion de enel",PL[[#This Row],[SUPPLIER NOTES]])),"PTE Validar Enel","ABIERTO"))</f>
        <v>CERRADO</v>
      </c>
      <c r="P782" s="154" t="str">
        <f>IF(PL[[#This Row],[ESTADO]]="CERRADO","Cerrados IUP",IF(PL[[#This Row],[ESTADO]]="PTE Validar Enel","Pendiente cierre ENEL",IF(ISNUMBER(SEARCH("suministro",PL[[#This Row],[SUPPLIER NOTES]])),"Suministros",IF(PL[[#This Row],[SC]]="SOCIAL","Social",IF(ISNUMBER(SEARCH("monolito",PL[[#This Row],[DESCRIPTION]])),"Monolitos","Varios")))))</f>
        <v>Cerrados IUP</v>
      </c>
      <c r="Q7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3" spans="1:17" s="157" customFormat="1" hidden="1" x14ac:dyDescent="0.2">
      <c r="A783" s="151" t="s">
        <v>2458</v>
      </c>
      <c r="B783" s="154" t="s">
        <v>41</v>
      </c>
      <c r="C783" s="154">
        <v>9</v>
      </c>
      <c r="D783" s="153" t="s">
        <v>3382</v>
      </c>
      <c r="E783" s="154" t="s">
        <v>2459</v>
      </c>
      <c r="F783" s="154" t="s">
        <v>2460</v>
      </c>
      <c r="G783" s="154" t="s">
        <v>1289</v>
      </c>
      <c r="H783" s="154" t="s">
        <v>163</v>
      </c>
      <c r="I783" s="154" t="s">
        <v>163</v>
      </c>
      <c r="J783" s="154" t="s">
        <v>74</v>
      </c>
      <c r="K783" s="154" t="s">
        <v>3394</v>
      </c>
      <c r="L783" s="161">
        <v>46222</v>
      </c>
      <c r="M783" s="160">
        <v>46222</v>
      </c>
      <c r="N783" s="154" t="str">
        <f>IF(ISNUMBER(PL[[#This Row],[CTO]]),"CTO "&amp;PL[[#This Row],[CTO]],"Otros")</f>
        <v>CTO 9</v>
      </c>
      <c r="O783" s="154" t="str">
        <f>IF(PL[[#This Row],[STATUS IUP]]="CERRADO","CERRADO",IF(ISNUMBER(SEARCH("validacion de enel",PL[[#This Row],[SUPPLIER NOTES]])),"PTE Validar Enel","ABIERTO"))</f>
        <v>CERRADO</v>
      </c>
      <c r="P783" s="154" t="str">
        <f>IF(PL[[#This Row],[ESTADO]]="CERRADO","Cerrados IUP",IF(PL[[#This Row],[ESTADO]]="PTE Validar Enel","Pendiente cierre ENEL",IF(ISNUMBER(SEARCH("suministro",PL[[#This Row],[SUPPLIER NOTES]])),"Suministros",IF(PL[[#This Row],[SC]]="SOCIAL","Social",IF(ISNUMBER(SEARCH("monolito",PL[[#This Row],[DESCRIPTION]])),"Monolitos","Varios")))))</f>
        <v>Cerrados IUP</v>
      </c>
      <c r="Q7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4" spans="1:17" s="157" customFormat="1" ht="48" hidden="1" x14ac:dyDescent="0.2">
      <c r="A784" s="151" t="s">
        <v>2259</v>
      </c>
      <c r="B784" s="152" t="s">
        <v>41</v>
      </c>
      <c r="C784" s="154">
        <v>9</v>
      </c>
      <c r="D784" s="153" t="s">
        <v>3382</v>
      </c>
      <c r="E784" s="154" t="s">
        <v>2260</v>
      </c>
      <c r="F784" s="152" t="s">
        <v>2261</v>
      </c>
      <c r="G784" s="154" t="s">
        <v>1289</v>
      </c>
      <c r="H784" s="154"/>
      <c r="I784" s="154"/>
      <c r="J784" s="154" t="s">
        <v>74</v>
      </c>
      <c r="K784" s="154" t="s">
        <v>3394</v>
      </c>
      <c r="L784" s="155">
        <v>46290</v>
      </c>
      <c r="M784" s="156"/>
      <c r="N784" s="154" t="str">
        <f>IF(ISNUMBER(PL[[#This Row],[CTO]]),"CTO "&amp;PL[[#This Row],[CTO]],"Otros")</f>
        <v>CTO 9</v>
      </c>
      <c r="O784" s="154" t="str">
        <f>IF(PL[[#This Row],[STATUS IUP]]="CERRADO","CERRADO",IF(ISNUMBER(SEARCH("validacion de enel",PL[[#This Row],[SUPPLIER NOTES]])),"PTE Validar Enel","ABIERTO"))</f>
        <v>CERRADO</v>
      </c>
      <c r="P784" s="154" t="str">
        <f>IF(PL[[#This Row],[ESTADO]]="CERRADO","Cerrados IUP",IF(PL[[#This Row],[ESTADO]]="PTE Validar Enel","Pendiente cierre ENEL",IF(ISNUMBER(SEARCH("suministro",PL[[#This Row],[SUPPLIER NOTES]])),"Suministros",IF(PL[[#This Row],[SC]]="SOCIAL","Social",IF(ISNUMBER(SEARCH("monolito",PL[[#This Row],[DESCRIPTION]])),"Monolitos","Varios")))))</f>
        <v>Cerrados IUP</v>
      </c>
      <c r="Q7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5" spans="1:17" s="157" customFormat="1" hidden="1" x14ac:dyDescent="0.2">
      <c r="A785" s="151" t="s">
        <v>1888</v>
      </c>
      <c r="B785" s="154" t="s">
        <v>1291</v>
      </c>
      <c r="C785" s="154">
        <v>9</v>
      </c>
      <c r="D785" s="153" t="s">
        <v>3382</v>
      </c>
      <c r="E785" s="154" t="s">
        <v>1889</v>
      </c>
      <c r="F785" s="154" t="s">
        <v>1890</v>
      </c>
      <c r="G785" s="154" t="s">
        <v>1289</v>
      </c>
      <c r="H785" s="154" t="s">
        <v>1891</v>
      </c>
      <c r="I785" s="154" t="s">
        <v>1520</v>
      </c>
      <c r="J785" s="154" t="s">
        <v>74</v>
      </c>
      <c r="K785" s="154" t="s">
        <v>3394</v>
      </c>
      <c r="L785" s="161">
        <v>46154</v>
      </c>
      <c r="M785" s="160">
        <v>46153</v>
      </c>
      <c r="N785" s="154" t="str">
        <f>IF(ISNUMBER(PL[[#This Row],[CTO]]),"CTO "&amp;PL[[#This Row],[CTO]],"Otros")</f>
        <v>CTO 9</v>
      </c>
      <c r="O785" s="154" t="str">
        <f>IF(PL[[#This Row],[STATUS IUP]]="CERRADO","CERRADO",IF(ISNUMBER(SEARCH("validacion de enel",PL[[#This Row],[SUPPLIER NOTES]])),"PTE Validar Enel","ABIERTO"))</f>
        <v>CERRADO</v>
      </c>
      <c r="P785" s="154" t="str">
        <f>IF(PL[[#This Row],[ESTADO]]="CERRADO","Cerrados IUP",IF(PL[[#This Row],[ESTADO]]="PTE Validar Enel","Pendiente cierre ENEL",IF(ISNUMBER(SEARCH("suministro",PL[[#This Row],[SUPPLIER NOTES]])),"Suministros",IF(PL[[#This Row],[SC]]="SOCIAL","Social",IF(ISNUMBER(SEARCH("monolito",PL[[#This Row],[DESCRIPTION]])),"Monolitos","Varios")))))</f>
        <v>Cerrados IUP</v>
      </c>
      <c r="Q7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6" spans="1:17" s="157" customFormat="1" hidden="1" x14ac:dyDescent="0.2">
      <c r="A786" s="151" t="s">
        <v>2837</v>
      </c>
      <c r="B786" s="154" t="s">
        <v>41</v>
      </c>
      <c r="C786" s="154">
        <v>9</v>
      </c>
      <c r="D786" s="153" t="s">
        <v>3382</v>
      </c>
      <c r="E786" s="154" t="s">
        <v>2838</v>
      </c>
      <c r="F786" s="154" t="s">
        <v>2839</v>
      </c>
      <c r="G786" s="154" t="s">
        <v>1289</v>
      </c>
      <c r="H786" s="154" t="s">
        <v>163</v>
      </c>
      <c r="I786" s="154" t="s">
        <v>163</v>
      </c>
      <c r="J786" s="154" t="s">
        <v>74</v>
      </c>
      <c r="K786" s="154" t="s">
        <v>3394</v>
      </c>
      <c r="L786" s="161">
        <v>46222</v>
      </c>
      <c r="M786" s="160">
        <v>46222</v>
      </c>
      <c r="N786" s="154" t="str">
        <f>IF(ISNUMBER(PL[[#This Row],[CTO]]),"CTO "&amp;PL[[#This Row],[CTO]],"Otros")</f>
        <v>CTO 9</v>
      </c>
      <c r="O786" s="154" t="str">
        <f>IF(PL[[#This Row],[STATUS IUP]]="CERRADO","CERRADO",IF(ISNUMBER(SEARCH("validacion de enel",PL[[#This Row],[SUPPLIER NOTES]])),"PTE Validar Enel","ABIERTO"))</f>
        <v>CERRADO</v>
      </c>
      <c r="P786" s="154" t="str">
        <f>IF(PL[[#This Row],[ESTADO]]="CERRADO","Cerrados IUP",IF(PL[[#This Row],[ESTADO]]="PTE Validar Enel","Pendiente cierre ENEL",IF(ISNUMBER(SEARCH("suministro",PL[[#This Row],[SUPPLIER NOTES]])),"Suministros",IF(PL[[#This Row],[SC]]="SOCIAL","Social",IF(ISNUMBER(SEARCH("monolito",PL[[#This Row],[DESCRIPTION]])),"Monolitos","Varios")))))</f>
        <v>Cerrados IUP</v>
      </c>
      <c r="Q7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7" spans="1:17" s="157" customFormat="1" hidden="1" x14ac:dyDescent="0.2">
      <c r="A787" s="151" t="s">
        <v>2256</v>
      </c>
      <c r="B787" s="154" t="s">
        <v>8</v>
      </c>
      <c r="C787" s="154">
        <v>9</v>
      </c>
      <c r="D787" s="153" t="s">
        <v>3382</v>
      </c>
      <c r="E787" s="154" t="s">
        <v>2257</v>
      </c>
      <c r="F787" s="154" t="s">
        <v>2258</v>
      </c>
      <c r="G787" s="154" t="s">
        <v>1289</v>
      </c>
      <c r="H787" s="154" t="s">
        <v>163</v>
      </c>
      <c r="I787" s="154" t="s">
        <v>163</v>
      </c>
      <c r="J787" s="154" t="s">
        <v>74</v>
      </c>
      <c r="K787" s="154" t="s">
        <v>3394</v>
      </c>
      <c r="L787" s="161">
        <v>46222</v>
      </c>
      <c r="M787" s="160">
        <v>46222</v>
      </c>
      <c r="N787" s="154" t="str">
        <f>IF(ISNUMBER(PL[[#This Row],[CTO]]),"CTO "&amp;PL[[#This Row],[CTO]],"Otros")</f>
        <v>CTO 9</v>
      </c>
      <c r="O787" s="154" t="str">
        <f>IF(PL[[#This Row],[STATUS IUP]]="CERRADO","CERRADO",IF(ISNUMBER(SEARCH("validacion de enel",PL[[#This Row],[SUPPLIER NOTES]])),"PTE Validar Enel","ABIERTO"))</f>
        <v>CERRADO</v>
      </c>
      <c r="P787" s="154" t="str">
        <f>IF(PL[[#This Row],[ESTADO]]="CERRADO","Cerrados IUP",IF(PL[[#This Row],[ESTADO]]="PTE Validar Enel","Pendiente cierre ENEL",IF(ISNUMBER(SEARCH("suministro",PL[[#This Row],[SUPPLIER NOTES]])),"Suministros",IF(PL[[#This Row],[SC]]="SOCIAL","Social",IF(ISNUMBER(SEARCH("monolito",PL[[#This Row],[DESCRIPTION]])),"Monolitos","Varios")))))</f>
        <v>Cerrados IUP</v>
      </c>
      <c r="Q7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8" spans="1:17" s="157" customFormat="1" hidden="1" x14ac:dyDescent="0.2">
      <c r="A788" s="151" t="s">
        <v>2834</v>
      </c>
      <c r="B788" s="154" t="s">
        <v>1291</v>
      </c>
      <c r="C788" s="154">
        <v>9</v>
      </c>
      <c r="D788" s="153" t="s">
        <v>3382</v>
      </c>
      <c r="E788" s="154" t="s">
        <v>2835</v>
      </c>
      <c r="F788" s="154" t="s">
        <v>2836</v>
      </c>
      <c r="G788" s="154" t="s">
        <v>1289</v>
      </c>
      <c r="H788" s="154" t="s">
        <v>3463</v>
      </c>
      <c r="I788" s="154"/>
      <c r="J788" s="154" t="s">
        <v>74</v>
      </c>
      <c r="K788" s="154" t="s">
        <v>3394</v>
      </c>
      <c r="L788" s="155">
        <v>46290</v>
      </c>
      <c r="M788" s="156"/>
      <c r="N788" s="154" t="str">
        <f>IF(ISNUMBER(PL[[#This Row],[CTO]]),"CTO "&amp;PL[[#This Row],[CTO]],"Otros")</f>
        <v>CTO 9</v>
      </c>
      <c r="O788" s="154" t="str">
        <f>IF(PL[[#This Row],[STATUS IUP]]="CERRADO","CERRADO",IF(ISNUMBER(SEARCH("validacion de enel",PL[[#This Row],[SUPPLIER NOTES]])),"PTE Validar Enel","ABIERTO"))</f>
        <v>CERRADO</v>
      </c>
      <c r="P788" s="154" t="str">
        <f>IF(PL[[#This Row],[ESTADO]]="CERRADO","Cerrados IUP",IF(PL[[#This Row],[ESTADO]]="PTE Validar Enel","Pendiente cierre ENEL",IF(ISNUMBER(SEARCH("suministro",PL[[#This Row],[SUPPLIER NOTES]])),"Suministros",IF(PL[[#This Row],[SC]]="SOCIAL","Social",IF(ISNUMBER(SEARCH("monolito",PL[[#This Row],[DESCRIPTION]])),"Monolitos","Varios")))))</f>
        <v>Cerrados IUP</v>
      </c>
      <c r="Q7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89" spans="1:17" s="157" customFormat="1" hidden="1" x14ac:dyDescent="0.2">
      <c r="A789" s="151" t="s">
        <v>2589</v>
      </c>
      <c r="B789" s="154" t="s">
        <v>41</v>
      </c>
      <c r="C789" s="154">
        <v>9</v>
      </c>
      <c r="D789" s="153" t="s">
        <v>3382</v>
      </c>
      <c r="E789" s="154" t="s">
        <v>2590</v>
      </c>
      <c r="F789" s="154" t="s">
        <v>2591</v>
      </c>
      <c r="G789" s="154" t="s">
        <v>1289</v>
      </c>
      <c r="H789" s="154" t="s">
        <v>294</v>
      </c>
      <c r="I789" s="154" t="s">
        <v>294</v>
      </c>
      <c r="J789" s="154" t="s">
        <v>74</v>
      </c>
      <c r="K789" s="154" t="s">
        <v>3394</v>
      </c>
      <c r="L789" s="161">
        <v>46232</v>
      </c>
      <c r="M789" s="160">
        <v>46232</v>
      </c>
      <c r="N789" s="154" t="str">
        <f>IF(ISNUMBER(PL[[#This Row],[CTO]]),"CTO "&amp;PL[[#This Row],[CTO]],"Otros")</f>
        <v>CTO 9</v>
      </c>
      <c r="O789" s="154" t="str">
        <f>IF(PL[[#This Row],[STATUS IUP]]="CERRADO","CERRADO",IF(ISNUMBER(SEARCH("validacion de enel",PL[[#This Row],[SUPPLIER NOTES]])),"PTE Validar Enel","ABIERTO"))</f>
        <v>CERRADO</v>
      </c>
      <c r="P789" s="154" t="str">
        <f>IF(PL[[#This Row],[ESTADO]]="CERRADO","Cerrados IUP",IF(PL[[#This Row],[ESTADO]]="PTE Validar Enel","Pendiente cierre ENEL",IF(ISNUMBER(SEARCH("suministro",PL[[#This Row],[SUPPLIER NOTES]])),"Suministros",IF(PL[[#This Row],[SC]]="SOCIAL","Social",IF(ISNUMBER(SEARCH("monolito",PL[[#This Row],[DESCRIPTION]])),"Monolitos","Varios")))))</f>
        <v>Cerrados IUP</v>
      </c>
      <c r="Q7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0" spans="1:17" s="157" customFormat="1" hidden="1" x14ac:dyDescent="0.2">
      <c r="A790" s="151" t="s">
        <v>2182</v>
      </c>
      <c r="B790" s="154" t="s">
        <v>1291</v>
      </c>
      <c r="C790" s="154">
        <v>9</v>
      </c>
      <c r="D790" s="153" t="s">
        <v>3382</v>
      </c>
      <c r="E790" s="154" t="s">
        <v>2183</v>
      </c>
      <c r="F790" s="154" t="s">
        <v>2184</v>
      </c>
      <c r="G790" s="154" t="s">
        <v>1289</v>
      </c>
      <c r="H790" s="154"/>
      <c r="I790" s="154" t="s">
        <v>2185</v>
      </c>
      <c r="J790" s="154" t="s">
        <v>74</v>
      </c>
      <c r="K790" s="154" t="s">
        <v>3394</v>
      </c>
      <c r="L790" s="154"/>
      <c r="M790" s="160">
        <v>46136</v>
      </c>
      <c r="N790" s="154" t="str">
        <f>IF(ISNUMBER(PL[[#This Row],[CTO]]),"CTO "&amp;PL[[#This Row],[CTO]],"Otros")</f>
        <v>CTO 9</v>
      </c>
      <c r="O790" s="154" t="str">
        <f>IF(PL[[#This Row],[STATUS IUP]]="CERRADO","CERRADO",IF(ISNUMBER(SEARCH("validacion de enel",PL[[#This Row],[SUPPLIER NOTES]])),"PTE Validar Enel","ABIERTO"))</f>
        <v>CERRADO</v>
      </c>
      <c r="P790" s="154" t="str">
        <f>IF(PL[[#This Row],[ESTADO]]="CERRADO","Cerrados IUP",IF(PL[[#This Row],[ESTADO]]="PTE Validar Enel","Pendiente cierre ENEL",IF(ISNUMBER(SEARCH("suministro",PL[[#This Row],[SUPPLIER NOTES]])),"Suministros",IF(PL[[#This Row],[SC]]="SOCIAL","Social",IF(ISNUMBER(SEARCH("monolito",PL[[#This Row],[DESCRIPTION]])),"Monolitos","Varios")))))</f>
        <v>Cerrados IUP</v>
      </c>
      <c r="Q7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1" spans="1:17" s="157" customFormat="1" hidden="1" x14ac:dyDescent="0.2">
      <c r="A791" s="151" t="s">
        <v>1885</v>
      </c>
      <c r="B791" s="154" t="s">
        <v>41</v>
      </c>
      <c r="C791" s="154">
        <v>9</v>
      </c>
      <c r="D791" s="153" t="s">
        <v>3382</v>
      </c>
      <c r="E791" s="154" t="s">
        <v>1886</v>
      </c>
      <c r="F791" s="154" t="s">
        <v>1887</v>
      </c>
      <c r="G791" s="154" t="s">
        <v>1289</v>
      </c>
      <c r="H791" s="154" t="s">
        <v>163</v>
      </c>
      <c r="I791" s="154" t="s">
        <v>163</v>
      </c>
      <c r="J791" s="154" t="s">
        <v>74</v>
      </c>
      <c r="K791" s="154" t="s">
        <v>3394</v>
      </c>
      <c r="L791" s="161">
        <v>46222</v>
      </c>
      <c r="M791" s="160">
        <v>46222</v>
      </c>
      <c r="N791" s="154" t="str">
        <f>IF(ISNUMBER(PL[[#This Row],[CTO]]),"CTO "&amp;PL[[#This Row],[CTO]],"Otros")</f>
        <v>CTO 9</v>
      </c>
      <c r="O791" s="154" t="str">
        <f>IF(PL[[#This Row],[STATUS IUP]]="CERRADO","CERRADO",IF(ISNUMBER(SEARCH("validacion de enel",PL[[#This Row],[SUPPLIER NOTES]])),"PTE Validar Enel","ABIERTO"))</f>
        <v>CERRADO</v>
      </c>
      <c r="P791" s="154" t="str">
        <f>IF(PL[[#This Row],[ESTADO]]="CERRADO","Cerrados IUP",IF(PL[[#This Row],[ESTADO]]="PTE Validar Enel","Pendiente cierre ENEL",IF(ISNUMBER(SEARCH("suministro",PL[[#This Row],[SUPPLIER NOTES]])),"Suministros",IF(PL[[#This Row],[SC]]="SOCIAL","Social",IF(ISNUMBER(SEARCH("monolito",PL[[#This Row],[DESCRIPTION]])),"Monolitos","Varios")))))</f>
        <v>Cerrados IUP</v>
      </c>
      <c r="Q7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2" spans="1:17" s="157" customFormat="1" hidden="1" x14ac:dyDescent="0.2">
      <c r="A792" s="151" t="s">
        <v>2881</v>
      </c>
      <c r="B792" s="154" t="s">
        <v>41</v>
      </c>
      <c r="C792" s="154">
        <v>9</v>
      </c>
      <c r="D792" s="153" t="s">
        <v>3382</v>
      </c>
      <c r="E792" s="154" t="s">
        <v>2882</v>
      </c>
      <c r="F792" s="154" t="s">
        <v>2883</v>
      </c>
      <c r="G792" s="154" t="s">
        <v>1289</v>
      </c>
      <c r="H792" s="154"/>
      <c r="I792" s="154" t="s">
        <v>3475</v>
      </c>
      <c r="J792" s="154" t="s">
        <v>74</v>
      </c>
      <c r="K792" s="154" t="s">
        <v>3394</v>
      </c>
      <c r="L792" s="155">
        <v>46288</v>
      </c>
      <c r="M792" s="156"/>
      <c r="N792" s="154" t="str">
        <f>IF(ISNUMBER(PL[[#This Row],[CTO]]),"CTO "&amp;PL[[#This Row],[CTO]],"Otros")</f>
        <v>CTO 9</v>
      </c>
      <c r="O792" s="154" t="str">
        <f>IF(PL[[#This Row],[STATUS IUP]]="CERRADO","CERRADO",IF(ISNUMBER(SEARCH("validacion de enel",PL[[#This Row],[SUPPLIER NOTES]])),"PTE Validar Enel","ABIERTO"))</f>
        <v>CERRADO</v>
      </c>
      <c r="P792" s="154" t="str">
        <f>IF(PL[[#This Row],[ESTADO]]="CERRADO","Cerrados IUP",IF(PL[[#This Row],[ESTADO]]="PTE Validar Enel","Pendiente cierre ENEL",IF(ISNUMBER(SEARCH("suministro",PL[[#This Row],[SUPPLIER NOTES]])),"Suministros",IF(PL[[#This Row],[SC]]="SOCIAL","Social",IF(ISNUMBER(SEARCH("monolito",PL[[#This Row],[DESCRIPTION]])),"Monolitos","Varios")))))</f>
        <v>Cerrados IUP</v>
      </c>
      <c r="Q7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3" spans="1:17" s="157" customFormat="1" hidden="1" x14ac:dyDescent="0.2">
      <c r="A793" s="151" t="s">
        <v>2595</v>
      </c>
      <c r="B793" s="154" t="s">
        <v>41</v>
      </c>
      <c r="C793" s="154">
        <v>9</v>
      </c>
      <c r="D793" s="153" t="s">
        <v>3382</v>
      </c>
      <c r="E793" s="154" t="s">
        <v>2596</v>
      </c>
      <c r="F793" s="154" t="s">
        <v>2597</v>
      </c>
      <c r="G793" s="154" t="s">
        <v>1289</v>
      </c>
      <c r="H793" s="154" t="s">
        <v>2598</v>
      </c>
      <c r="I793" s="154" t="s">
        <v>1520</v>
      </c>
      <c r="J793" s="154" t="s">
        <v>74</v>
      </c>
      <c r="K793" s="154" t="s">
        <v>3394</v>
      </c>
      <c r="L793" s="161">
        <v>46154</v>
      </c>
      <c r="M793" s="160">
        <v>46153</v>
      </c>
      <c r="N793" s="154" t="str">
        <f>IF(ISNUMBER(PL[[#This Row],[CTO]]),"CTO "&amp;PL[[#This Row],[CTO]],"Otros")</f>
        <v>CTO 9</v>
      </c>
      <c r="O793" s="154" t="str">
        <f>IF(PL[[#This Row],[STATUS IUP]]="CERRADO","CERRADO",IF(ISNUMBER(SEARCH("validacion de enel",PL[[#This Row],[SUPPLIER NOTES]])),"PTE Validar Enel","ABIERTO"))</f>
        <v>CERRADO</v>
      </c>
      <c r="P793" s="154" t="str">
        <f>IF(PL[[#This Row],[ESTADO]]="CERRADO","Cerrados IUP",IF(PL[[#This Row],[ESTADO]]="PTE Validar Enel","Pendiente cierre ENEL",IF(ISNUMBER(SEARCH("suministro",PL[[#This Row],[SUPPLIER NOTES]])),"Suministros",IF(PL[[#This Row],[SC]]="SOCIAL","Social",IF(ISNUMBER(SEARCH("monolito",PL[[#This Row],[DESCRIPTION]])),"Monolitos","Varios")))))</f>
        <v>Cerrados IUP</v>
      </c>
      <c r="Q7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4" spans="1:17" s="157" customFormat="1" hidden="1" x14ac:dyDescent="0.2">
      <c r="A794" s="151" t="s">
        <v>2599</v>
      </c>
      <c r="B794" s="154" t="s">
        <v>41</v>
      </c>
      <c r="C794" s="154">
        <v>9</v>
      </c>
      <c r="D794" s="153" t="s">
        <v>3382</v>
      </c>
      <c r="E794" s="154" t="s">
        <v>2600</v>
      </c>
      <c r="F794" s="154" t="s">
        <v>2601</v>
      </c>
      <c r="G794" s="154" t="s">
        <v>1289</v>
      </c>
      <c r="H794" s="154"/>
      <c r="I794" s="154" t="s">
        <v>2602</v>
      </c>
      <c r="J794" s="154" t="s">
        <v>74</v>
      </c>
      <c r="K794" s="154" t="s">
        <v>3394</v>
      </c>
      <c r="L794" s="154"/>
      <c r="M794" s="160">
        <v>46136</v>
      </c>
      <c r="N794" s="154" t="str">
        <f>IF(ISNUMBER(PL[[#This Row],[CTO]]),"CTO "&amp;PL[[#This Row],[CTO]],"Otros")</f>
        <v>CTO 9</v>
      </c>
      <c r="O794" s="154" t="str">
        <f>IF(PL[[#This Row],[STATUS IUP]]="CERRADO","CERRADO",IF(ISNUMBER(SEARCH("validacion de enel",PL[[#This Row],[SUPPLIER NOTES]])),"PTE Validar Enel","ABIERTO"))</f>
        <v>CERRADO</v>
      </c>
      <c r="P794" s="154" t="str">
        <f>IF(PL[[#This Row],[ESTADO]]="CERRADO","Cerrados IUP",IF(PL[[#This Row],[ESTADO]]="PTE Validar Enel","Pendiente cierre ENEL",IF(ISNUMBER(SEARCH("suministro",PL[[#This Row],[SUPPLIER NOTES]])),"Suministros",IF(PL[[#This Row],[SC]]="SOCIAL","Social",IF(ISNUMBER(SEARCH("monolito",PL[[#This Row],[DESCRIPTION]])),"Monolitos","Varios")))))</f>
        <v>Cerrados IUP</v>
      </c>
      <c r="Q7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5" spans="1:17" s="157" customFormat="1" ht="32" hidden="1" x14ac:dyDescent="0.2">
      <c r="A795" s="151" t="s">
        <v>1882</v>
      </c>
      <c r="B795" s="152" t="s">
        <v>1291</v>
      </c>
      <c r="C795" s="154">
        <v>9</v>
      </c>
      <c r="D795" s="153" t="s">
        <v>3382</v>
      </c>
      <c r="E795" s="154" t="s">
        <v>1883</v>
      </c>
      <c r="F795" s="152" t="s">
        <v>1884</v>
      </c>
      <c r="G795" s="154" t="s">
        <v>1289</v>
      </c>
      <c r="H795" s="154" t="s">
        <v>3454</v>
      </c>
      <c r="I795" s="154"/>
      <c r="J795" s="154" t="s">
        <v>74</v>
      </c>
      <c r="K795" s="154" t="s">
        <v>3394</v>
      </c>
      <c r="L795" s="155">
        <v>46294</v>
      </c>
      <c r="M795" s="156"/>
      <c r="N795" s="154" t="str">
        <f>IF(ISNUMBER(PL[[#This Row],[CTO]]),"CTO "&amp;PL[[#This Row],[CTO]],"Otros")</f>
        <v>CTO 9</v>
      </c>
      <c r="O795" s="154" t="str">
        <f>IF(PL[[#This Row],[STATUS IUP]]="CERRADO","CERRADO",IF(ISNUMBER(SEARCH("validacion de enel",PL[[#This Row],[SUPPLIER NOTES]])),"PTE Validar Enel","ABIERTO"))</f>
        <v>CERRADO</v>
      </c>
      <c r="P795" s="154" t="str">
        <f>IF(PL[[#This Row],[ESTADO]]="CERRADO","Cerrados IUP",IF(PL[[#This Row],[ESTADO]]="PTE Validar Enel","Pendiente cierre ENEL",IF(ISNUMBER(SEARCH("suministro",PL[[#This Row],[SUPPLIER NOTES]])),"Suministros",IF(PL[[#This Row],[SC]]="SOCIAL","Social",IF(ISNUMBER(SEARCH("monolito",PL[[#This Row],[DESCRIPTION]])),"Monolitos","Varios")))))</f>
        <v>Cerrados IUP</v>
      </c>
      <c r="Q7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6" spans="1:17" s="157" customFormat="1" hidden="1" x14ac:dyDescent="0.2">
      <c r="A796" s="151" t="s">
        <v>2518</v>
      </c>
      <c r="B796" s="154" t="s">
        <v>41</v>
      </c>
      <c r="C796" s="154">
        <v>9</v>
      </c>
      <c r="D796" s="153" t="s">
        <v>3382</v>
      </c>
      <c r="E796" s="154" t="s">
        <v>2519</v>
      </c>
      <c r="F796" s="154" t="s">
        <v>2520</v>
      </c>
      <c r="G796" s="154" t="s">
        <v>1289</v>
      </c>
      <c r="H796" s="154" t="s">
        <v>163</v>
      </c>
      <c r="I796" s="154" t="s">
        <v>163</v>
      </c>
      <c r="J796" s="154" t="s">
        <v>74</v>
      </c>
      <c r="K796" s="154" t="s">
        <v>3394</v>
      </c>
      <c r="L796" s="161">
        <v>46222</v>
      </c>
      <c r="M796" s="160">
        <v>46222</v>
      </c>
      <c r="N796" s="154" t="str">
        <f>IF(ISNUMBER(PL[[#This Row],[CTO]]),"CTO "&amp;PL[[#This Row],[CTO]],"Otros")</f>
        <v>CTO 9</v>
      </c>
      <c r="O796" s="154" t="str">
        <f>IF(PL[[#This Row],[STATUS IUP]]="CERRADO","CERRADO",IF(ISNUMBER(SEARCH("validacion de enel",PL[[#This Row],[SUPPLIER NOTES]])),"PTE Validar Enel","ABIERTO"))</f>
        <v>CERRADO</v>
      </c>
      <c r="P796" s="154" t="str">
        <f>IF(PL[[#This Row],[ESTADO]]="CERRADO","Cerrados IUP",IF(PL[[#This Row],[ESTADO]]="PTE Validar Enel","Pendiente cierre ENEL",IF(ISNUMBER(SEARCH("suministro",PL[[#This Row],[SUPPLIER NOTES]])),"Suministros",IF(PL[[#This Row],[SC]]="SOCIAL","Social",IF(ISNUMBER(SEARCH("monolito",PL[[#This Row],[DESCRIPTION]])),"Monolitos","Varios")))))</f>
        <v>Cerrados IUP</v>
      </c>
      <c r="Q7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7" spans="1:17" s="157" customFormat="1" ht="32" hidden="1" x14ac:dyDescent="0.2">
      <c r="A797" s="151" t="s">
        <v>1879</v>
      </c>
      <c r="B797" s="152" t="s">
        <v>41</v>
      </c>
      <c r="C797" s="154">
        <v>9</v>
      </c>
      <c r="D797" s="153" t="s">
        <v>3382</v>
      </c>
      <c r="E797" s="154" t="s">
        <v>1880</v>
      </c>
      <c r="F797" s="152" t="s">
        <v>1881</v>
      </c>
      <c r="G797" s="154" t="s">
        <v>1289</v>
      </c>
      <c r="H797" s="154" t="s">
        <v>3454</v>
      </c>
      <c r="I797" s="154"/>
      <c r="J797" s="154" t="s">
        <v>74</v>
      </c>
      <c r="K797" s="154" t="s">
        <v>3394</v>
      </c>
      <c r="L797" s="155">
        <v>46304</v>
      </c>
      <c r="M797" s="156"/>
      <c r="N797" s="154" t="str">
        <f>IF(ISNUMBER(PL[[#This Row],[CTO]]),"CTO "&amp;PL[[#This Row],[CTO]],"Otros")</f>
        <v>CTO 9</v>
      </c>
      <c r="O797" s="154" t="str">
        <f>IF(PL[[#This Row],[STATUS IUP]]="CERRADO","CERRADO",IF(ISNUMBER(SEARCH("validacion de enel",PL[[#This Row],[SUPPLIER NOTES]])),"PTE Validar Enel","ABIERTO"))</f>
        <v>CERRADO</v>
      </c>
      <c r="P797" s="154" t="str">
        <f>IF(PL[[#This Row],[ESTADO]]="CERRADO","Cerrados IUP",IF(PL[[#This Row],[ESTADO]]="PTE Validar Enel","Pendiente cierre ENEL",IF(ISNUMBER(SEARCH("suministro",PL[[#This Row],[SUPPLIER NOTES]])),"Suministros",IF(PL[[#This Row],[SC]]="SOCIAL","Social",IF(ISNUMBER(SEARCH("monolito",PL[[#This Row],[DESCRIPTION]])),"Monolitos","Varios")))))</f>
        <v>Cerrados IUP</v>
      </c>
      <c r="Q7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8" spans="1:17" s="157" customFormat="1" ht="32" hidden="1" x14ac:dyDescent="0.2">
      <c r="A798" s="151" t="s">
        <v>1751</v>
      </c>
      <c r="B798" s="152" t="s">
        <v>1371</v>
      </c>
      <c r="C798" s="154">
        <v>9</v>
      </c>
      <c r="D798" s="153" t="s">
        <v>3382</v>
      </c>
      <c r="E798" s="154" t="s">
        <v>1752</v>
      </c>
      <c r="F798" s="152" t="s">
        <v>1753</v>
      </c>
      <c r="G798" s="154" t="s">
        <v>1289</v>
      </c>
      <c r="H798" s="154" t="s">
        <v>3454</v>
      </c>
      <c r="I798" s="154"/>
      <c r="J798" s="154" t="s">
        <v>74</v>
      </c>
      <c r="K798" s="154" t="s">
        <v>3394</v>
      </c>
      <c r="L798" s="155">
        <v>46294</v>
      </c>
      <c r="M798" s="156"/>
      <c r="N798" s="154" t="str">
        <f>IF(ISNUMBER(PL[[#This Row],[CTO]]),"CTO "&amp;PL[[#This Row],[CTO]],"Otros")</f>
        <v>CTO 9</v>
      </c>
      <c r="O798" s="154" t="str">
        <f>IF(PL[[#This Row],[STATUS IUP]]="CERRADO","CERRADO",IF(ISNUMBER(SEARCH("validacion de enel",PL[[#This Row],[SUPPLIER NOTES]])),"PTE Validar Enel","ABIERTO"))</f>
        <v>CERRADO</v>
      </c>
      <c r="P798" s="154" t="str">
        <f>IF(PL[[#This Row],[ESTADO]]="CERRADO","Cerrados IUP",IF(PL[[#This Row],[ESTADO]]="PTE Validar Enel","Pendiente cierre ENEL",IF(ISNUMBER(SEARCH("suministro",PL[[#This Row],[SUPPLIER NOTES]])),"Suministros",IF(PL[[#This Row],[SC]]="SOCIAL","Social",IF(ISNUMBER(SEARCH("monolito",PL[[#This Row],[DESCRIPTION]])),"Monolitos","Varios")))))</f>
        <v>Cerrados IUP</v>
      </c>
      <c r="Q7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799" spans="1:17" s="157" customFormat="1" hidden="1" x14ac:dyDescent="0.2">
      <c r="A799" s="151" t="s">
        <v>2318</v>
      </c>
      <c r="B799" s="154" t="s">
        <v>41</v>
      </c>
      <c r="C799" s="154">
        <v>9</v>
      </c>
      <c r="D799" s="153" t="s">
        <v>3382</v>
      </c>
      <c r="E799" s="154" t="s">
        <v>2319</v>
      </c>
      <c r="F799" s="154" t="s">
        <v>2320</v>
      </c>
      <c r="G799" s="154" t="s">
        <v>1289</v>
      </c>
      <c r="H799" s="154" t="s">
        <v>163</v>
      </c>
      <c r="I799" s="154" t="s">
        <v>163</v>
      </c>
      <c r="J799" s="154" t="s">
        <v>74</v>
      </c>
      <c r="K799" s="154" t="s">
        <v>3394</v>
      </c>
      <c r="L799" s="161">
        <v>46222</v>
      </c>
      <c r="M799" s="160">
        <v>46222</v>
      </c>
      <c r="N799" s="154" t="str">
        <f>IF(ISNUMBER(PL[[#This Row],[CTO]]),"CTO "&amp;PL[[#This Row],[CTO]],"Otros")</f>
        <v>CTO 9</v>
      </c>
      <c r="O799" s="154" t="str">
        <f>IF(PL[[#This Row],[STATUS IUP]]="CERRADO","CERRADO",IF(ISNUMBER(SEARCH("validacion de enel",PL[[#This Row],[SUPPLIER NOTES]])),"PTE Validar Enel","ABIERTO"))</f>
        <v>CERRADO</v>
      </c>
      <c r="P799" s="154" t="str">
        <f>IF(PL[[#This Row],[ESTADO]]="CERRADO","Cerrados IUP",IF(PL[[#This Row],[ESTADO]]="PTE Validar Enel","Pendiente cierre ENEL",IF(ISNUMBER(SEARCH("suministro",PL[[#This Row],[SUPPLIER NOTES]])),"Suministros",IF(PL[[#This Row],[SC]]="SOCIAL","Social",IF(ISNUMBER(SEARCH("monolito",PL[[#This Row],[DESCRIPTION]])),"Monolitos","Varios")))))</f>
        <v>Cerrados IUP</v>
      </c>
      <c r="Q7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0" spans="1:17" s="157" customFormat="1" hidden="1" x14ac:dyDescent="0.2">
      <c r="A800" s="151" t="s">
        <v>2161</v>
      </c>
      <c r="B800" s="154" t="s">
        <v>1291</v>
      </c>
      <c r="C800" s="154">
        <v>9</v>
      </c>
      <c r="D800" s="153" t="s">
        <v>3382</v>
      </c>
      <c r="E800" s="154" t="s">
        <v>2162</v>
      </c>
      <c r="F800" s="154" t="s">
        <v>2163</v>
      </c>
      <c r="G800" s="154" t="s">
        <v>1289</v>
      </c>
      <c r="H800" s="154" t="s">
        <v>73</v>
      </c>
      <c r="I800" s="154" t="s">
        <v>2164</v>
      </c>
      <c r="J800" s="154" t="s">
        <v>74</v>
      </c>
      <c r="K800" s="154" t="s">
        <v>3394</v>
      </c>
      <c r="L800" s="161">
        <v>46220</v>
      </c>
      <c r="M800" s="160">
        <v>46220</v>
      </c>
      <c r="N800" s="154" t="str">
        <f>IF(ISNUMBER(PL[[#This Row],[CTO]]),"CTO "&amp;PL[[#This Row],[CTO]],"Otros")</f>
        <v>CTO 9</v>
      </c>
      <c r="O800" s="154" t="str">
        <f>IF(PL[[#This Row],[STATUS IUP]]="CERRADO","CERRADO",IF(ISNUMBER(SEARCH("validacion de enel",PL[[#This Row],[SUPPLIER NOTES]])),"PTE Validar Enel","ABIERTO"))</f>
        <v>CERRADO</v>
      </c>
      <c r="P800" s="154" t="str">
        <f>IF(PL[[#This Row],[ESTADO]]="CERRADO","Cerrados IUP",IF(PL[[#This Row],[ESTADO]]="PTE Validar Enel","Pendiente cierre ENEL",IF(ISNUMBER(SEARCH("suministro",PL[[#This Row],[SUPPLIER NOTES]])),"Suministros",IF(PL[[#This Row],[SC]]="SOCIAL","Social",IF(ISNUMBER(SEARCH("monolito",PL[[#This Row],[DESCRIPTION]])),"Monolitos","Varios")))))</f>
        <v>Cerrados IUP</v>
      </c>
      <c r="Q8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1" spans="1:17" s="157" customFormat="1" hidden="1" x14ac:dyDescent="0.2">
      <c r="A801" s="151" t="s">
        <v>2741</v>
      </c>
      <c r="B801" s="154" t="s">
        <v>41</v>
      </c>
      <c r="C801" s="154">
        <v>9</v>
      </c>
      <c r="D801" s="153" t="s">
        <v>3382</v>
      </c>
      <c r="E801" s="154" t="s">
        <v>2742</v>
      </c>
      <c r="F801" s="154" t="s">
        <v>2743</v>
      </c>
      <c r="G801" s="154" t="s">
        <v>1289</v>
      </c>
      <c r="H801" s="154" t="s">
        <v>2744</v>
      </c>
      <c r="I801" s="154" t="s">
        <v>1520</v>
      </c>
      <c r="J801" s="154" t="s">
        <v>74</v>
      </c>
      <c r="K801" s="154" t="s">
        <v>3394</v>
      </c>
      <c r="L801" s="161">
        <v>46154</v>
      </c>
      <c r="M801" s="160">
        <v>46141</v>
      </c>
      <c r="N801" s="154" t="str">
        <f>IF(ISNUMBER(PL[[#This Row],[CTO]]),"CTO "&amp;PL[[#This Row],[CTO]],"Otros")</f>
        <v>CTO 9</v>
      </c>
      <c r="O801" s="154" t="str">
        <f>IF(PL[[#This Row],[STATUS IUP]]="CERRADO","CERRADO",IF(ISNUMBER(SEARCH("validacion de enel",PL[[#This Row],[SUPPLIER NOTES]])),"PTE Validar Enel","ABIERTO"))</f>
        <v>CERRADO</v>
      </c>
      <c r="P801" s="154" t="str">
        <f>IF(PL[[#This Row],[ESTADO]]="CERRADO","Cerrados IUP",IF(PL[[#This Row],[ESTADO]]="PTE Validar Enel","Pendiente cierre ENEL",IF(ISNUMBER(SEARCH("suministro",PL[[#This Row],[SUPPLIER NOTES]])),"Suministros",IF(PL[[#This Row],[SC]]="SOCIAL","Social",IF(ISNUMBER(SEARCH("monolito",PL[[#This Row],[DESCRIPTION]])),"Monolitos","Varios")))))</f>
        <v>Cerrados IUP</v>
      </c>
      <c r="Q8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2" spans="1:17" s="157" customFormat="1" ht="32" hidden="1" x14ac:dyDescent="0.2">
      <c r="A802" s="151" t="s">
        <v>1798</v>
      </c>
      <c r="B802" s="152" t="s">
        <v>1291</v>
      </c>
      <c r="C802" s="154">
        <v>9</v>
      </c>
      <c r="D802" s="153" t="s">
        <v>3382</v>
      </c>
      <c r="E802" s="154" t="s">
        <v>1799</v>
      </c>
      <c r="F802" s="152" t="s">
        <v>1800</v>
      </c>
      <c r="G802" s="154" t="s">
        <v>1289</v>
      </c>
      <c r="H802" s="154" t="s">
        <v>3454</v>
      </c>
      <c r="I802" s="154"/>
      <c r="J802" s="154" t="s">
        <v>74</v>
      </c>
      <c r="K802" s="154" t="s">
        <v>3394</v>
      </c>
      <c r="L802" s="155">
        <v>46294</v>
      </c>
      <c r="M802" s="156"/>
      <c r="N802" s="154" t="str">
        <f>IF(ISNUMBER(PL[[#This Row],[CTO]]),"CTO "&amp;PL[[#This Row],[CTO]],"Otros")</f>
        <v>CTO 9</v>
      </c>
      <c r="O802" s="154" t="str">
        <f>IF(PL[[#This Row],[STATUS IUP]]="CERRADO","CERRADO",IF(ISNUMBER(SEARCH("validacion de enel",PL[[#This Row],[SUPPLIER NOTES]])),"PTE Validar Enel","ABIERTO"))</f>
        <v>CERRADO</v>
      </c>
      <c r="P802" s="154" t="str">
        <f>IF(PL[[#This Row],[ESTADO]]="CERRADO","Cerrados IUP",IF(PL[[#This Row],[ESTADO]]="PTE Validar Enel","Pendiente cierre ENEL",IF(ISNUMBER(SEARCH("suministro",PL[[#This Row],[SUPPLIER NOTES]])),"Suministros",IF(PL[[#This Row],[SC]]="SOCIAL","Social",IF(ISNUMBER(SEARCH("monolito",PL[[#This Row],[DESCRIPTION]])),"Monolitos","Varios")))))</f>
        <v>Cerrados IUP</v>
      </c>
      <c r="Q8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3" spans="1:17" s="157" customFormat="1" hidden="1" x14ac:dyDescent="0.2">
      <c r="A803" s="151" t="s">
        <v>2665</v>
      </c>
      <c r="B803" s="154" t="s">
        <v>1291</v>
      </c>
      <c r="C803" s="154">
        <v>9</v>
      </c>
      <c r="D803" s="153" t="s">
        <v>3382</v>
      </c>
      <c r="E803" s="154" t="s">
        <v>2666</v>
      </c>
      <c r="F803" s="154" t="s">
        <v>2667</v>
      </c>
      <c r="G803" s="154" t="s">
        <v>1289</v>
      </c>
      <c r="H803" s="154" t="s">
        <v>73</v>
      </c>
      <c r="I803" s="154" t="s">
        <v>2668</v>
      </c>
      <c r="J803" s="154" t="s">
        <v>74</v>
      </c>
      <c r="K803" s="154" t="s">
        <v>3394</v>
      </c>
      <c r="L803" s="161">
        <v>46226</v>
      </c>
      <c r="M803" s="160">
        <v>46226</v>
      </c>
      <c r="N803" s="154" t="str">
        <f>IF(ISNUMBER(PL[[#This Row],[CTO]]),"CTO "&amp;PL[[#This Row],[CTO]],"Otros")</f>
        <v>CTO 9</v>
      </c>
      <c r="O803" s="154" t="str">
        <f>IF(PL[[#This Row],[STATUS IUP]]="CERRADO","CERRADO",IF(ISNUMBER(SEARCH("validacion de enel",PL[[#This Row],[SUPPLIER NOTES]])),"PTE Validar Enel","ABIERTO"))</f>
        <v>CERRADO</v>
      </c>
      <c r="P803" s="154" t="str">
        <f>IF(PL[[#This Row],[ESTADO]]="CERRADO","Cerrados IUP",IF(PL[[#This Row],[ESTADO]]="PTE Validar Enel","Pendiente cierre ENEL",IF(ISNUMBER(SEARCH("suministro",PL[[#This Row],[SUPPLIER NOTES]])),"Suministros",IF(PL[[#This Row],[SC]]="SOCIAL","Social",IF(ISNUMBER(SEARCH("monolito",PL[[#This Row],[DESCRIPTION]])),"Monolitos","Varios")))))</f>
        <v>Cerrados IUP</v>
      </c>
      <c r="Q8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4" spans="1:17" s="157" customFormat="1" hidden="1" x14ac:dyDescent="0.2">
      <c r="A804" s="151" t="s">
        <v>1876</v>
      </c>
      <c r="B804" s="154" t="s">
        <v>1371</v>
      </c>
      <c r="C804" s="154">
        <v>9</v>
      </c>
      <c r="D804" s="153" t="s">
        <v>3382</v>
      </c>
      <c r="E804" s="154" t="s">
        <v>1877</v>
      </c>
      <c r="F804" s="154" t="s">
        <v>1878</v>
      </c>
      <c r="G804" s="154" t="s">
        <v>1289</v>
      </c>
      <c r="H804" s="154" t="s">
        <v>294</v>
      </c>
      <c r="I804" s="154" t="s">
        <v>294</v>
      </c>
      <c r="J804" s="154" t="s">
        <v>74</v>
      </c>
      <c r="K804" s="154" t="s">
        <v>3394</v>
      </c>
      <c r="L804" s="161">
        <v>46232</v>
      </c>
      <c r="M804" s="160">
        <v>46232</v>
      </c>
      <c r="N804" s="154" t="str">
        <f>IF(ISNUMBER(PL[[#This Row],[CTO]]),"CTO "&amp;PL[[#This Row],[CTO]],"Otros")</f>
        <v>CTO 9</v>
      </c>
      <c r="O804" s="154" t="str">
        <f>IF(PL[[#This Row],[STATUS IUP]]="CERRADO","CERRADO",IF(ISNUMBER(SEARCH("validacion de enel",PL[[#This Row],[SUPPLIER NOTES]])),"PTE Validar Enel","ABIERTO"))</f>
        <v>CERRADO</v>
      </c>
      <c r="P804" s="154" t="str">
        <f>IF(PL[[#This Row],[ESTADO]]="CERRADO","Cerrados IUP",IF(PL[[#This Row],[ESTADO]]="PTE Validar Enel","Pendiente cierre ENEL",IF(ISNUMBER(SEARCH("suministro",PL[[#This Row],[SUPPLIER NOTES]])),"Suministros",IF(PL[[#This Row],[SC]]="SOCIAL","Social",IF(ISNUMBER(SEARCH("monolito",PL[[#This Row],[DESCRIPTION]])),"Monolitos","Varios")))))</f>
        <v>Cerrados IUP</v>
      </c>
      <c r="Q8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5" spans="1:17" s="157" customFormat="1" hidden="1" x14ac:dyDescent="0.2">
      <c r="A805" s="151" t="s">
        <v>2047</v>
      </c>
      <c r="B805" s="154" t="s">
        <v>41</v>
      </c>
      <c r="C805" s="154">
        <v>9</v>
      </c>
      <c r="D805" s="153" t="s">
        <v>3382</v>
      </c>
      <c r="E805" s="154" t="s">
        <v>2048</v>
      </c>
      <c r="F805" s="154" t="s">
        <v>2049</v>
      </c>
      <c r="G805" s="154" t="s">
        <v>1289</v>
      </c>
      <c r="H805" s="154" t="s">
        <v>163</v>
      </c>
      <c r="I805" s="154" t="s">
        <v>163</v>
      </c>
      <c r="J805" s="154" t="s">
        <v>74</v>
      </c>
      <c r="K805" s="154" t="s">
        <v>3394</v>
      </c>
      <c r="L805" s="161">
        <v>46222</v>
      </c>
      <c r="M805" s="160">
        <v>46222</v>
      </c>
      <c r="N805" s="154" t="str">
        <f>IF(ISNUMBER(PL[[#This Row],[CTO]]),"CTO "&amp;PL[[#This Row],[CTO]],"Otros")</f>
        <v>CTO 9</v>
      </c>
      <c r="O805" s="154" t="str">
        <f>IF(PL[[#This Row],[STATUS IUP]]="CERRADO","CERRADO",IF(ISNUMBER(SEARCH("validacion de enel",PL[[#This Row],[SUPPLIER NOTES]])),"PTE Validar Enel","ABIERTO"))</f>
        <v>CERRADO</v>
      </c>
      <c r="P805" s="154" t="str">
        <f>IF(PL[[#This Row],[ESTADO]]="CERRADO","Cerrados IUP",IF(PL[[#This Row],[ESTADO]]="PTE Validar Enel","Pendiente cierre ENEL",IF(ISNUMBER(SEARCH("suministro",PL[[#This Row],[SUPPLIER NOTES]])),"Suministros",IF(PL[[#This Row],[SC]]="SOCIAL","Social",IF(ISNUMBER(SEARCH("monolito",PL[[#This Row],[DESCRIPTION]])),"Monolitos","Varios")))))</f>
        <v>Cerrados IUP</v>
      </c>
      <c r="Q8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6" spans="1:17" s="157" customFormat="1" hidden="1" x14ac:dyDescent="0.2">
      <c r="A806" s="151" t="s">
        <v>1801</v>
      </c>
      <c r="B806" s="154" t="s">
        <v>1314</v>
      </c>
      <c r="C806" s="154">
        <v>9</v>
      </c>
      <c r="D806" s="153" t="s">
        <v>3382</v>
      </c>
      <c r="E806" s="154" t="s">
        <v>1802</v>
      </c>
      <c r="F806" s="154" t="s">
        <v>1803</v>
      </c>
      <c r="G806" s="154" t="s">
        <v>1289</v>
      </c>
      <c r="H806" s="154" t="s">
        <v>163</v>
      </c>
      <c r="I806" s="154" t="s">
        <v>163</v>
      </c>
      <c r="J806" s="154" t="s">
        <v>74</v>
      </c>
      <c r="K806" s="154" t="s">
        <v>3394</v>
      </c>
      <c r="L806" s="161">
        <v>46156</v>
      </c>
      <c r="M806" s="160">
        <v>46156</v>
      </c>
      <c r="N806" s="154" t="str">
        <f>IF(ISNUMBER(PL[[#This Row],[CTO]]),"CTO "&amp;PL[[#This Row],[CTO]],"Otros")</f>
        <v>CTO 9</v>
      </c>
      <c r="O806" s="154" t="str">
        <f>IF(PL[[#This Row],[STATUS IUP]]="CERRADO","CERRADO",IF(ISNUMBER(SEARCH("validacion de enel",PL[[#This Row],[SUPPLIER NOTES]])),"PTE Validar Enel","ABIERTO"))</f>
        <v>CERRADO</v>
      </c>
      <c r="P806" s="154" t="str">
        <f>IF(PL[[#This Row],[ESTADO]]="CERRADO","Cerrados IUP",IF(PL[[#This Row],[ESTADO]]="PTE Validar Enel","Pendiente cierre ENEL",IF(ISNUMBER(SEARCH("suministro",PL[[#This Row],[SUPPLIER NOTES]])),"Suministros",IF(PL[[#This Row],[SC]]="SOCIAL","Social",IF(ISNUMBER(SEARCH("monolito",PL[[#This Row],[DESCRIPTION]])),"Monolitos","Varios")))))</f>
        <v>Cerrados IUP</v>
      </c>
      <c r="Q8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7" spans="1:17" s="157" customFormat="1" hidden="1" x14ac:dyDescent="0.2">
      <c r="A807" s="151" t="s">
        <v>2179</v>
      </c>
      <c r="B807" s="154" t="s">
        <v>1314</v>
      </c>
      <c r="C807" s="154">
        <v>9</v>
      </c>
      <c r="D807" s="153" t="s">
        <v>3382</v>
      </c>
      <c r="E807" s="154" t="s">
        <v>2180</v>
      </c>
      <c r="F807" s="154" t="s">
        <v>2181</v>
      </c>
      <c r="G807" s="154" t="s">
        <v>1289</v>
      </c>
      <c r="H807" s="154" t="s">
        <v>294</v>
      </c>
      <c r="I807" s="154" t="s">
        <v>294</v>
      </c>
      <c r="J807" s="154" t="s">
        <v>74</v>
      </c>
      <c r="K807" s="154" t="s">
        <v>3394</v>
      </c>
      <c r="L807" s="161">
        <v>46232</v>
      </c>
      <c r="M807" s="160">
        <v>46232</v>
      </c>
      <c r="N807" s="154" t="str">
        <f>IF(ISNUMBER(PL[[#This Row],[CTO]]),"CTO "&amp;PL[[#This Row],[CTO]],"Otros")</f>
        <v>CTO 9</v>
      </c>
      <c r="O807" s="154" t="str">
        <f>IF(PL[[#This Row],[STATUS IUP]]="CERRADO","CERRADO",IF(ISNUMBER(SEARCH("validacion de enel",PL[[#This Row],[SUPPLIER NOTES]])),"PTE Validar Enel","ABIERTO"))</f>
        <v>CERRADO</v>
      </c>
      <c r="P807" s="154" t="str">
        <f>IF(PL[[#This Row],[ESTADO]]="CERRADO","Cerrados IUP",IF(PL[[#This Row],[ESTADO]]="PTE Validar Enel","Pendiente cierre ENEL",IF(ISNUMBER(SEARCH("suministro",PL[[#This Row],[SUPPLIER NOTES]])),"Suministros",IF(PL[[#This Row],[SC]]="SOCIAL","Social",IF(ISNUMBER(SEARCH("monolito",PL[[#This Row],[DESCRIPTION]])),"Monolitos","Varios")))))</f>
        <v>Cerrados IUP</v>
      </c>
      <c r="Q8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8" spans="1:17" ht="32" hidden="1" x14ac:dyDescent="0.2">
      <c r="A808" s="86" t="s">
        <v>1795</v>
      </c>
      <c r="B808" s="115" t="s">
        <v>41</v>
      </c>
      <c r="C808" s="82">
        <v>9</v>
      </c>
      <c r="D808" s="88" t="s">
        <v>3382</v>
      </c>
      <c r="E808" s="87" t="s">
        <v>1796</v>
      </c>
      <c r="F808" s="115" t="s">
        <v>1797</v>
      </c>
      <c r="G808" s="82" t="s">
        <v>1289</v>
      </c>
      <c r="H808" s="87" t="s">
        <v>3454</v>
      </c>
      <c r="I808" s="87"/>
      <c r="J808" s="87" t="s">
        <v>11</v>
      </c>
      <c r="K808" s="87" t="s">
        <v>3393</v>
      </c>
      <c r="L808" s="87"/>
      <c r="M808" s="89"/>
      <c r="N808" s="87" t="str">
        <f>IF(ISNUMBER(PL[[#This Row],[CTO]]),"CTO "&amp;PL[[#This Row],[CTO]],"Otros")</f>
        <v>CTO 9</v>
      </c>
      <c r="O808" s="87" t="str">
        <f>IF(PL[[#This Row],[STATUS IUP]]="CERRADO","CERRADO",IF(ISNUMBER(SEARCH("validacion de enel",PL[[#This Row],[SUPPLIER NOTES]])),"PTE Validar Enel","ABIERTO"))</f>
        <v>PTE Validar Enel</v>
      </c>
      <c r="P80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0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09" spans="1:17" s="157" customFormat="1" ht="64" hidden="1" x14ac:dyDescent="0.2">
      <c r="A809" s="151" t="s">
        <v>1640</v>
      </c>
      <c r="B809" s="152" t="s">
        <v>1291</v>
      </c>
      <c r="C809" s="154">
        <v>9</v>
      </c>
      <c r="D809" s="153" t="s">
        <v>3382</v>
      </c>
      <c r="E809" s="154" t="s">
        <v>1641</v>
      </c>
      <c r="F809" s="152" t="s">
        <v>1642</v>
      </c>
      <c r="G809" s="154" t="s">
        <v>1289</v>
      </c>
      <c r="H809" s="154" t="s">
        <v>3454</v>
      </c>
      <c r="I809" s="154"/>
      <c r="J809" s="154" t="s">
        <v>74</v>
      </c>
      <c r="K809" s="154" t="s">
        <v>3394</v>
      </c>
      <c r="L809" s="154"/>
      <c r="M809" s="156"/>
      <c r="N809" s="154" t="str">
        <f>IF(ISNUMBER(PL[[#This Row],[CTO]]),"CTO "&amp;PL[[#This Row],[CTO]],"Otros")</f>
        <v>CTO 9</v>
      </c>
      <c r="O809" s="154" t="str">
        <f>IF(PL[[#This Row],[STATUS IUP]]="CERRADO","CERRADO",IF(ISNUMBER(SEARCH("validacion de enel",PL[[#This Row],[SUPPLIER NOTES]])),"PTE Validar Enel","ABIERTO"))</f>
        <v>CERRADO</v>
      </c>
      <c r="P809" s="154" t="str">
        <f>IF(PL[[#This Row],[ESTADO]]="CERRADO","Cerrados IUP",IF(PL[[#This Row],[ESTADO]]="PTE Validar Enel","Pendiente cierre ENEL",IF(ISNUMBER(SEARCH("suministro",PL[[#This Row],[SUPPLIER NOTES]])),"Suministros",IF(PL[[#This Row],[SC]]="SOCIAL","Social",IF(ISNUMBER(SEARCH("monolito",PL[[#This Row],[DESCRIPTION]])),"Monolitos","Varios")))))</f>
        <v>Cerrados IUP</v>
      </c>
      <c r="Q8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0" spans="1:17" s="157" customFormat="1" hidden="1" x14ac:dyDescent="0.2">
      <c r="A810" s="151" t="s">
        <v>2176</v>
      </c>
      <c r="B810" s="154" t="s">
        <v>1371</v>
      </c>
      <c r="C810" s="154">
        <v>9</v>
      </c>
      <c r="D810" s="153" t="s">
        <v>3382</v>
      </c>
      <c r="E810" s="154" t="s">
        <v>2177</v>
      </c>
      <c r="F810" s="154" t="s">
        <v>2178</v>
      </c>
      <c r="G810" s="154" t="s">
        <v>1289</v>
      </c>
      <c r="H810" s="154" t="s">
        <v>163</v>
      </c>
      <c r="I810" s="154" t="s">
        <v>163</v>
      </c>
      <c r="J810" s="154" t="s">
        <v>74</v>
      </c>
      <c r="K810" s="154" t="s">
        <v>3394</v>
      </c>
      <c r="L810" s="161">
        <v>46222</v>
      </c>
      <c r="M810" s="160">
        <v>46222</v>
      </c>
      <c r="N810" s="154" t="str">
        <f>IF(ISNUMBER(PL[[#This Row],[CTO]]),"CTO "&amp;PL[[#This Row],[CTO]],"Otros")</f>
        <v>CTO 9</v>
      </c>
      <c r="O810" s="154" t="str">
        <f>IF(PL[[#This Row],[STATUS IUP]]="CERRADO","CERRADO",IF(ISNUMBER(SEARCH("validacion de enel",PL[[#This Row],[SUPPLIER NOTES]])),"PTE Validar Enel","ABIERTO"))</f>
        <v>CERRADO</v>
      </c>
      <c r="P810" s="154" t="str">
        <f>IF(PL[[#This Row],[ESTADO]]="CERRADO","Cerrados IUP",IF(PL[[#This Row],[ESTADO]]="PTE Validar Enel","Pendiente cierre ENEL",IF(ISNUMBER(SEARCH("suministro",PL[[#This Row],[SUPPLIER NOTES]])),"Suministros",IF(PL[[#This Row],[SC]]="SOCIAL","Social",IF(ISNUMBER(SEARCH("monolito",PL[[#This Row],[DESCRIPTION]])),"Monolitos","Varios")))))</f>
        <v>Cerrados IUP</v>
      </c>
      <c r="Q8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1" spans="1:17" s="157" customFormat="1" hidden="1" x14ac:dyDescent="0.2">
      <c r="A811" s="151" t="s">
        <v>2361</v>
      </c>
      <c r="B811" s="154" t="s">
        <v>41</v>
      </c>
      <c r="C811" s="154">
        <v>9</v>
      </c>
      <c r="D811" s="153" t="s">
        <v>3382</v>
      </c>
      <c r="E811" s="154" t="s">
        <v>2362</v>
      </c>
      <c r="F811" s="154" t="s">
        <v>2363</v>
      </c>
      <c r="G811" s="154" t="s">
        <v>1289</v>
      </c>
      <c r="H811" s="154"/>
      <c r="I811" s="154"/>
      <c r="J811" s="154" t="s">
        <v>74</v>
      </c>
      <c r="K811" s="154" t="s">
        <v>3394</v>
      </c>
      <c r="L811" s="154"/>
      <c r="M811" s="156"/>
      <c r="N811" s="154" t="str">
        <f>IF(ISNUMBER(PL[[#This Row],[CTO]]),"CTO "&amp;PL[[#This Row],[CTO]],"Otros")</f>
        <v>CTO 9</v>
      </c>
      <c r="O811" s="154" t="str">
        <f>IF(PL[[#This Row],[STATUS IUP]]="CERRADO","CERRADO",IF(ISNUMBER(SEARCH("validacion de enel",PL[[#This Row],[SUPPLIER NOTES]])),"PTE Validar Enel","ABIERTO"))</f>
        <v>CERRADO</v>
      </c>
      <c r="P811" s="154" t="str">
        <f>IF(PL[[#This Row],[ESTADO]]="CERRADO","Cerrados IUP",IF(PL[[#This Row],[ESTADO]]="PTE Validar Enel","Pendiente cierre ENEL",IF(ISNUMBER(SEARCH("suministro",PL[[#This Row],[SUPPLIER NOTES]])),"Suministros",IF(PL[[#This Row],[SC]]="SOCIAL","Social",IF(ISNUMBER(SEARCH("monolito",PL[[#This Row],[DESCRIPTION]])),"Monolitos","Varios")))))</f>
        <v>Cerrados IUP</v>
      </c>
      <c r="Q8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2" spans="1:17" s="157" customFormat="1" hidden="1" x14ac:dyDescent="0.2">
      <c r="A812" s="151" t="s">
        <v>1747</v>
      </c>
      <c r="B812" s="154" t="s">
        <v>41</v>
      </c>
      <c r="C812" s="154">
        <v>9</v>
      </c>
      <c r="D812" s="153" t="s">
        <v>3382</v>
      </c>
      <c r="E812" s="154" t="s">
        <v>1748</v>
      </c>
      <c r="F812" s="154" t="s">
        <v>1749</v>
      </c>
      <c r="G812" s="154" t="s">
        <v>1289</v>
      </c>
      <c r="H812" s="154"/>
      <c r="I812" s="154" t="s">
        <v>1750</v>
      </c>
      <c r="J812" s="154" t="s">
        <v>74</v>
      </c>
      <c r="K812" s="154" t="s">
        <v>3394</v>
      </c>
      <c r="L812" s="154"/>
      <c r="M812" s="160">
        <v>46136</v>
      </c>
      <c r="N812" s="154" t="str">
        <f>IF(ISNUMBER(PL[[#This Row],[CTO]]),"CTO "&amp;PL[[#This Row],[CTO]],"Otros")</f>
        <v>CTO 9</v>
      </c>
      <c r="O812" s="154" t="str">
        <f>IF(PL[[#This Row],[STATUS IUP]]="CERRADO","CERRADO",IF(ISNUMBER(SEARCH("validacion de enel",PL[[#This Row],[SUPPLIER NOTES]])),"PTE Validar Enel","ABIERTO"))</f>
        <v>CERRADO</v>
      </c>
      <c r="P812" s="154" t="str">
        <f>IF(PL[[#This Row],[ESTADO]]="CERRADO","Cerrados IUP",IF(PL[[#This Row],[ESTADO]]="PTE Validar Enel","Pendiente cierre ENEL",IF(ISNUMBER(SEARCH("suministro",PL[[#This Row],[SUPPLIER NOTES]])),"Suministros",IF(PL[[#This Row],[SC]]="SOCIAL","Social",IF(ISNUMBER(SEARCH("monolito",PL[[#This Row],[DESCRIPTION]])),"Monolitos","Varios")))))</f>
        <v>Cerrados IUP</v>
      </c>
      <c r="Q8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3" spans="1:17" s="157" customFormat="1" hidden="1" x14ac:dyDescent="0.2">
      <c r="A813" s="151" t="s">
        <v>1650</v>
      </c>
      <c r="B813" s="154" t="s">
        <v>41</v>
      </c>
      <c r="C813" s="154">
        <v>9</v>
      </c>
      <c r="D813" s="153" t="s">
        <v>3382</v>
      </c>
      <c r="E813" s="154" t="s">
        <v>1651</v>
      </c>
      <c r="F813" s="154" t="s">
        <v>1652</v>
      </c>
      <c r="G813" s="154" t="s">
        <v>1289</v>
      </c>
      <c r="H813" s="154" t="s">
        <v>1653</v>
      </c>
      <c r="I813" s="154" t="s">
        <v>1520</v>
      </c>
      <c r="J813" s="154" t="s">
        <v>74</v>
      </c>
      <c r="K813" s="154" t="s">
        <v>3394</v>
      </c>
      <c r="L813" s="161">
        <v>46154</v>
      </c>
      <c r="M813" s="160">
        <v>46153</v>
      </c>
      <c r="N813" s="154" t="str">
        <f>IF(ISNUMBER(PL[[#This Row],[CTO]]),"CTO "&amp;PL[[#This Row],[CTO]],"Otros")</f>
        <v>CTO 9</v>
      </c>
      <c r="O813" s="154" t="str">
        <f>IF(PL[[#This Row],[STATUS IUP]]="CERRADO","CERRADO",IF(ISNUMBER(SEARCH("validacion de enel",PL[[#This Row],[SUPPLIER NOTES]])),"PTE Validar Enel","ABIERTO"))</f>
        <v>CERRADO</v>
      </c>
      <c r="P813" s="154" t="str">
        <f>IF(PL[[#This Row],[ESTADO]]="CERRADO","Cerrados IUP",IF(PL[[#This Row],[ESTADO]]="PTE Validar Enel","Pendiente cierre ENEL",IF(ISNUMBER(SEARCH("suministro",PL[[#This Row],[SUPPLIER NOTES]])),"Suministros",IF(PL[[#This Row],[SC]]="SOCIAL","Social",IF(ISNUMBER(SEARCH("monolito",PL[[#This Row],[DESCRIPTION]])),"Monolitos","Varios")))))</f>
        <v>Cerrados IUP</v>
      </c>
      <c r="Q8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4" spans="1:17" ht="32" hidden="1" x14ac:dyDescent="0.2">
      <c r="A814" s="86" t="s">
        <v>1871</v>
      </c>
      <c r="B814" s="115" t="s">
        <v>1314</v>
      </c>
      <c r="C814" s="82">
        <v>9</v>
      </c>
      <c r="D814" s="88" t="s">
        <v>3382</v>
      </c>
      <c r="E814" s="87" t="s">
        <v>1872</v>
      </c>
      <c r="F814" s="115" t="s">
        <v>683</v>
      </c>
      <c r="G814" s="82" t="s">
        <v>1289</v>
      </c>
      <c r="H814" s="87" t="s">
        <v>3454</v>
      </c>
      <c r="I814" s="87"/>
      <c r="J814" s="87" t="s">
        <v>11</v>
      </c>
      <c r="K814" s="87" t="s">
        <v>3393</v>
      </c>
      <c r="L814" s="87"/>
      <c r="M814" s="89"/>
      <c r="N814" s="87" t="str">
        <f>IF(ISNUMBER(PL[[#This Row],[CTO]]),"CTO "&amp;PL[[#This Row],[CTO]],"Otros")</f>
        <v>CTO 9</v>
      </c>
      <c r="O814" s="87" t="str">
        <f>IF(PL[[#This Row],[STATUS IUP]]="CERRADO","CERRADO",IF(ISNUMBER(SEARCH("validacion de enel",PL[[#This Row],[SUPPLIER NOTES]])),"PTE Validar Enel","ABIERTO"))</f>
        <v>PTE Validar Enel</v>
      </c>
      <c r="P814"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14"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5" spans="1:17" s="157" customFormat="1" hidden="1" x14ac:dyDescent="0.2">
      <c r="A815" s="151" t="s">
        <v>2452</v>
      </c>
      <c r="B815" s="154" t="s">
        <v>41</v>
      </c>
      <c r="C815" s="154">
        <v>9</v>
      </c>
      <c r="D815" s="153" t="s">
        <v>3382</v>
      </c>
      <c r="E815" s="154" t="s">
        <v>2453</v>
      </c>
      <c r="F815" s="154" t="s">
        <v>2454</v>
      </c>
      <c r="G815" s="154" t="s">
        <v>1289</v>
      </c>
      <c r="H815" s="154" t="s">
        <v>294</v>
      </c>
      <c r="I815" s="154" t="s">
        <v>294</v>
      </c>
      <c r="J815" s="154" t="s">
        <v>74</v>
      </c>
      <c r="K815" s="154" t="s">
        <v>3394</v>
      </c>
      <c r="L815" s="161">
        <v>46231</v>
      </c>
      <c r="M815" s="160">
        <v>46231</v>
      </c>
      <c r="N815" s="154" t="str">
        <f>IF(ISNUMBER(PL[[#This Row],[CTO]]),"CTO "&amp;PL[[#This Row],[CTO]],"Otros")</f>
        <v>CTO 9</v>
      </c>
      <c r="O815" s="154" t="str">
        <f>IF(PL[[#This Row],[STATUS IUP]]="CERRADO","CERRADO",IF(ISNUMBER(SEARCH("validacion de enel",PL[[#This Row],[SUPPLIER NOTES]])),"PTE Validar Enel","ABIERTO"))</f>
        <v>CERRADO</v>
      </c>
      <c r="P815" s="154" t="str">
        <f>IF(PL[[#This Row],[ESTADO]]="CERRADO","Cerrados IUP",IF(PL[[#This Row],[ESTADO]]="PTE Validar Enel","Pendiente cierre ENEL",IF(ISNUMBER(SEARCH("suministro",PL[[#This Row],[SUPPLIER NOTES]])),"Suministros",IF(PL[[#This Row],[SC]]="SOCIAL","Social",IF(ISNUMBER(SEARCH("monolito",PL[[#This Row],[DESCRIPTION]])),"Monolitos","Varios")))))</f>
        <v>Cerrados IUP</v>
      </c>
      <c r="Q8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6" spans="1:17" s="157" customFormat="1" hidden="1" x14ac:dyDescent="0.2">
      <c r="A816" s="151" t="s">
        <v>2231</v>
      </c>
      <c r="B816" s="154" t="s">
        <v>41</v>
      </c>
      <c r="C816" s="154">
        <v>9</v>
      </c>
      <c r="D816" s="153" t="s">
        <v>3382</v>
      </c>
      <c r="E816" s="154" t="s">
        <v>2232</v>
      </c>
      <c r="F816" s="154" t="s">
        <v>2233</v>
      </c>
      <c r="G816" s="154" t="s">
        <v>1289</v>
      </c>
      <c r="H816" s="154" t="s">
        <v>2234</v>
      </c>
      <c r="I816" s="154" t="s">
        <v>1520</v>
      </c>
      <c r="J816" s="154" t="s">
        <v>74</v>
      </c>
      <c r="K816" s="154" t="s">
        <v>3394</v>
      </c>
      <c r="L816" s="161">
        <v>46154</v>
      </c>
      <c r="M816" s="160">
        <v>46153</v>
      </c>
      <c r="N816" s="154" t="str">
        <f>IF(ISNUMBER(PL[[#This Row],[CTO]]),"CTO "&amp;PL[[#This Row],[CTO]],"Otros")</f>
        <v>CTO 9</v>
      </c>
      <c r="O816" s="154" t="str">
        <f>IF(PL[[#This Row],[STATUS IUP]]="CERRADO","CERRADO",IF(ISNUMBER(SEARCH("validacion de enel",PL[[#This Row],[SUPPLIER NOTES]])),"PTE Validar Enel","ABIERTO"))</f>
        <v>CERRADO</v>
      </c>
      <c r="P816" s="154" t="str">
        <f>IF(PL[[#This Row],[ESTADO]]="CERRADO","Cerrados IUP",IF(PL[[#This Row],[ESTADO]]="PTE Validar Enel","Pendiente cierre ENEL",IF(ISNUMBER(SEARCH("suministro",PL[[#This Row],[SUPPLIER NOTES]])),"Suministros",IF(PL[[#This Row],[SC]]="SOCIAL","Social",IF(ISNUMBER(SEARCH("monolito",PL[[#This Row],[DESCRIPTION]])),"Monolitos","Varios")))))</f>
        <v>Cerrados IUP</v>
      </c>
      <c r="Q8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7" spans="1:17" s="157" customFormat="1" hidden="1" x14ac:dyDescent="0.2">
      <c r="A817" s="151" t="s">
        <v>2289</v>
      </c>
      <c r="B817" s="154" t="s">
        <v>1314</v>
      </c>
      <c r="C817" s="154">
        <v>9</v>
      </c>
      <c r="D817" s="153" t="s">
        <v>3382</v>
      </c>
      <c r="E817" s="154" t="s">
        <v>2290</v>
      </c>
      <c r="F817" s="154" t="s">
        <v>2291</v>
      </c>
      <c r="G817" s="154" t="s">
        <v>1289</v>
      </c>
      <c r="H817" s="154" t="s">
        <v>163</v>
      </c>
      <c r="I817" s="154" t="s">
        <v>163</v>
      </c>
      <c r="J817" s="154" t="s">
        <v>74</v>
      </c>
      <c r="K817" s="154" t="s">
        <v>3394</v>
      </c>
      <c r="L817" s="161">
        <v>46222</v>
      </c>
      <c r="M817" s="160">
        <v>46222</v>
      </c>
      <c r="N817" s="154" t="str">
        <f>IF(ISNUMBER(PL[[#This Row],[CTO]]),"CTO "&amp;PL[[#This Row],[CTO]],"Otros")</f>
        <v>CTO 9</v>
      </c>
      <c r="O817" s="154" t="str">
        <f>IF(PL[[#This Row],[STATUS IUP]]="CERRADO","CERRADO",IF(ISNUMBER(SEARCH("validacion de enel",PL[[#This Row],[SUPPLIER NOTES]])),"PTE Validar Enel","ABIERTO"))</f>
        <v>CERRADO</v>
      </c>
      <c r="P817" s="154" t="str">
        <f>IF(PL[[#This Row],[ESTADO]]="CERRADO","Cerrados IUP",IF(PL[[#This Row],[ESTADO]]="PTE Validar Enel","Pendiente cierre ENEL",IF(ISNUMBER(SEARCH("suministro",PL[[#This Row],[SUPPLIER NOTES]])),"Suministros",IF(PL[[#This Row],[SC]]="SOCIAL","Social",IF(ISNUMBER(SEARCH("monolito",PL[[#This Row],[DESCRIPTION]])),"Monolitos","Varios")))))</f>
        <v>Cerrados IUP</v>
      </c>
      <c r="Q8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8" spans="1:17" s="157" customFormat="1" hidden="1" x14ac:dyDescent="0.2">
      <c r="A818" s="151" t="s">
        <v>2800</v>
      </c>
      <c r="B818" s="154" t="s">
        <v>1314</v>
      </c>
      <c r="C818" s="154">
        <v>9</v>
      </c>
      <c r="D818" s="153" t="s">
        <v>3382</v>
      </c>
      <c r="E818" s="154" t="s">
        <v>2801</v>
      </c>
      <c r="F818" s="154" t="s">
        <v>2802</v>
      </c>
      <c r="G818" s="154" t="s">
        <v>1289</v>
      </c>
      <c r="H818" s="154" t="s">
        <v>163</v>
      </c>
      <c r="I818" s="154" t="s">
        <v>163</v>
      </c>
      <c r="J818" s="154" t="s">
        <v>74</v>
      </c>
      <c r="K818" s="154" t="s">
        <v>3394</v>
      </c>
      <c r="L818" s="161">
        <v>46156</v>
      </c>
      <c r="M818" s="160">
        <v>46156</v>
      </c>
      <c r="N818" s="154" t="str">
        <f>IF(ISNUMBER(PL[[#This Row],[CTO]]),"CTO "&amp;PL[[#This Row],[CTO]],"Otros")</f>
        <v>CTO 9</v>
      </c>
      <c r="O818" s="154" t="str">
        <f>IF(PL[[#This Row],[STATUS IUP]]="CERRADO","CERRADO",IF(ISNUMBER(SEARCH("validacion de enel",PL[[#This Row],[SUPPLIER NOTES]])),"PTE Validar Enel","ABIERTO"))</f>
        <v>CERRADO</v>
      </c>
      <c r="P818" s="154" t="str">
        <f>IF(PL[[#This Row],[ESTADO]]="CERRADO","Cerrados IUP",IF(PL[[#This Row],[ESTADO]]="PTE Validar Enel","Pendiente cierre ENEL",IF(ISNUMBER(SEARCH("suministro",PL[[#This Row],[SUPPLIER NOTES]])),"Suministros",IF(PL[[#This Row],[SC]]="SOCIAL","Social",IF(ISNUMBER(SEARCH("monolito",PL[[#This Row],[DESCRIPTION]])),"Monolitos","Varios")))))</f>
        <v>Cerrados IUP</v>
      </c>
      <c r="Q8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19" spans="1:17" s="157" customFormat="1" hidden="1" x14ac:dyDescent="0.2">
      <c r="A819" s="151" t="s">
        <v>2455</v>
      </c>
      <c r="B819" s="154" t="s">
        <v>1314</v>
      </c>
      <c r="C819" s="154">
        <v>9</v>
      </c>
      <c r="D819" s="153" t="s">
        <v>3382</v>
      </c>
      <c r="E819" s="154" t="s">
        <v>2456</v>
      </c>
      <c r="F819" s="154" t="s">
        <v>2457</v>
      </c>
      <c r="G819" s="154" t="s">
        <v>1289</v>
      </c>
      <c r="H819" s="154" t="s">
        <v>294</v>
      </c>
      <c r="I819" s="154" t="s">
        <v>294</v>
      </c>
      <c r="J819" s="154" t="s">
        <v>74</v>
      </c>
      <c r="K819" s="154" t="s">
        <v>3394</v>
      </c>
      <c r="L819" s="161">
        <v>46231</v>
      </c>
      <c r="M819" s="160">
        <v>46231</v>
      </c>
      <c r="N819" s="154" t="str">
        <f>IF(ISNUMBER(PL[[#This Row],[CTO]]),"CTO "&amp;PL[[#This Row],[CTO]],"Otros")</f>
        <v>CTO 9</v>
      </c>
      <c r="O819" s="154" t="str">
        <f>IF(PL[[#This Row],[STATUS IUP]]="CERRADO","CERRADO",IF(ISNUMBER(SEARCH("validacion de enel",PL[[#This Row],[SUPPLIER NOTES]])),"PTE Validar Enel","ABIERTO"))</f>
        <v>CERRADO</v>
      </c>
      <c r="P819" s="154" t="str">
        <f>IF(PL[[#This Row],[ESTADO]]="CERRADO","Cerrados IUP",IF(PL[[#This Row],[ESTADO]]="PTE Validar Enel","Pendiente cierre ENEL",IF(ISNUMBER(SEARCH("suministro",PL[[#This Row],[SUPPLIER NOTES]])),"Suministros",IF(PL[[#This Row],[SC]]="SOCIAL","Social",IF(ISNUMBER(SEARCH("monolito",PL[[#This Row],[DESCRIPTION]])),"Monolitos","Varios")))))</f>
        <v>Cerrados IUP</v>
      </c>
      <c r="Q8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0" spans="1:17" s="157" customFormat="1" hidden="1" x14ac:dyDescent="0.2">
      <c r="A820" s="151" t="s">
        <v>2228</v>
      </c>
      <c r="B820" s="154" t="s">
        <v>1314</v>
      </c>
      <c r="C820" s="154">
        <v>9</v>
      </c>
      <c r="D820" s="153" t="s">
        <v>3382</v>
      </c>
      <c r="E820" s="154" t="s">
        <v>2229</v>
      </c>
      <c r="F820" s="154" t="s">
        <v>2230</v>
      </c>
      <c r="G820" s="154" t="s">
        <v>1289</v>
      </c>
      <c r="H820" s="154"/>
      <c r="I820" s="154"/>
      <c r="J820" s="154" t="s">
        <v>74</v>
      </c>
      <c r="K820" s="154" t="s">
        <v>3394</v>
      </c>
      <c r="L820" s="154"/>
      <c r="M820" s="156"/>
      <c r="N820" s="154" t="str">
        <f>IF(ISNUMBER(PL[[#This Row],[CTO]]),"CTO "&amp;PL[[#This Row],[CTO]],"Otros")</f>
        <v>CTO 9</v>
      </c>
      <c r="O820" s="154" t="str">
        <f>IF(PL[[#This Row],[STATUS IUP]]="CERRADO","CERRADO",IF(ISNUMBER(SEARCH("validacion de enel",PL[[#This Row],[SUPPLIER NOTES]])),"PTE Validar Enel","ABIERTO"))</f>
        <v>CERRADO</v>
      </c>
      <c r="P820" s="154" t="str">
        <f>IF(PL[[#This Row],[ESTADO]]="CERRADO","Cerrados IUP",IF(PL[[#This Row],[ESTADO]]="PTE Validar Enel","Pendiente cierre ENEL",IF(ISNUMBER(SEARCH("suministro",PL[[#This Row],[SUPPLIER NOTES]])),"Suministros",IF(PL[[#This Row],[SC]]="SOCIAL","Social",IF(ISNUMBER(SEARCH("monolito",PL[[#This Row],[DESCRIPTION]])),"Monolitos","Varios")))))</f>
        <v>Cerrados IUP</v>
      </c>
      <c r="Q8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1" spans="1:17" s="157" customFormat="1" hidden="1" x14ac:dyDescent="0.2">
      <c r="A821" s="151" t="s">
        <v>2542</v>
      </c>
      <c r="B821" s="154" t="s">
        <v>41</v>
      </c>
      <c r="C821" s="154">
        <v>9</v>
      </c>
      <c r="D821" s="153" t="s">
        <v>3382</v>
      </c>
      <c r="E821" s="154" t="s">
        <v>2543</v>
      </c>
      <c r="F821" s="154" t="s">
        <v>2544</v>
      </c>
      <c r="G821" s="154" t="s">
        <v>128</v>
      </c>
      <c r="H821" s="154" t="s">
        <v>163</v>
      </c>
      <c r="I821" s="154" t="s">
        <v>163</v>
      </c>
      <c r="J821" s="154" t="s">
        <v>74</v>
      </c>
      <c r="K821" s="154" t="s">
        <v>3394</v>
      </c>
      <c r="L821" s="161">
        <v>46174</v>
      </c>
      <c r="M821" s="160">
        <v>46174</v>
      </c>
      <c r="N821" s="154" t="str">
        <f>IF(ISNUMBER(PL[[#This Row],[CTO]]),"CTO "&amp;PL[[#This Row],[CTO]],"Otros")</f>
        <v>CTO 9</v>
      </c>
      <c r="O821" s="154" t="str">
        <f>IF(PL[[#This Row],[STATUS IUP]]="CERRADO","CERRADO",IF(ISNUMBER(SEARCH("validacion de enel",PL[[#This Row],[SUPPLIER NOTES]])),"PTE Validar Enel","ABIERTO"))</f>
        <v>CERRADO</v>
      </c>
      <c r="P821" s="154" t="str">
        <f>IF(PL[[#This Row],[ESTADO]]="CERRADO","Cerrados IUP",IF(PL[[#This Row],[ESTADO]]="PTE Validar Enel","Pendiente cierre ENEL",IF(ISNUMBER(SEARCH("suministro",PL[[#This Row],[SUPPLIER NOTES]])),"Suministros",IF(PL[[#This Row],[SC]]="SOCIAL","Social",IF(ISNUMBER(SEARCH("monolito",PL[[#This Row],[DESCRIPTION]])),"Monolitos","Varios")))))</f>
        <v>Cerrados IUP</v>
      </c>
      <c r="Q8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2" spans="1:17" s="157" customFormat="1" hidden="1" x14ac:dyDescent="0.2">
      <c r="A822" s="151" t="s">
        <v>2044</v>
      </c>
      <c r="B822" s="154" t="s">
        <v>41</v>
      </c>
      <c r="C822" s="154">
        <v>9</v>
      </c>
      <c r="D822" s="153" t="s">
        <v>3382</v>
      </c>
      <c r="E822" s="154" t="s">
        <v>2045</v>
      </c>
      <c r="F822" s="154" t="s">
        <v>2046</v>
      </c>
      <c r="G822" s="154" t="s">
        <v>128</v>
      </c>
      <c r="H822" s="154" t="s">
        <v>163</v>
      </c>
      <c r="I822" s="154" t="s">
        <v>163</v>
      </c>
      <c r="J822" s="154" t="s">
        <v>74</v>
      </c>
      <c r="K822" s="154" t="s">
        <v>3394</v>
      </c>
      <c r="L822" s="161">
        <v>46210</v>
      </c>
      <c r="M822" s="160">
        <v>46210</v>
      </c>
      <c r="N822" s="154" t="str">
        <f>IF(ISNUMBER(PL[[#This Row],[CTO]]),"CTO "&amp;PL[[#This Row],[CTO]],"Otros")</f>
        <v>CTO 9</v>
      </c>
      <c r="O822" s="154" t="str">
        <f>IF(PL[[#This Row],[STATUS IUP]]="CERRADO","CERRADO",IF(ISNUMBER(SEARCH("validacion de enel",PL[[#This Row],[SUPPLIER NOTES]])),"PTE Validar Enel","ABIERTO"))</f>
        <v>CERRADO</v>
      </c>
      <c r="P822" s="154" t="str">
        <f>IF(PL[[#This Row],[ESTADO]]="CERRADO","Cerrados IUP",IF(PL[[#This Row],[ESTADO]]="PTE Validar Enel","Pendiente cierre ENEL",IF(ISNUMBER(SEARCH("suministro",PL[[#This Row],[SUPPLIER NOTES]])),"Suministros",IF(PL[[#This Row],[SC]]="SOCIAL","Social",IF(ISNUMBER(SEARCH("monolito",PL[[#This Row],[DESCRIPTION]])),"Monolitos","Varios")))))</f>
        <v>Cerrados IUP</v>
      </c>
      <c r="Q8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3" spans="1:17" s="157" customFormat="1" hidden="1" x14ac:dyDescent="0.2">
      <c r="A823" s="151" t="s">
        <v>2515</v>
      </c>
      <c r="B823" s="154" t="s">
        <v>8</v>
      </c>
      <c r="C823" s="154">
        <v>9</v>
      </c>
      <c r="D823" s="153" t="s">
        <v>3382</v>
      </c>
      <c r="E823" s="154" t="s">
        <v>2516</v>
      </c>
      <c r="F823" s="154" t="s">
        <v>2517</v>
      </c>
      <c r="G823" s="154" t="s">
        <v>128</v>
      </c>
      <c r="H823" s="154" t="s">
        <v>163</v>
      </c>
      <c r="I823" s="154" t="s">
        <v>163</v>
      </c>
      <c r="J823" s="154" t="s">
        <v>74</v>
      </c>
      <c r="K823" s="154" t="s">
        <v>3394</v>
      </c>
      <c r="L823" s="161">
        <v>46210</v>
      </c>
      <c r="M823" s="160">
        <v>46210</v>
      </c>
      <c r="N823" s="154" t="str">
        <f>IF(ISNUMBER(PL[[#This Row],[CTO]]),"CTO "&amp;PL[[#This Row],[CTO]],"Otros")</f>
        <v>CTO 9</v>
      </c>
      <c r="O823" s="154" t="str">
        <f>IF(PL[[#This Row],[STATUS IUP]]="CERRADO","CERRADO",IF(ISNUMBER(SEARCH("validacion de enel",PL[[#This Row],[SUPPLIER NOTES]])),"PTE Validar Enel","ABIERTO"))</f>
        <v>CERRADO</v>
      </c>
      <c r="P823" s="154" t="str">
        <f>IF(PL[[#This Row],[ESTADO]]="CERRADO","Cerrados IUP",IF(PL[[#This Row],[ESTADO]]="PTE Validar Enel","Pendiente cierre ENEL",IF(ISNUMBER(SEARCH("suministro",PL[[#This Row],[SUPPLIER NOTES]])),"Suministros",IF(PL[[#This Row],[SC]]="SOCIAL","Social",IF(ISNUMBER(SEARCH("monolito",PL[[#This Row],[DESCRIPTION]])),"Monolitos","Varios")))))</f>
        <v>Cerrados IUP</v>
      </c>
      <c r="Q8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4" spans="1:17" s="157" customFormat="1" hidden="1" x14ac:dyDescent="0.2">
      <c r="A824" s="151" t="s">
        <v>2253</v>
      </c>
      <c r="B824" s="154" t="s">
        <v>8</v>
      </c>
      <c r="C824" s="154">
        <v>9</v>
      </c>
      <c r="D824" s="153" t="s">
        <v>3382</v>
      </c>
      <c r="E824" s="154" t="s">
        <v>2254</v>
      </c>
      <c r="F824" s="154" t="s">
        <v>2255</v>
      </c>
      <c r="G824" s="154" t="s">
        <v>128</v>
      </c>
      <c r="H824" s="154" t="s">
        <v>163</v>
      </c>
      <c r="I824" s="154" t="s">
        <v>163</v>
      </c>
      <c r="J824" s="154" t="s">
        <v>74</v>
      </c>
      <c r="K824" s="154" t="s">
        <v>3394</v>
      </c>
      <c r="L824" s="161">
        <v>46210</v>
      </c>
      <c r="M824" s="160">
        <v>46210</v>
      </c>
      <c r="N824" s="154" t="str">
        <f>IF(ISNUMBER(PL[[#This Row],[CTO]]),"CTO "&amp;PL[[#This Row],[CTO]],"Otros")</f>
        <v>CTO 9</v>
      </c>
      <c r="O824" s="154" t="str">
        <f>IF(PL[[#This Row],[STATUS IUP]]="CERRADO","CERRADO",IF(ISNUMBER(SEARCH("validacion de enel",PL[[#This Row],[SUPPLIER NOTES]])),"PTE Validar Enel","ABIERTO"))</f>
        <v>CERRADO</v>
      </c>
      <c r="P824" s="154" t="str">
        <f>IF(PL[[#This Row],[ESTADO]]="CERRADO","Cerrados IUP",IF(PL[[#This Row],[ESTADO]]="PTE Validar Enel","Pendiente cierre ENEL",IF(ISNUMBER(SEARCH("suministro",PL[[#This Row],[SUPPLIER NOTES]])),"Suministros",IF(PL[[#This Row],[SC]]="SOCIAL","Social",IF(ISNUMBER(SEARCH("monolito",PL[[#This Row],[DESCRIPTION]])),"Monolitos","Varios")))))</f>
        <v>Cerrados IUP</v>
      </c>
      <c r="Q8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5" spans="1:17" s="157" customFormat="1" hidden="1" x14ac:dyDescent="0.2">
      <c r="A825" s="151" t="s">
        <v>2250</v>
      </c>
      <c r="B825" s="154" t="s">
        <v>8</v>
      </c>
      <c r="C825" s="154">
        <v>9</v>
      </c>
      <c r="D825" s="153" t="s">
        <v>3382</v>
      </c>
      <c r="E825" s="154" t="s">
        <v>2251</v>
      </c>
      <c r="F825" s="154" t="s">
        <v>2252</v>
      </c>
      <c r="G825" s="154" t="s">
        <v>128</v>
      </c>
      <c r="H825" s="154" t="s">
        <v>163</v>
      </c>
      <c r="I825" s="154" t="s">
        <v>163</v>
      </c>
      <c r="J825" s="154" t="s">
        <v>74</v>
      </c>
      <c r="K825" s="154" t="s">
        <v>3394</v>
      </c>
      <c r="L825" s="161">
        <v>46174</v>
      </c>
      <c r="M825" s="160">
        <v>46174</v>
      </c>
      <c r="N825" s="154" t="str">
        <f>IF(ISNUMBER(PL[[#This Row],[CTO]]),"CTO "&amp;PL[[#This Row],[CTO]],"Otros")</f>
        <v>CTO 9</v>
      </c>
      <c r="O825" s="154" t="str">
        <f>IF(PL[[#This Row],[STATUS IUP]]="CERRADO","CERRADO",IF(ISNUMBER(SEARCH("validacion de enel",PL[[#This Row],[SUPPLIER NOTES]])),"PTE Validar Enel","ABIERTO"))</f>
        <v>CERRADO</v>
      </c>
      <c r="P825" s="154" t="str">
        <f>IF(PL[[#This Row],[ESTADO]]="CERRADO","Cerrados IUP",IF(PL[[#This Row],[ESTADO]]="PTE Validar Enel","Pendiente cierre ENEL",IF(ISNUMBER(SEARCH("suministro",PL[[#This Row],[SUPPLIER NOTES]])),"Suministros",IF(PL[[#This Row],[SC]]="SOCIAL","Social",IF(ISNUMBER(SEARCH("monolito",PL[[#This Row],[DESCRIPTION]])),"Monolitos","Varios")))))</f>
        <v>Cerrados IUP</v>
      </c>
      <c r="Q8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6" spans="1:17" s="157" customFormat="1" hidden="1" x14ac:dyDescent="0.2">
      <c r="A826" s="151" t="s">
        <v>2831</v>
      </c>
      <c r="B826" s="154" t="s">
        <v>8</v>
      </c>
      <c r="C826" s="154">
        <v>9</v>
      </c>
      <c r="D826" s="153" t="s">
        <v>3382</v>
      </c>
      <c r="E826" s="154" t="s">
        <v>2832</v>
      </c>
      <c r="F826" s="154" t="s">
        <v>2833</v>
      </c>
      <c r="G826" s="154" t="s">
        <v>128</v>
      </c>
      <c r="H826" s="154" t="s">
        <v>163</v>
      </c>
      <c r="I826" s="154" t="s">
        <v>163</v>
      </c>
      <c r="J826" s="154" t="s">
        <v>74</v>
      </c>
      <c r="K826" s="154" t="s">
        <v>3394</v>
      </c>
      <c r="L826" s="161">
        <v>46174</v>
      </c>
      <c r="M826" s="160">
        <v>46174</v>
      </c>
      <c r="N826" s="154" t="str">
        <f>IF(ISNUMBER(PL[[#This Row],[CTO]]),"CTO "&amp;PL[[#This Row],[CTO]],"Otros")</f>
        <v>CTO 9</v>
      </c>
      <c r="O826" s="154" t="str">
        <f>IF(PL[[#This Row],[STATUS IUP]]="CERRADO","CERRADO",IF(ISNUMBER(SEARCH("validacion de enel",PL[[#This Row],[SUPPLIER NOTES]])),"PTE Validar Enel","ABIERTO"))</f>
        <v>CERRADO</v>
      </c>
      <c r="P826" s="154" t="str">
        <f>IF(PL[[#This Row],[ESTADO]]="CERRADO","Cerrados IUP",IF(PL[[#This Row],[ESTADO]]="PTE Validar Enel","Pendiente cierre ENEL",IF(ISNUMBER(SEARCH("suministro",PL[[#This Row],[SUPPLIER NOTES]])),"Suministros",IF(PL[[#This Row],[SC]]="SOCIAL","Social",IF(ISNUMBER(SEARCH("monolito",PL[[#This Row],[DESCRIPTION]])),"Monolitos","Varios")))))</f>
        <v>Cerrados IUP</v>
      </c>
      <c r="Q8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7" spans="1:17" s="157" customFormat="1" hidden="1" x14ac:dyDescent="0.2">
      <c r="A827" s="151" t="s">
        <v>2928</v>
      </c>
      <c r="B827" s="154" t="s">
        <v>8</v>
      </c>
      <c r="C827" s="154">
        <v>9</v>
      </c>
      <c r="D827" s="153" t="s">
        <v>3382</v>
      </c>
      <c r="E827" s="154" t="s">
        <v>2929</v>
      </c>
      <c r="F827" s="154" t="s">
        <v>2930</v>
      </c>
      <c r="G827" s="154" t="s">
        <v>128</v>
      </c>
      <c r="H827" s="154" t="s">
        <v>163</v>
      </c>
      <c r="I827" s="154" t="s">
        <v>163</v>
      </c>
      <c r="J827" s="154" t="s">
        <v>74</v>
      </c>
      <c r="K827" s="154" t="s">
        <v>3394</v>
      </c>
      <c r="L827" s="161">
        <v>46174</v>
      </c>
      <c r="M827" s="160">
        <v>46174</v>
      </c>
      <c r="N827" s="154" t="str">
        <f>IF(ISNUMBER(PL[[#This Row],[CTO]]),"CTO "&amp;PL[[#This Row],[CTO]],"Otros")</f>
        <v>CTO 9</v>
      </c>
      <c r="O827" s="154" t="str">
        <f>IF(PL[[#This Row],[STATUS IUP]]="CERRADO","CERRADO",IF(ISNUMBER(SEARCH("validacion de enel",PL[[#This Row],[SUPPLIER NOTES]])),"PTE Validar Enel","ABIERTO"))</f>
        <v>CERRADO</v>
      </c>
      <c r="P827" s="154" t="str">
        <f>IF(PL[[#This Row],[ESTADO]]="CERRADO","Cerrados IUP",IF(PL[[#This Row],[ESTADO]]="PTE Validar Enel","Pendiente cierre ENEL",IF(ISNUMBER(SEARCH("suministro",PL[[#This Row],[SUPPLIER NOTES]])),"Suministros",IF(PL[[#This Row],[SC]]="SOCIAL","Social",IF(ISNUMBER(SEARCH("monolito",PL[[#This Row],[DESCRIPTION]])),"Monolitos","Varios")))))</f>
        <v>Cerrados IUP</v>
      </c>
      <c r="Q8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8" spans="1:17" s="157" customFormat="1" hidden="1" x14ac:dyDescent="0.2">
      <c r="A828" s="151" t="s">
        <v>1744</v>
      </c>
      <c r="B828" s="154" t="s">
        <v>8</v>
      </c>
      <c r="C828" s="154">
        <v>9</v>
      </c>
      <c r="D828" s="153" t="s">
        <v>3382</v>
      </c>
      <c r="E828" s="154" t="s">
        <v>1745</v>
      </c>
      <c r="F828" s="154" t="s">
        <v>1746</v>
      </c>
      <c r="G828" s="154" t="s">
        <v>128</v>
      </c>
      <c r="H828" s="154" t="s">
        <v>163</v>
      </c>
      <c r="I828" s="154" t="s">
        <v>163</v>
      </c>
      <c r="J828" s="154" t="s">
        <v>74</v>
      </c>
      <c r="K828" s="154" t="s">
        <v>3394</v>
      </c>
      <c r="L828" s="161">
        <v>46174</v>
      </c>
      <c r="M828" s="160">
        <v>46174</v>
      </c>
      <c r="N828" s="154" t="str">
        <f>IF(ISNUMBER(PL[[#This Row],[CTO]]),"CTO "&amp;PL[[#This Row],[CTO]],"Otros")</f>
        <v>CTO 9</v>
      </c>
      <c r="O828" s="154" t="str">
        <f>IF(PL[[#This Row],[STATUS IUP]]="CERRADO","CERRADO",IF(ISNUMBER(SEARCH("validacion de enel",PL[[#This Row],[SUPPLIER NOTES]])),"PTE Validar Enel","ABIERTO"))</f>
        <v>CERRADO</v>
      </c>
      <c r="P828" s="154" t="str">
        <f>IF(PL[[#This Row],[ESTADO]]="CERRADO","Cerrados IUP",IF(PL[[#This Row],[ESTADO]]="PTE Validar Enel","Pendiente cierre ENEL",IF(ISNUMBER(SEARCH("suministro",PL[[#This Row],[SUPPLIER NOTES]])),"Suministros",IF(PL[[#This Row],[SC]]="SOCIAL","Social",IF(ISNUMBER(SEARCH("monolito",PL[[#This Row],[DESCRIPTION]])),"Monolitos","Varios")))))</f>
        <v>Cerrados IUP</v>
      </c>
      <c r="Q8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29" spans="1:17" s="157" customFormat="1" hidden="1" x14ac:dyDescent="0.2">
      <c r="A829" s="151" t="s">
        <v>2884</v>
      </c>
      <c r="B829" s="154" t="s">
        <v>8</v>
      </c>
      <c r="C829" s="154">
        <v>9</v>
      </c>
      <c r="D829" s="153" t="s">
        <v>3382</v>
      </c>
      <c r="E829" s="154" t="s">
        <v>2885</v>
      </c>
      <c r="F829" s="154" t="s">
        <v>2886</v>
      </c>
      <c r="G829" s="154" t="s">
        <v>128</v>
      </c>
      <c r="H829" s="154" t="s">
        <v>163</v>
      </c>
      <c r="I829" s="154" t="s">
        <v>163</v>
      </c>
      <c r="J829" s="154" t="s">
        <v>74</v>
      </c>
      <c r="K829" s="154" t="s">
        <v>3394</v>
      </c>
      <c r="L829" s="161">
        <v>46174</v>
      </c>
      <c r="M829" s="160">
        <v>46174</v>
      </c>
      <c r="N829" s="154" t="str">
        <f>IF(ISNUMBER(PL[[#This Row],[CTO]]),"CTO "&amp;PL[[#This Row],[CTO]],"Otros")</f>
        <v>CTO 9</v>
      </c>
      <c r="O829" s="154" t="str">
        <f>IF(PL[[#This Row],[STATUS IUP]]="CERRADO","CERRADO",IF(ISNUMBER(SEARCH("validacion de enel",PL[[#This Row],[SUPPLIER NOTES]])),"PTE Validar Enel","ABIERTO"))</f>
        <v>CERRADO</v>
      </c>
      <c r="P829" s="154" t="str">
        <f>IF(PL[[#This Row],[ESTADO]]="CERRADO","Cerrados IUP",IF(PL[[#This Row],[ESTADO]]="PTE Validar Enel","Pendiente cierre ENEL",IF(ISNUMBER(SEARCH("suministro",PL[[#This Row],[SUPPLIER NOTES]])),"Suministros",IF(PL[[#This Row],[SC]]="SOCIAL","Social",IF(ISNUMBER(SEARCH("monolito",PL[[#This Row],[DESCRIPTION]])),"Monolitos","Varios")))))</f>
        <v>Cerrados IUP</v>
      </c>
      <c r="Q8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0" spans="1:17" s="157" customFormat="1" hidden="1" x14ac:dyDescent="0.2">
      <c r="A830" s="151" t="s">
        <v>2358</v>
      </c>
      <c r="B830" s="154" t="s">
        <v>8</v>
      </c>
      <c r="C830" s="154">
        <v>9</v>
      </c>
      <c r="D830" s="153" t="s">
        <v>3382</v>
      </c>
      <c r="E830" s="154" t="s">
        <v>2359</v>
      </c>
      <c r="F830" s="154" t="s">
        <v>2360</v>
      </c>
      <c r="G830" s="154" t="s">
        <v>128</v>
      </c>
      <c r="H830" s="154" t="s">
        <v>163</v>
      </c>
      <c r="I830" s="154" t="s">
        <v>163</v>
      </c>
      <c r="J830" s="154" t="s">
        <v>74</v>
      </c>
      <c r="K830" s="154" t="s">
        <v>3394</v>
      </c>
      <c r="L830" s="161">
        <v>46174</v>
      </c>
      <c r="M830" s="160">
        <v>46174</v>
      </c>
      <c r="N830" s="154" t="str">
        <f>IF(ISNUMBER(PL[[#This Row],[CTO]]),"CTO "&amp;PL[[#This Row],[CTO]],"Otros")</f>
        <v>CTO 9</v>
      </c>
      <c r="O830" s="154" t="str">
        <f>IF(PL[[#This Row],[STATUS IUP]]="CERRADO","CERRADO",IF(ISNUMBER(SEARCH("validacion de enel",PL[[#This Row],[SUPPLIER NOTES]])),"PTE Validar Enel","ABIERTO"))</f>
        <v>CERRADO</v>
      </c>
      <c r="P830" s="154" t="str">
        <f>IF(PL[[#This Row],[ESTADO]]="CERRADO","Cerrados IUP",IF(PL[[#This Row],[ESTADO]]="PTE Validar Enel","Pendiente cierre ENEL",IF(ISNUMBER(SEARCH("suministro",PL[[#This Row],[SUPPLIER NOTES]])),"Suministros",IF(PL[[#This Row],[SC]]="SOCIAL","Social",IF(ISNUMBER(SEARCH("monolito",PL[[#This Row],[DESCRIPTION]])),"Monolitos","Varios")))))</f>
        <v>Cerrados IUP</v>
      </c>
      <c r="Q8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1" spans="1:17" s="157" customFormat="1" hidden="1" x14ac:dyDescent="0.2">
      <c r="A831" s="151" t="s">
        <v>1740</v>
      </c>
      <c r="B831" s="154" t="s">
        <v>8</v>
      </c>
      <c r="C831" s="154">
        <v>9</v>
      </c>
      <c r="D831" s="153" t="s">
        <v>3382</v>
      </c>
      <c r="E831" s="154" t="s">
        <v>1741</v>
      </c>
      <c r="F831" s="154" t="s">
        <v>1742</v>
      </c>
      <c r="G831" s="154" t="s">
        <v>128</v>
      </c>
      <c r="H831" s="154" t="s">
        <v>1743</v>
      </c>
      <c r="I831" s="154" t="s">
        <v>1743</v>
      </c>
      <c r="J831" s="154" t="s">
        <v>74</v>
      </c>
      <c r="K831" s="154" t="s">
        <v>3394</v>
      </c>
      <c r="L831" s="161">
        <v>46210</v>
      </c>
      <c r="M831" s="160">
        <v>46210</v>
      </c>
      <c r="N831" s="154" t="str">
        <f>IF(ISNUMBER(PL[[#This Row],[CTO]]),"CTO "&amp;PL[[#This Row],[CTO]],"Otros")</f>
        <v>CTO 9</v>
      </c>
      <c r="O831" s="154" t="str">
        <f>IF(PL[[#This Row],[STATUS IUP]]="CERRADO","CERRADO",IF(ISNUMBER(SEARCH("validacion de enel",PL[[#This Row],[SUPPLIER NOTES]])),"PTE Validar Enel","ABIERTO"))</f>
        <v>CERRADO</v>
      </c>
      <c r="P831" s="154" t="str">
        <f>IF(PL[[#This Row],[ESTADO]]="CERRADO","Cerrados IUP",IF(PL[[#This Row],[ESTADO]]="PTE Validar Enel","Pendiente cierre ENEL",IF(ISNUMBER(SEARCH("suministro",PL[[#This Row],[SUPPLIER NOTES]])),"Suministros",IF(PL[[#This Row],[SC]]="SOCIAL","Social",IF(ISNUMBER(SEARCH("monolito",PL[[#This Row],[DESCRIPTION]])),"Monolitos","Varios")))))</f>
        <v>Cerrados IUP</v>
      </c>
      <c r="Q8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2" spans="1:17" s="157" customFormat="1" hidden="1" x14ac:dyDescent="0.2">
      <c r="A832" s="151" t="s">
        <v>2247</v>
      </c>
      <c r="B832" s="154" t="s">
        <v>8</v>
      </c>
      <c r="C832" s="154">
        <v>9</v>
      </c>
      <c r="D832" s="153" t="s">
        <v>3382</v>
      </c>
      <c r="E832" s="154" t="s">
        <v>2248</v>
      </c>
      <c r="F832" s="154" t="s">
        <v>2249</v>
      </c>
      <c r="G832" s="154" t="s">
        <v>128</v>
      </c>
      <c r="H832" s="154" t="s">
        <v>163</v>
      </c>
      <c r="I832" s="154" t="s">
        <v>163</v>
      </c>
      <c r="J832" s="154" t="s">
        <v>74</v>
      </c>
      <c r="K832" s="154" t="s">
        <v>3394</v>
      </c>
      <c r="L832" s="161">
        <v>46174</v>
      </c>
      <c r="M832" s="160">
        <v>46174</v>
      </c>
      <c r="N832" s="154" t="str">
        <f>IF(ISNUMBER(PL[[#This Row],[CTO]]),"CTO "&amp;PL[[#This Row],[CTO]],"Otros")</f>
        <v>CTO 9</v>
      </c>
      <c r="O832" s="154" t="str">
        <f>IF(PL[[#This Row],[STATUS IUP]]="CERRADO","CERRADO",IF(ISNUMBER(SEARCH("validacion de enel",PL[[#This Row],[SUPPLIER NOTES]])),"PTE Validar Enel","ABIERTO"))</f>
        <v>CERRADO</v>
      </c>
      <c r="P832" s="154" t="str">
        <f>IF(PL[[#This Row],[ESTADO]]="CERRADO","Cerrados IUP",IF(PL[[#This Row],[ESTADO]]="PTE Validar Enel","Pendiente cierre ENEL",IF(ISNUMBER(SEARCH("suministro",PL[[#This Row],[SUPPLIER NOTES]])),"Suministros",IF(PL[[#This Row],[SC]]="SOCIAL","Social",IF(ISNUMBER(SEARCH("monolito",PL[[#This Row],[DESCRIPTION]])),"Monolitos","Varios")))))</f>
        <v>Cerrados IUP</v>
      </c>
      <c r="Q8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3" spans="1:17" s="157" customFormat="1" hidden="1" x14ac:dyDescent="0.2">
      <c r="A833" s="151" t="s">
        <v>2225</v>
      </c>
      <c r="B833" s="154" t="s">
        <v>8</v>
      </c>
      <c r="C833" s="154">
        <v>9</v>
      </c>
      <c r="D833" s="153" t="s">
        <v>3382</v>
      </c>
      <c r="E833" s="154" t="s">
        <v>2226</v>
      </c>
      <c r="F833" s="154" t="s">
        <v>2227</v>
      </c>
      <c r="G833" s="154" t="s">
        <v>128</v>
      </c>
      <c r="H833" s="154" t="s">
        <v>163</v>
      </c>
      <c r="I833" s="154" t="s">
        <v>163</v>
      </c>
      <c r="J833" s="154" t="s">
        <v>74</v>
      </c>
      <c r="K833" s="154" t="s">
        <v>3394</v>
      </c>
      <c r="L833" s="161">
        <v>46174</v>
      </c>
      <c r="M833" s="160">
        <v>46174</v>
      </c>
      <c r="N833" s="154" t="str">
        <f>IF(ISNUMBER(PL[[#This Row],[CTO]]),"CTO "&amp;PL[[#This Row],[CTO]],"Otros")</f>
        <v>CTO 9</v>
      </c>
      <c r="O833" s="154" t="str">
        <f>IF(PL[[#This Row],[STATUS IUP]]="CERRADO","CERRADO",IF(ISNUMBER(SEARCH("validacion de enel",PL[[#This Row],[SUPPLIER NOTES]])),"PTE Validar Enel","ABIERTO"))</f>
        <v>CERRADO</v>
      </c>
      <c r="P833" s="154" t="str">
        <f>IF(PL[[#This Row],[ESTADO]]="CERRADO","Cerrados IUP",IF(PL[[#This Row],[ESTADO]]="PTE Validar Enel","Pendiente cierre ENEL",IF(ISNUMBER(SEARCH("suministro",PL[[#This Row],[SUPPLIER NOTES]])),"Suministros",IF(PL[[#This Row],[SC]]="SOCIAL","Social",IF(ISNUMBER(SEARCH("monolito",PL[[#This Row],[DESCRIPTION]])),"Monolitos","Varios")))))</f>
        <v>Cerrados IUP</v>
      </c>
      <c r="Q8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4" spans="1:17" s="157" customFormat="1" hidden="1" x14ac:dyDescent="0.2">
      <c r="A834" s="151" t="s">
        <v>1936</v>
      </c>
      <c r="B834" s="154" t="s">
        <v>8</v>
      </c>
      <c r="C834" s="154">
        <v>9</v>
      </c>
      <c r="D834" s="153" t="s">
        <v>3382</v>
      </c>
      <c r="E834" s="154" t="s">
        <v>1937</v>
      </c>
      <c r="F834" s="154" t="s">
        <v>1938</v>
      </c>
      <c r="G834" s="154" t="s">
        <v>128</v>
      </c>
      <c r="H834" s="154" t="s">
        <v>163</v>
      </c>
      <c r="I834" s="154" t="s">
        <v>163</v>
      </c>
      <c r="J834" s="154" t="s">
        <v>74</v>
      </c>
      <c r="K834" s="154" t="s">
        <v>3394</v>
      </c>
      <c r="L834" s="161">
        <v>46174</v>
      </c>
      <c r="M834" s="160">
        <v>46174</v>
      </c>
      <c r="N834" s="154" t="str">
        <f>IF(ISNUMBER(PL[[#This Row],[CTO]]),"CTO "&amp;PL[[#This Row],[CTO]],"Otros")</f>
        <v>CTO 9</v>
      </c>
      <c r="O834" s="154" t="str">
        <f>IF(PL[[#This Row],[STATUS IUP]]="CERRADO","CERRADO",IF(ISNUMBER(SEARCH("validacion de enel",PL[[#This Row],[SUPPLIER NOTES]])),"PTE Validar Enel","ABIERTO"))</f>
        <v>CERRADO</v>
      </c>
      <c r="P834" s="154" t="str">
        <f>IF(PL[[#This Row],[ESTADO]]="CERRADO","Cerrados IUP",IF(PL[[#This Row],[ESTADO]]="PTE Validar Enel","Pendiente cierre ENEL",IF(ISNUMBER(SEARCH("suministro",PL[[#This Row],[SUPPLIER NOTES]])),"Suministros",IF(PL[[#This Row],[SC]]="SOCIAL","Social",IF(ISNUMBER(SEARCH("monolito",PL[[#This Row],[DESCRIPTION]])),"Monolitos","Varios")))))</f>
        <v>Cerrados IUP</v>
      </c>
      <c r="Q8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5" spans="1:17" s="157" customFormat="1" hidden="1" x14ac:dyDescent="0.2">
      <c r="A835" s="151" t="s">
        <v>2285</v>
      </c>
      <c r="B835" s="154" t="s">
        <v>8</v>
      </c>
      <c r="C835" s="154">
        <v>9</v>
      </c>
      <c r="D835" s="153" t="s">
        <v>3382</v>
      </c>
      <c r="E835" s="154" t="s">
        <v>2286</v>
      </c>
      <c r="F835" s="154" t="s">
        <v>2287</v>
      </c>
      <c r="G835" s="154" t="s">
        <v>128</v>
      </c>
      <c r="H835" s="154" t="s">
        <v>2288</v>
      </c>
      <c r="I835" s="154" t="s">
        <v>1520</v>
      </c>
      <c r="J835" s="154" t="s">
        <v>74</v>
      </c>
      <c r="K835" s="154" t="s">
        <v>3394</v>
      </c>
      <c r="L835" s="161">
        <v>46154</v>
      </c>
      <c r="M835" s="160">
        <v>46153</v>
      </c>
      <c r="N835" s="154" t="str">
        <f>IF(ISNUMBER(PL[[#This Row],[CTO]]),"CTO "&amp;PL[[#This Row],[CTO]],"Otros")</f>
        <v>CTO 9</v>
      </c>
      <c r="O835" s="154" t="str">
        <f>IF(PL[[#This Row],[STATUS IUP]]="CERRADO","CERRADO",IF(ISNUMBER(SEARCH("validacion de enel",PL[[#This Row],[SUPPLIER NOTES]])),"PTE Validar Enel","ABIERTO"))</f>
        <v>CERRADO</v>
      </c>
      <c r="P835" s="154" t="str">
        <f>IF(PL[[#This Row],[ESTADO]]="CERRADO","Cerrados IUP",IF(PL[[#This Row],[ESTADO]]="PTE Validar Enel","Pendiente cierre ENEL",IF(ISNUMBER(SEARCH("suministro",PL[[#This Row],[SUPPLIER NOTES]])),"Suministros",IF(PL[[#This Row],[SC]]="SOCIAL","Social",IF(ISNUMBER(SEARCH("monolito",PL[[#This Row],[DESCRIPTION]])),"Monolitos","Varios")))))</f>
        <v>Cerrados IUP</v>
      </c>
      <c r="Q8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6" spans="1:17" s="157" customFormat="1" hidden="1" x14ac:dyDescent="0.2">
      <c r="A836" s="151" t="s">
        <v>2893</v>
      </c>
      <c r="B836" s="154" t="s">
        <v>1314</v>
      </c>
      <c r="C836" s="154">
        <v>9</v>
      </c>
      <c r="D836" s="153" t="s">
        <v>3382</v>
      </c>
      <c r="E836" s="154" t="s">
        <v>2894</v>
      </c>
      <c r="F836" s="154" t="s">
        <v>2895</v>
      </c>
      <c r="G836" s="154" t="s">
        <v>216</v>
      </c>
      <c r="H836" s="154" t="s">
        <v>1632</v>
      </c>
      <c r="I836" s="154" t="s">
        <v>2371</v>
      </c>
      <c r="J836" s="154" t="s">
        <v>74</v>
      </c>
      <c r="K836" s="154" t="s">
        <v>3394</v>
      </c>
      <c r="L836" s="161">
        <v>46168</v>
      </c>
      <c r="M836" s="160">
        <v>46168</v>
      </c>
      <c r="N836" s="154" t="str">
        <f>IF(ISNUMBER(PL[[#This Row],[CTO]]),"CTO "&amp;PL[[#This Row],[CTO]],"Otros")</f>
        <v>CTO 9</v>
      </c>
      <c r="O836" s="154" t="str">
        <f>IF(PL[[#This Row],[STATUS IUP]]="CERRADO","CERRADO",IF(ISNUMBER(SEARCH("validacion de enel",PL[[#This Row],[SUPPLIER NOTES]])),"PTE Validar Enel","ABIERTO"))</f>
        <v>CERRADO</v>
      </c>
      <c r="P836" s="154" t="str">
        <f>IF(PL[[#This Row],[ESTADO]]="CERRADO","Cerrados IUP",IF(PL[[#This Row],[ESTADO]]="PTE Validar Enel","Pendiente cierre ENEL",IF(ISNUMBER(SEARCH("suministro",PL[[#This Row],[SUPPLIER NOTES]])),"Suministros",IF(PL[[#This Row],[SC]]="SOCIAL","Social",IF(ISNUMBER(SEARCH("monolito",PL[[#This Row],[DESCRIPTION]])),"Monolitos","Varios")))))</f>
        <v>Cerrados IUP</v>
      </c>
      <c r="Q8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7" spans="1:17" s="157" customFormat="1" hidden="1" x14ac:dyDescent="0.2">
      <c r="A837" s="151" t="s">
        <v>2154</v>
      </c>
      <c r="B837" s="154" t="s">
        <v>1314</v>
      </c>
      <c r="C837" s="154">
        <v>9</v>
      </c>
      <c r="D837" s="153" t="s">
        <v>3382</v>
      </c>
      <c r="E837" s="154" t="s">
        <v>2155</v>
      </c>
      <c r="F837" s="154" t="s">
        <v>2156</v>
      </c>
      <c r="G837" s="154" t="s">
        <v>216</v>
      </c>
      <c r="H837" s="154" t="s">
        <v>2157</v>
      </c>
      <c r="I837" s="154" t="s">
        <v>1633</v>
      </c>
      <c r="J837" s="154" t="s">
        <v>74</v>
      </c>
      <c r="K837" s="154" t="s">
        <v>3394</v>
      </c>
      <c r="L837" s="161">
        <v>46168</v>
      </c>
      <c r="M837" s="160">
        <v>46168</v>
      </c>
      <c r="N837" s="154" t="str">
        <f>IF(ISNUMBER(PL[[#This Row],[CTO]]),"CTO "&amp;PL[[#This Row],[CTO]],"Otros")</f>
        <v>CTO 9</v>
      </c>
      <c r="O837" s="154" t="str">
        <f>IF(PL[[#This Row],[STATUS IUP]]="CERRADO","CERRADO",IF(ISNUMBER(SEARCH("validacion de enel",PL[[#This Row],[SUPPLIER NOTES]])),"PTE Validar Enel","ABIERTO"))</f>
        <v>CERRADO</v>
      </c>
      <c r="P837" s="154" t="str">
        <f>IF(PL[[#This Row],[ESTADO]]="CERRADO","Cerrados IUP",IF(PL[[#This Row],[ESTADO]]="PTE Validar Enel","Pendiente cierre ENEL",IF(ISNUMBER(SEARCH("suministro",PL[[#This Row],[SUPPLIER NOTES]])),"Suministros",IF(PL[[#This Row],[SC]]="SOCIAL","Social",IF(ISNUMBER(SEARCH("monolito",PL[[#This Row],[DESCRIPTION]])),"Monolitos","Varios")))))</f>
        <v>Cerrados IUP</v>
      </c>
      <c r="Q8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8" spans="1:17" s="157" customFormat="1" hidden="1" x14ac:dyDescent="0.2">
      <c r="A838" s="151" t="s">
        <v>1629</v>
      </c>
      <c r="B838" s="154" t="s">
        <v>1314</v>
      </c>
      <c r="C838" s="154">
        <v>9</v>
      </c>
      <c r="D838" s="153" t="s">
        <v>3382</v>
      </c>
      <c r="E838" s="154" t="s">
        <v>1630</v>
      </c>
      <c r="F838" s="154" t="s">
        <v>1631</v>
      </c>
      <c r="G838" s="154" t="s">
        <v>216</v>
      </c>
      <c r="H838" s="154" t="s">
        <v>1632</v>
      </c>
      <c r="I838" s="154" t="s">
        <v>1633</v>
      </c>
      <c r="J838" s="154" t="s">
        <v>74</v>
      </c>
      <c r="K838" s="154" t="s">
        <v>3394</v>
      </c>
      <c r="L838" s="161">
        <v>46168</v>
      </c>
      <c r="M838" s="160">
        <v>46168</v>
      </c>
      <c r="N838" s="154" t="str">
        <f>IF(ISNUMBER(PL[[#This Row],[CTO]]),"CTO "&amp;PL[[#This Row],[CTO]],"Otros")</f>
        <v>CTO 9</v>
      </c>
      <c r="O838" s="154" t="str">
        <f>IF(PL[[#This Row],[STATUS IUP]]="CERRADO","CERRADO",IF(ISNUMBER(SEARCH("validacion de enel",PL[[#This Row],[SUPPLIER NOTES]])),"PTE Validar Enel","ABIERTO"))</f>
        <v>CERRADO</v>
      </c>
      <c r="P838" s="154" t="str">
        <f>IF(PL[[#This Row],[ESTADO]]="CERRADO","Cerrados IUP",IF(PL[[#This Row],[ESTADO]]="PTE Validar Enel","Pendiente cierre ENEL",IF(ISNUMBER(SEARCH("suministro",PL[[#This Row],[SUPPLIER NOTES]])),"Suministros",IF(PL[[#This Row],[SC]]="SOCIAL","Social",IF(ISNUMBER(SEARCH("monolito",PL[[#This Row],[DESCRIPTION]])),"Monolitos","Varios")))))</f>
        <v>Cerrados IUP</v>
      </c>
      <c r="Q8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39" spans="1:17" s="157" customFormat="1" hidden="1" x14ac:dyDescent="0.2">
      <c r="A839" s="151" t="s">
        <v>2561</v>
      </c>
      <c r="B839" s="154" t="s">
        <v>290</v>
      </c>
      <c r="C839" s="154">
        <v>9</v>
      </c>
      <c r="D839" s="153" t="s">
        <v>3382</v>
      </c>
      <c r="E839" s="154" t="s">
        <v>2562</v>
      </c>
      <c r="F839" s="154" t="s">
        <v>1532</v>
      </c>
      <c r="G839" s="154" t="s">
        <v>1289</v>
      </c>
      <c r="H839" s="154"/>
      <c r="I839" s="154"/>
      <c r="J839" s="154" t="s">
        <v>74</v>
      </c>
      <c r="K839" s="154" t="s">
        <v>3394</v>
      </c>
      <c r="L839" s="154"/>
      <c r="M839" s="156"/>
      <c r="N839" s="154" t="str">
        <f>IF(ISNUMBER(PL[[#This Row],[CTO]]),"CTO "&amp;PL[[#This Row],[CTO]],"Otros")</f>
        <v>CTO 9</v>
      </c>
      <c r="O839" s="154" t="str">
        <f>IF(PL[[#This Row],[STATUS IUP]]="CERRADO","CERRADO",IF(ISNUMBER(SEARCH("validacion de enel",PL[[#This Row],[SUPPLIER NOTES]])),"PTE Validar Enel","ABIERTO"))</f>
        <v>CERRADO</v>
      </c>
      <c r="P839" s="154" t="str">
        <f>IF(PL[[#This Row],[ESTADO]]="CERRADO","Cerrados IUP",IF(PL[[#This Row],[ESTADO]]="PTE Validar Enel","Pendiente cierre ENEL",IF(ISNUMBER(SEARCH("suministro",PL[[#This Row],[SUPPLIER NOTES]])),"Suministros",IF(PL[[#This Row],[SC]]="SOCIAL","Social",IF(ISNUMBER(SEARCH("monolito",PL[[#This Row],[DESCRIPTION]])),"Monolitos","Varios")))))</f>
        <v>Cerrados IUP</v>
      </c>
      <c r="Q8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0" spans="1:17" s="157" customFormat="1" hidden="1" x14ac:dyDescent="0.2">
      <c r="A840" s="151" t="s">
        <v>2641</v>
      </c>
      <c r="B840" s="154" t="s">
        <v>41</v>
      </c>
      <c r="C840" s="154">
        <v>9</v>
      </c>
      <c r="D840" s="153" t="s">
        <v>3382</v>
      </c>
      <c r="E840" s="154" t="s">
        <v>1575</v>
      </c>
      <c r="F840" s="154" t="s">
        <v>2642</v>
      </c>
      <c r="G840" s="154" t="s">
        <v>49</v>
      </c>
      <c r="H840" s="154"/>
      <c r="I840" s="154" t="s">
        <v>2643</v>
      </c>
      <c r="J840" s="154" t="s">
        <v>74</v>
      </c>
      <c r="K840" s="154" t="s">
        <v>3394</v>
      </c>
      <c r="L840" s="154"/>
      <c r="M840" s="160">
        <v>46139</v>
      </c>
      <c r="N840" s="154" t="str">
        <f>IF(ISNUMBER(PL[[#This Row],[CTO]]),"CTO "&amp;PL[[#This Row],[CTO]],"Otros")</f>
        <v>CTO 9</v>
      </c>
      <c r="O840" s="154" t="str">
        <f>IF(PL[[#This Row],[STATUS IUP]]="CERRADO","CERRADO",IF(ISNUMBER(SEARCH("validacion de enel",PL[[#This Row],[SUPPLIER NOTES]])),"PTE Validar Enel","ABIERTO"))</f>
        <v>CERRADO</v>
      </c>
      <c r="P840" s="154" t="str">
        <f>IF(PL[[#This Row],[ESTADO]]="CERRADO","Cerrados IUP",IF(PL[[#This Row],[ESTADO]]="PTE Validar Enel","Pendiente cierre ENEL",IF(ISNUMBER(SEARCH("suministro",PL[[#This Row],[SUPPLIER NOTES]])),"Suministros",IF(PL[[#This Row],[SC]]="SOCIAL","Social",IF(ISNUMBER(SEARCH("monolito",PL[[#This Row],[DESCRIPTION]])),"Monolitos","Varios")))))</f>
        <v>Cerrados IUP</v>
      </c>
      <c r="Q8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1" spans="1:17" s="157" customFormat="1" hidden="1" x14ac:dyDescent="0.2">
      <c r="A841" s="151" t="s">
        <v>1574</v>
      </c>
      <c r="B841" s="154" t="s">
        <v>41</v>
      </c>
      <c r="C841" s="154">
        <v>9</v>
      </c>
      <c r="D841" s="153" t="s">
        <v>3382</v>
      </c>
      <c r="E841" s="154" t="s">
        <v>1575</v>
      </c>
      <c r="F841" s="154" t="s">
        <v>1576</v>
      </c>
      <c r="G841" s="154" t="s">
        <v>49</v>
      </c>
      <c r="H841" s="154"/>
      <c r="I841" s="154" t="s">
        <v>1578</v>
      </c>
      <c r="J841" s="154" t="s">
        <v>74</v>
      </c>
      <c r="K841" s="154" t="s">
        <v>3394</v>
      </c>
      <c r="L841" s="154"/>
      <c r="M841" s="160">
        <v>46136</v>
      </c>
      <c r="N841" s="154" t="str">
        <f>IF(ISNUMBER(PL[[#This Row],[CTO]]),"CTO "&amp;PL[[#This Row],[CTO]],"Otros")</f>
        <v>CTO 9</v>
      </c>
      <c r="O841" s="154" t="str">
        <f>IF(PL[[#This Row],[STATUS IUP]]="CERRADO","CERRADO",IF(ISNUMBER(SEARCH("validacion de enel",PL[[#This Row],[SUPPLIER NOTES]])),"PTE Validar Enel","ABIERTO"))</f>
        <v>CERRADO</v>
      </c>
      <c r="P841" s="154" t="str">
        <f>IF(PL[[#This Row],[ESTADO]]="CERRADO","Cerrados IUP",IF(PL[[#This Row],[ESTADO]]="PTE Validar Enel","Pendiente cierre ENEL",IF(ISNUMBER(SEARCH("suministro",PL[[#This Row],[SUPPLIER NOTES]])),"Suministros",IF(PL[[#This Row],[SC]]="SOCIAL","Social",IF(ISNUMBER(SEARCH("monolito",PL[[#This Row],[DESCRIPTION]])),"Monolitos","Varios")))))</f>
        <v>Cerrados IUP</v>
      </c>
      <c r="Q8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2" spans="1:17" s="157" customFormat="1" hidden="1" x14ac:dyDescent="0.2">
      <c r="A842" s="151" t="s">
        <v>2931</v>
      </c>
      <c r="B842" s="154" t="s">
        <v>41</v>
      </c>
      <c r="C842" s="154">
        <v>9</v>
      </c>
      <c r="D842" s="153" t="s">
        <v>3382</v>
      </c>
      <c r="E842" s="154" t="s">
        <v>1575</v>
      </c>
      <c r="F842" s="154" t="s">
        <v>2932</v>
      </c>
      <c r="G842" s="154" t="s">
        <v>49</v>
      </c>
      <c r="H842" s="154" t="s">
        <v>2933</v>
      </c>
      <c r="I842" s="154" t="s">
        <v>2934</v>
      </c>
      <c r="J842" s="154" t="s">
        <v>74</v>
      </c>
      <c r="K842" s="154" t="s">
        <v>3394</v>
      </c>
      <c r="L842" s="161">
        <v>46154</v>
      </c>
      <c r="M842" s="160">
        <v>46153</v>
      </c>
      <c r="N842" s="154" t="str">
        <f>IF(ISNUMBER(PL[[#This Row],[CTO]]),"CTO "&amp;PL[[#This Row],[CTO]],"Otros")</f>
        <v>CTO 9</v>
      </c>
      <c r="O842" s="154" t="str">
        <f>IF(PL[[#This Row],[STATUS IUP]]="CERRADO","CERRADO",IF(ISNUMBER(SEARCH("validacion de enel",PL[[#This Row],[SUPPLIER NOTES]])),"PTE Validar Enel","ABIERTO"))</f>
        <v>CERRADO</v>
      </c>
      <c r="P842" s="154" t="str">
        <f>IF(PL[[#This Row],[ESTADO]]="CERRADO","Cerrados IUP",IF(PL[[#This Row],[ESTADO]]="PTE Validar Enel","Pendiente cierre ENEL",IF(ISNUMBER(SEARCH("suministro",PL[[#This Row],[SUPPLIER NOTES]])),"Suministros",IF(PL[[#This Row],[SC]]="SOCIAL","Social",IF(ISNUMBER(SEARCH("monolito",PL[[#This Row],[DESCRIPTION]])),"Monolitos","Varios")))))</f>
        <v>Cerrados IUP</v>
      </c>
      <c r="Q8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3" spans="1:17" s="157" customFormat="1" hidden="1" x14ac:dyDescent="0.2">
      <c r="A843" s="151" t="s">
        <v>2367</v>
      </c>
      <c r="B843" s="154" t="s">
        <v>929</v>
      </c>
      <c r="C843" s="154">
        <v>9</v>
      </c>
      <c r="D843" s="153" t="s">
        <v>3382</v>
      </c>
      <c r="E843" s="154" t="s">
        <v>2368</v>
      </c>
      <c r="F843" s="154" t="s">
        <v>2369</v>
      </c>
      <c r="G843" s="154" t="s">
        <v>1290</v>
      </c>
      <c r="H843" s="154" t="s">
        <v>3456</v>
      </c>
      <c r="I843" s="154"/>
      <c r="J843" s="154" t="s">
        <v>74</v>
      </c>
      <c r="K843" s="154" t="s">
        <v>3394</v>
      </c>
      <c r="L843" s="155">
        <v>46300</v>
      </c>
      <c r="M843" s="156"/>
      <c r="N843" s="154" t="str">
        <f>IF(ISNUMBER(PL[[#This Row],[CTO]]),"CTO "&amp;PL[[#This Row],[CTO]],"Otros")</f>
        <v>CTO 9</v>
      </c>
      <c r="O843" s="154" t="str">
        <f>IF(PL[[#This Row],[STATUS IUP]]="CERRADO","CERRADO",IF(ISNUMBER(SEARCH("validacion de enel",PL[[#This Row],[SUPPLIER NOTES]])),"PTE Validar Enel","ABIERTO"))</f>
        <v>CERRADO</v>
      </c>
      <c r="P843" s="154" t="str">
        <f>IF(PL[[#This Row],[ESTADO]]="CERRADO","Cerrados IUP",IF(PL[[#This Row],[ESTADO]]="PTE Validar Enel","Pendiente cierre ENEL",IF(ISNUMBER(SEARCH("suministro",PL[[#This Row],[SUPPLIER NOTES]])),"Suministros",IF(PL[[#This Row],[SC]]="SOCIAL","Social",IF(ISNUMBER(SEARCH("monolito",PL[[#This Row],[DESCRIPTION]])),"Monolitos","Varios")))))</f>
        <v>Cerrados IUP</v>
      </c>
      <c r="Q8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4" spans="1:17" s="157" customFormat="1" hidden="1" x14ac:dyDescent="0.2">
      <c r="A844" s="151" t="s">
        <v>2745</v>
      </c>
      <c r="B844" s="154" t="s">
        <v>1291</v>
      </c>
      <c r="C844" s="154">
        <v>9</v>
      </c>
      <c r="D844" s="153" t="s">
        <v>3382</v>
      </c>
      <c r="E844" s="154" t="s">
        <v>2746</v>
      </c>
      <c r="F844" s="154" t="s">
        <v>2747</v>
      </c>
      <c r="G844" s="154" t="s">
        <v>1289</v>
      </c>
      <c r="H844" s="154" t="s">
        <v>3463</v>
      </c>
      <c r="I844" s="154"/>
      <c r="J844" s="154" t="s">
        <v>74</v>
      </c>
      <c r="K844" s="154" t="s">
        <v>3394</v>
      </c>
      <c r="L844" s="155">
        <v>46294</v>
      </c>
      <c r="M844" s="156"/>
      <c r="N844" s="154" t="str">
        <f>IF(ISNUMBER(PL[[#This Row],[CTO]]),"CTO "&amp;PL[[#This Row],[CTO]],"Otros")</f>
        <v>CTO 9</v>
      </c>
      <c r="O844" s="154" t="str">
        <f>IF(PL[[#This Row],[STATUS IUP]]="CERRADO","CERRADO",IF(ISNUMBER(SEARCH("validacion de enel",PL[[#This Row],[SUPPLIER NOTES]])),"PTE Validar Enel","ABIERTO"))</f>
        <v>CERRADO</v>
      </c>
      <c r="P844" s="154" t="str">
        <f>IF(PL[[#This Row],[ESTADO]]="CERRADO","Cerrados IUP",IF(PL[[#This Row],[ESTADO]]="PTE Validar Enel","Pendiente cierre ENEL",IF(ISNUMBER(SEARCH("suministro",PL[[#This Row],[SUPPLIER NOTES]])),"Suministros",IF(PL[[#This Row],[SC]]="SOCIAL","Social",IF(ISNUMBER(SEARCH("monolito",PL[[#This Row],[DESCRIPTION]])),"Monolitos","Varios")))))</f>
        <v>Cerrados IUP</v>
      </c>
      <c r="Q8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5" spans="1:17" hidden="1" x14ac:dyDescent="0.2">
      <c r="A845" s="66" t="s">
        <v>1654</v>
      </c>
      <c r="B845" s="67" t="s">
        <v>1371</v>
      </c>
      <c r="C845" s="82">
        <v>9</v>
      </c>
      <c r="D845" s="68" t="s">
        <v>3382</v>
      </c>
      <c r="E845" s="67" t="s">
        <v>1655</v>
      </c>
      <c r="F845" s="67" t="s">
        <v>1656</v>
      </c>
      <c r="G845" s="82" t="s">
        <v>1289</v>
      </c>
      <c r="H845" s="90"/>
      <c r="I845" s="67"/>
      <c r="J845" s="67" t="s">
        <v>11</v>
      </c>
      <c r="K845" s="67" t="s">
        <v>3393</v>
      </c>
      <c r="L845" s="67"/>
      <c r="M845" s="69"/>
      <c r="N845" s="67" t="str">
        <f>IF(ISNUMBER(PL[[#This Row],[CTO]]),"CTO "&amp;PL[[#This Row],[CTO]],"Otros")</f>
        <v>CTO 9</v>
      </c>
      <c r="O845" s="67" t="str">
        <f>IF(PL[[#This Row],[STATUS IUP]]="CERRADO","CERRADO",IF(ISNUMBER(SEARCH("validacion de enel",PL[[#This Row],[SUPPLIER NOTES]])),"PTE Validar Enel","ABIERTO"))</f>
        <v>ABIERTO</v>
      </c>
      <c r="P845" s="67" t="str">
        <f>IF(PL[[#This Row],[ESTADO]]="CERRADO","Cerrados IUP",IF(PL[[#This Row],[ESTADO]]="PTE Validar Enel","Pendiente cierre ENEL",IF(ISNUMBER(SEARCH("suministro",PL[[#This Row],[SUPPLIER NOTES]])),"Suministros",IF(PL[[#This Row],[SC]]="SOCIAL","Social",IF(ISNUMBER(SEARCH("monolito",PL[[#This Row],[DESCRIPTION]])),"Monolitos","Varios")))))</f>
        <v>Varios</v>
      </c>
      <c r="Q84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6" spans="1:17" hidden="1" x14ac:dyDescent="0.2">
      <c r="A846" s="66" t="s">
        <v>2158</v>
      </c>
      <c r="B846" s="67" t="s">
        <v>41</v>
      </c>
      <c r="C846" s="82">
        <v>9</v>
      </c>
      <c r="D846" s="68" t="s">
        <v>3382</v>
      </c>
      <c r="E846" s="67" t="s">
        <v>2159</v>
      </c>
      <c r="F846" s="67" t="s">
        <v>2160</v>
      </c>
      <c r="G846" s="82" t="s">
        <v>1289</v>
      </c>
      <c r="H846" s="90" t="s">
        <v>3463</v>
      </c>
      <c r="I846" s="67"/>
      <c r="J846" s="67" t="s">
        <v>11</v>
      </c>
      <c r="K846" s="67" t="s">
        <v>3393</v>
      </c>
      <c r="L846" s="67"/>
      <c r="M846" s="69"/>
      <c r="N846" s="67" t="str">
        <f>IF(ISNUMBER(PL[[#This Row],[CTO]]),"CTO "&amp;PL[[#This Row],[CTO]],"Otros")</f>
        <v>CTO 9</v>
      </c>
      <c r="O846" s="67" t="str">
        <f>IF(PL[[#This Row],[STATUS IUP]]="CERRADO","CERRADO",IF(ISNUMBER(SEARCH("validacion de enel",PL[[#This Row],[SUPPLIER NOTES]])),"PTE Validar Enel","ABIERTO"))</f>
        <v>ABIERTO</v>
      </c>
      <c r="P846" s="67" t="str">
        <f>IF(PL[[#This Row],[ESTADO]]="CERRADO","Cerrados IUP",IF(PL[[#This Row],[ESTADO]]="PTE Validar Enel","Pendiente cierre ENEL",IF(ISNUMBER(SEARCH("suministro",PL[[#This Row],[SUPPLIER NOTES]])),"Suministros",IF(PL[[#This Row],[SC]]="SOCIAL","Social",IF(ISNUMBER(SEARCH("monolito",PL[[#This Row],[DESCRIPTION]])),"Monolitos","Varios")))))</f>
        <v>Varios</v>
      </c>
      <c r="Q84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7" spans="1:17" s="157" customFormat="1" hidden="1" x14ac:dyDescent="0.2">
      <c r="A847" s="151" t="s">
        <v>3331</v>
      </c>
      <c r="B847" s="154" t="s">
        <v>8</v>
      </c>
      <c r="C847" s="154">
        <v>9</v>
      </c>
      <c r="D847" s="153" t="s">
        <v>3382</v>
      </c>
      <c r="E847" s="154" t="s">
        <v>3332</v>
      </c>
      <c r="F847" s="154" t="s">
        <v>3333</v>
      </c>
      <c r="G847" s="154" t="s">
        <v>291</v>
      </c>
      <c r="H847" s="154" t="s">
        <v>294</v>
      </c>
      <c r="I847" s="154" t="s">
        <v>294</v>
      </c>
      <c r="J847" s="154" t="s">
        <v>74</v>
      </c>
      <c r="K847" s="154" t="s">
        <v>3394</v>
      </c>
      <c r="L847" s="161">
        <v>46232</v>
      </c>
      <c r="M847" s="160">
        <v>46232</v>
      </c>
      <c r="N847" s="154" t="str">
        <f>IF(ISNUMBER(PL[[#This Row],[CTO]]),"CTO "&amp;PL[[#This Row],[CTO]],"Otros")</f>
        <v>CTO 9</v>
      </c>
      <c r="O847" s="154" t="str">
        <f>IF(PL[[#This Row],[STATUS IUP]]="CERRADO","CERRADO",IF(ISNUMBER(SEARCH("validacion de enel",PL[[#This Row],[SUPPLIER NOTES]])),"PTE Validar Enel","ABIERTO"))</f>
        <v>CERRADO</v>
      </c>
      <c r="P847" s="154" t="str">
        <f>IF(PL[[#This Row],[ESTADO]]="CERRADO","Cerrados IUP",IF(PL[[#This Row],[ESTADO]]="PTE Validar Enel","Pendiente cierre ENEL",IF(ISNUMBER(SEARCH("suministro",PL[[#This Row],[SUPPLIER NOTES]])),"Suministros",IF(PL[[#This Row],[SC]]="SOCIAL","Social",IF(ISNUMBER(SEARCH("monolito",PL[[#This Row],[DESCRIPTION]])),"Monolitos","Varios")))))</f>
        <v>Cerrados IUP</v>
      </c>
      <c r="Q8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8" spans="1:17" s="157" customFormat="1" hidden="1" x14ac:dyDescent="0.2">
      <c r="A848" s="151" t="s">
        <v>60</v>
      </c>
      <c r="B848" s="154" t="s">
        <v>47</v>
      </c>
      <c r="C848" s="154">
        <v>9</v>
      </c>
      <c r="D848" s="153" t="s">
        <v>3382</v>
      </c>
      <c r="E848" s="154"/>
      <c r="F848" s="154" t="s">
        <v>61</v>
      </c>
      <c r="G848" s="154" t="s">
        <v>49</v>
      </c>
      <c r="H848" s="154"/>
      <c r="I848" s="154"/>
      <c r="J848" s="154" t="s">
        <v>74</v>
      </c>
      <c r="K848" s="154" t="s">
        <v>3394</v>
      </c>
      <c r="L848" s="154"/>
      <c r="M848" s="156"/>
      <c r="N848" s="154" t="str">
        <f>IF(ISNUMBER(PL[[#This Row],[CTO]]),"CTO "&amp;PL[[#This Row],[CTO]],"Otros")</f>
        <v>CTO 9</v>
      </c>
      <c r="O848" s="154" t="str">
        <f>IF(PL[[#This Row],[STATUS IUP]]="CERRADO","CERRADO",IF(ISNUMBER(SEARCH("validacion de enel",PL[[#This Row],[SUPPLIER NOTES]])),"PTE Validar Enel","ABIERTO"))</f>
        <v>CERRADO</v>
      </c>
      <c r="P848" s="154" t="str">
        <f>IF(PL[[#This Row],[ESTADO]]="CERRADO","Cerrados IUP",IF(PL[[#This Row],[ESTADO]]="PTE Validar Enel","Pendiente cierre ENEL",IF(ISNUMBER(SEARCH("suministro",PL[[#This Row],[SUPPLIER NOTES]])),"Suministros",IF(PL[[#This Row],[SC]]="SOCIAL","Social",IF(ISNUMBER(SEARCH("monolito",PL[[#This Row],[DESCRIPTION]])),"Monolitos","Varios")))))</f>
        <v>Cerrados IUP</v>
      </c>
      <c r="Q8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49" spans="1:17" hidden="1" x14ac:dyDescent="0.2">
      <c r="A849" s="75" t="s">
        <v>3328</v>
      </c>
      <c r="B849" s="74" t="s">
        <v>8</v>
      </c>
      <c r="C849" s="82">
        <v>9</v>
      </c>
      <c r="D849" s="76" t="s">
        <v>3382</v>
      </c>
      <c r="E849" s="74" t="s">
        <v>3329</v>
      </c>
      <c r="F849" s="74" t="s">
        <v>3330</v>
      </c>
      <c r="G849" s="74" t="s">
        <v>291</v>
      </c>
      <c r="H849" s="74" t="s">
        <v>3460</v>
      </c>
      <c r="I849" s="74"/>
      <c r="J849" s="74" t="s">
        <v>11</v>
      </c>
      <c r="K849" s="74" t="s">
        <v>3393</v>
      </c>
      <c r="L849" s="74"/>
      <c r="M849" s="77"/>
      <c r="N849" s="74" t="str">
        <f>IF(ISNUMBER(PL[[#This Row],[CTO]]),"CTO "&amp;PL[[#This Row],[CTO]],"Otros")</f>
        <v>CTO 9</v>
      </c>
      <c r="O849" s="74" t="str">
        <f>IF(PL[[#This Row],[STATUS IUP]]="CERRADO","CERRADO",IF(ISNUMBER(SEARCH("validacion de enel",PL[[#This Row],[SUPPLIER NOTES]])),"PTE Validar Enel","ABIERTO"))</f>
        <v>ABIERTO</v>
      </c>
      <c r="P849" s="74" t="str">
        <f>IF(PL[[#This Row],[ESTADO]]="CERRADO","Cerrados IUP",IF(PL[[#This Row],[ESTADO]]="PTE Validar Enel","Pendiente cierre ENEL",IF(ISNUMBER(SEARCH("suministro",PL[[#This Row],[SUPPLIER NOTES]])),"Suministros",IF(PL[[#This Row],[SC]]="SOCIAL","Social",IF(ISNUMBER(SEARCH("monolito",PL[[#This Row],[DESCRIPTION]])),"Monolitos","Varios")))))</f>
        <v>Suministros</v>
      </c>
      <c r="Q849"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50" spans="1:17" s="157" customFormat="1" hidden="1" x14ac:dyDescent="0.2">
      <c r="A850" s="151" t="s">
        <v>91</v>
      </c>
      <c r="B850" s="154" t="s">
        <v>8</v>
      </c>
      <c r="C850" s="154">
        <v>9</v>
      </c>
      <c r="D850" s="153" t="s">
        <v>3382</v>
      </c>
      <c r="E850" s="154"/>
      <c r="F850" s="154" t="s">
        <v>92</v>
      </c>
      <c r="G850" s="154" t="s">
        <v>1290</v>
      </c>
      <c r="H850" s="154"/>
      <c r="I850" s="154"/>
      <c r="J850" s="154" t="s">
        <v>74</v>
      </c>
      <c r="K850" s="154" t="s">
        <v>3394</v>
      </c>
      <c r="L850" s="154"/>
      <c r="M850" s="156"/>
      <c r="N850" s="154" t="str">
        <f>IF(ISNUMBER(PL[[#This Row],[CTO]]),"CTO "&amp;PL[[#This Row],[CTO]],"Otros")</f>
        <v>CTO 9</v>
      </c>
      <c r="O850" s="154" t="str">
        <f>IF(PL[[#This Row],[STATUS IUP]]="CERRADO","CERRADO",IF(ISNUMBER(SEARCH("validacion de enel",PL[[#This Row],[SUPPLIER NOTES]])),"PTE Validar Enel","ABIERTO"))</f>
        <v>CERRADO</v>
      </c>
      <c r="P850" s="154" t="str">
        <f>IF(PL[[#This Row],[ESTADO]]="CERRADO","Cerrados IUP",IF(PL[[#This Row],[ESTADO]]="PTE Validar Enel","Pendiente cierre ENEL",IF(ISNUMBER(SEARCH("suministro",PL[[#This Row],[SUPPLIER NOTES]])),"Suministros",IF(PL[[#This Row],[SC]]="SOCIAL","Social",IF(ISNUMBER(SEARCH("monolito",PL[[#This Row],[DESCRIPTION]])),"Monolitos","Varios")))))</f>
        <v>Cerrados IUP</v>
      </c>
      <c r="Q8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51" spans="1:17" s="157" customFormat="1" hidden="1" x14ac:dyDescent="0.2">
      <c r="A851" s="151" t="s">
        <v>93</v>
      </c>
      <c r="B851" s="154" t="s">
        <v>8</v>
      </c>
      <c r="C851" s="154">
        <v>9</v>
      </c>
      <c r="D851" s="153" t="s">
        <v>3382</v>
      </c>
      <c r="E851" s="154"/>
      <c r="F851" s="154" t="s">
        <v>94</v>
      </c>
      <c r="G851" s="154" t="s">
        <v>1290</v>
      </c>
      <c r="H851" s="154"/>
      <c r="I851" s="154"/>
      <c r="J851" s="154" t="s">
        <v>74</v>
      </c>
      <c r="K851" s="154" t="s">
        <v>3394</v>
      </c>
      <c r="L851" s="154"/>
      <c r="M851" s="156"/>
      <c r="N851" s="154" t="str">
        <f>IF(ISNUMBER(PL[[#This Row],[CTO]]),"CTO "&amp;PL[[#This Row],[CTO]],"Otros")</f>
        <v>CTO 9</v>
      </c>
      <c r="O851" s="154" t="str">
        <f>IF(PL[[#This Row],[STATUS IUP]]="CERRADO","CERRADO",IF(ISNUMBER(SEARCH("validacion de enel",PL[[#This Row],[SUPPLIER NOTES]])),"PTE Validar Enel","ABIERTO"))</f>
        <v>CERRADO</v>
      </c>
      <c r="P851" s="154" t="str">
        <f>IF(PL[[#This Row],[ESTADO]]="CERRADO","Cerrados IUP",IF(PL[[#This Row],[ESTADO]]="PTE Validar Enel","Pendiente cierre ENEL",IF(ISNUMBER(SEARCH("suministro",PL[[#This Row],[SUPPLIER NOTES]])),"Suministros",IF(PL[[#This Row],[SC]]="SOCIAL","Social",IF(ISNUMBER(SEARCH("monolito",PL[[#This Row],[DESCRIPTION]])),"Monolitos","Varios")))))</f>
        <v>Cerrados IUP</v>
      </c>
      <c r="Q8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852" spans="1:17" s="157" customFormat="1" hidden="1" x14ac:dyDescent="0.2">
      <c r="A852" s="151" t="s">
        <v>95</v>
      </c>
      <c r="B852" s="154" t="s">
        <v>8</v>
      </c>
      <c r="C852" s="154">
        <v>9</v>
      </c>
      <c r="D852" s="153" t="s">
        <v>3382</v>
      </c>
      <c r="E852" s="154"/>
      <c r="F852" s="154" t="s">
        <v>96</v>
      </c>
      <c r="G852" s="154" t="s">
        <v>1290</v>
      </c>
      <c r="H852" s="154"/>
      <c r="I852" s="154"/>
      <c r="J852" s="154" t="s">
        <v>74</v>
      </c>
      <c r="K852" s="154" t="s">
        <v>3394</v>
      </c>
      <c r="L852" s="154"/>
      <c r="M852" s="156"/>
      <c r="N852" s="154" t="str">
        <f>IF(ISNUMBER(PL[[#This Row],[CTO]]),"CTO "&amp;PL[[#This Row],[CTO]],"Otros")</f>
        <v>CTO 9</v>
      </c>
      <c r="O852" s="154" t="str">
        <f>IF(PL[[#This Row],[STATUS IUP]]="CERRADO","CERRADO",IF(ISNUMBER(SEARCH("validacion de enel",PL[[#This Row],[SUPPLIER NOTES]])),"PTE Validar Enel","ABIERTO"))</f>
        <v>CERRADO</v>
      </c>
      <c r="P852" s="154" t="str">
        <f>IF(PL[[#This Row],[ESTADO]]="CERRADO","Cerrados IUP",IF(PL[[#This Row],[ESTADO]]="PTE Validar Enel","Pendiente cierre ENEL",IF(ISNUMBER(SEARCH("suministro",PL[[#This Row],[SUPPLIER NOTES]])),"Suministros",IF(PL[[#This Row],[SC]]="SOCIAL","Social",IF(ISNUMBER(SEARCH("monolito",PL[[#This Row],[DESCRIPTION]])),"Monolitos","Varios")))))</f>
        <v>Cerrados IUP</v>
      </c>
      <c r="Q8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853" spans="1:17" s="157" customFormat="1" hidden="1" x14ac:dyDescent="0.2">
      <c r="A853" s="151" t="s">
        <v>97</v>
      </c>
      <c r="B853" s="154" t="s">
        <v>8</v>
      </c>
      <c r="C853" s="154">
        <v>9</v>
      </c>
      <c r="D853" s="153" t="s">
        <v>3382</v>
      </c>
      <c r="E853" s="154"/>
      <c r="F853" s="154" t="s">
        <v>3465</v>
      </c>
      <c r="G853" s="154" t="s">
        <v>1290</v>
      </c>
      <c r="H853" s="154"/>
      <c r="I853" s="154"/>
      <c r="J853" s="154" t="s">
        <v>74</v>
      </c>
      <c r="K853" s="154" t="s">
        <v>3394</v>
      </c>
      <c r="L853" s="155">
        <v>46303</v>
      </c>
      <c r="M853" s="156"/>
      <c r="N853" s="154" t="str">
        <f>IF(ISNUMBER(PL[[#This Row],[CTO]]),"CTO "&amp;PL[[#This Row],[CTO]],"Otros")</f>
        <v>CTO 9</v>
      </c>
      <c r="O853" s="154" t="str">
        <f>IF(PL[[#This Row],[STATUS IUP]]="CERRADO","CERRADO",IF(ISNUMBER(SEARCH("validacion de enel",PL[[#This Row],[SUPPLIER NOTES]])),"PTE Validar Enel","ABIERTO"))</f>
        <v>CERRADO</v>
      </c>
      <c r="P853" s="154" t="str">
        <f>IF(PL[[#This Row],[ESTADO]]="CERRADO","Cerrados IUP",IF(PL[[#This Row],[ESTADO]]="PTE Validar Enel","Pendiente cierre ENEL",IF(ISNUMBER(SEARCH("suministro",PL[[#This Row],[SUPPLIER NOTES]])),"Suministros",IF(PL[[#This Row],[SC]]="SOCIAL","Social",IF(ISNUMBER(SEARCH("monolito",PL[[#This Row],[DESCRIPTION]])),"Monolitos","Varios")))))</f>
        <v>Cerrados IUP</v>
      </c>
      <c r="Q8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854" spans="1:17" ht="48" x14ac:dyDescent="0.2">
      <c r="A854" s="86" t="s">
        <v>1264</v>
      </c>
      <c r="B854" s="115" t="s">
        <v>8</v>
      </c>
      <c r="C854" s="82">
        <v>9</v>
      </c>
      <c r="D854" s="88" t="s">
        <v>3382</v>
      </c>
      <c r="E854" s="87"/>
      <c r="F854" s="115" t="s">
        <v>1265</v>
      </c>
      <c r="G854" s="87" t="s">
        <v>43</v>
      </c>
      <c r="H854" s="87" t="s">
        <v>3454</v>
      </c>
      <c r="I854" s="87"/>
      <c r="J854" s="87" t="s">
        <v>11</v>
      </c>
      <c r="K854" s="87" t="s">
        <v>3393</v>
      </c>
      <c r="L854" s="87"/>
      <c r="M854" s="89"/>
      <c r="N854" s="87" t="str">
        <f>IF(ISNUMBER(PL[[#This Row],[CTO]]),"CTO "&amp;PL[[#This Row],[CTO]],"Otros")</f>
        <v>CTO 9</v>
      </c>
      <c r="O854" s="87" t="str">
        <f>IF(PL[[#This Row],[STATUS IUP]]="CERRADO","CERRADO",IF(ISNUMBER(SEARCH("validacion de enel",PL[[#This Row],[SUPPLIER NOTES]])),"PTE Validar Enel","ABIERTO"))</f>
        <v>PTE Validar Enel</v>
      </c>
      <c r="P854"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54"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855" spans="1:17" x14ac:dyDescent="0.2">
      <c r="A855" s="75" t="s">
        <v>1206</v>
      </c>
      <c r="B855" s="74" t="s">
        <v>8</v>
      </c>
      <c r="C855" s="82">
        <v>9</v>
      </c>
      <c r="D855" s="76" t="s">
        <v>3382</v>
      </c>
      <c r="E855" s="74"/>
      <c r="F855" s="74" t="s">
        <v>1207</v>
      </c>
      <c r="G855" s="74" t="s">
        <v>43</v>
      </c>
      <c r="H855" s="74" t="s">
        <v>3460</v>
      </c>
      <c r="I855" s="74"/>
      <c r="J855" s="74" t="s">
        <v>11</v>
      </c>
      <c r="K855" s="74" t="s">
        <v>3393</v>
      </c>
      <c r="L855" s="74"/>
      <c r="M855" s="77"/>
      <c r="N855" s="74" t="str">
        <f>IF(ISNUMBER(PL[[#This Row],[CTO]]),"CTO "&amp;PL[[#This Row],[CTO]],"Otros")</f>
        <v>CTO 9</v>
      </c>
      <c r="O855" s="74" t="str">
        <f>IF(PL[[#This Row],[STATUS IUP]]="CERRADO","CERRADO",IF(ISNUMBER(SEARCH("validacion de enel",PL[[#This Row],[SUPPLIER NOTES]])),"PTE Validar Enel","ABIERTO"))</f>
        <v>ABIERTO</v>
      </c>
      <c r="P855" s="74" t="str">
        <f>IF(PL[[#This Row],[ESTADO]]="CERRADO","Cerrados IUP",IF(PL[[#This Row],[ESTADO]]="PTE Validar Enel","Pendiente cierre ENEL",IF(ISNUMBER(SEARCH("suministro",PL[[#This Row],[SUPPLIER NOTES]])),"Suministros",IF(PL[[#This Row],[SC]]="SOCIAL","Social",IF(ISNUMBER(SEARCH("monolito",PL[[#This Row],[DESCRIPTION]])),"Monolitos","Varios")))))</f>
        <v>Suministros</v>
      </c>
      <c r="Q85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856" spans="1:17" ht="64" x14ac:dyDescent="0.2">
      <c r="A856" s="86" t="s">
        <v>1248</v>
      </c>
      <c r="B856" s="115" t="s">
        <v>8</v>
      </c>
      <c r="C856" s="82">
        <v>9</v>
      </c>
      <c r="D856" s="88" t="s">
        <v>3382</v>
      </c>
      <c r="E856" s="87"/>
      <c r="F856" s="115" t="s">
        <v>1249</v>
      </c>
      <c r="G856" s="87" t="s">
        <v>43</v>
      </c>
      <c r="H856" s="87" t="s">
        <v>3454</v>
      </c>
      <c r="I856" s="87"/>
      <c r="J856" s="87" t="s">
        <v>11</v>
      </c>
      <c r="K856" s="87" t="s">
        <v>3393</v>
      </c>
      <c r="L856" s="87"/>
      <c r="M856" s="89"/>
      <c r="N856" s="87" t="str">
        <f>IF(ISNUMBER(PL[[#This Row],[CTO]]),"CTO "&amp;PL[[#This Row],[CTO]],"Otros")</f>
        <v>CTO 9</v>
      </c>
      <c r="O856" s="87" t="str">
        <f>IF(PL[[#This Row],[STATUS IUP]]="CERRADO","CERRADO",IF(ISNUMBER(SEARCH("validacion de enel",PL[[#This Row],[SUPPLIER NOTES]])),"PTE Validar Enel","ABIERTO"))</f>
        <v>PTE Validar Enel</v>
      </c>
      <c r="P856"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856"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857" spans="1:17" s="157" customFormat="1" ht="16" hidden="1" x14ac:dyDescent="0.2">
      <c r="A857" s="151" t="s">
        <v>1855</v>
      </c>
      <c r="B857" s="152" t="s">
        <v>41</v>
      </c>
      <c r="C857" s="154">
        <v>9</v>
      </c>
      <c r="D857" s="153" t="s">
        <v>3383</v>
      </c>
      <c r="E857" s="154" t="s">
        <v>1856</v>
      </c>
      <c r="F857" s="152" t="s">
        <v>1857</v>
      </c>
      <c r="G857" s="154" t="s">
        <v>1289</v>
      </c>
      <c r="H857" s="154" t="s">
        <v>3454</v>
      </c>
      <c r="I857" s="154"/>
      <c r="J857" s="154" t="s">
        <v>74</v>
      </c>
      <c r="K857" s="154" t="s">
        <v>3394</v>
      </c>
      <c r="L857" s="155">
        <v>46294</v>
      </c>
      <c r="M857" s="156"/>
      <c r="N857" s="154" t="str">
        <f>IF(ISNUMBER(PL[[#This Row],[CTO]]),"CTO "&amp;PL[[#This Row],[CTO]],"Otros")</f>
        <v>CTO 9</v>
      </c>
      <c r="O857" s="154" t="str">
        <f>IF(PL[[#This Row],[STATUS IUP]]="CERRADO","CERRADO",IF(ISNUMBER(SEARCH("validacion de enel",PL[[#This Row],[SUPPLIER NOTES]])),"PTE Validar Enel","ABIERTO"))</f>
        <v>CERRADO</v>
      </c>
      <c r="P857" s="154" t="str">
        <f>IF(PL[[#This Row],[ESTADO]]="CERRADO","Cerrados IUP",IF(PL[[#This Row],[ESTADO]]="PTE Validar Enel","Pendiente cierre ENEL",IF(ISNUMBER(SEARCH("suministro",PL[[#This Row],[SUPPLIER NOTES]])),"Suministros",IF(PL[[#This Row],[SC]]="SOCIAL","Social",IF(ISNUMBER(SEARCH("monolito",PL[[#This Row],[DESCRIPTION]])),"Monolitos","Varios")))))</f>
        <v>Cerrados IUP</v>
      </c>
      <c r="Q8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58" spans="1:17" s="157" customFormat="1" hidden="1" x14ac:dyDescent="0.2">
      <c r="A858" s="151" t="s">
        <v>2104</v>
      </c>
      <c r="B858" s="154" t="s">
        <v>1297</v>
      </c>
      <c r="C858" s="154">
        <v>9</v>
      </c>
      <c r="D858" s="153" t="s">
        <v>3383</v>
      </c>
      <c r="E858" s="154" t="s">
        <v>2105</v>
      </c>
      <c r="F858" s="154" t="s">
        <v>2106</v>
      </c>
      <c r="G858" s="154" t="s">
        <v>1290</v>
      </c>
      <c r="H858" s="154"/>
      <c r="I858" s="154"/>
      <c r="J858" s="154" t="s">
        <v>74</v>
      </c>
      <c r="K858" s="154" t="s">
        <v>3394</v>
      </c>
      <c r="L858" s="154"/>
      <c r="M858" s="156"/>
      <c r="N858" s="154" t="str">
        <f>IF(ISNUMBER(PL[[#This Row],[CTO]]),"CTO "&amp;PL[[#This Row],[CTO]],"Otros")</f>
        <v>CTO 9</v>
      </c>
      <c r="O858" s="154" t="str">
        <f>IF(PL[[#This Row],[STATUS IUP]]="CERRADO","CERRADO",IF(ISNUMBER(SEARCH("validacion de enel",PL[[#This Row],[SUPPLIER NOTES]])),"PTE Validar Enel","ABIERTO"))</f>
        <v>CERRADO</v>
      </c>
      <c r="P858" s="154" t="str">
        <f>IF(PL[[#This Row],[ESTADO]]="CERRADO","Cerrados IUP",IF(PL[[#This Row],[ESTADO]]="PTE Validar Enel","Pendiente cierre ENEL",IF(ISNUMBER(SEARCH("suministro",PL[[#This Row],[SUPPLIER NOTES]])),"Suministros",IF(PL[[#This Row],[SC]]="SOCIAL","Social",IF(ISNUMBER(SEARCH("monolito",PL[[#This Row],[DESCRIPTION]])),"Monolitos","Varios")))))</f>
        <v>Cerrados IUP</v>
      </c>
      <c r="Q8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59" spans="1:17" s="157" customFormat="1" hidden="1" x14ac:dyDescent="0.2">
      <c r="A859" s="151" t="s">
        <v>2150</v>
      </c>
      <c r="B859" s="154" t="s">
        <v>8</v>
      </c>
      <c r="C859" s="154">
        <v>9</v>
      </c>
      <c r="D859" s="153" t="s">
        <v>3383</v>
      </c>
      <c r="E859" s="154" t="s">
        <v>2151</v>
      </c>
      <c r="F859" s="154" t="s">
        <v>2152</v>
      </c>
      <c r="G859" s="154" t="s">
        <v>291</v>
      </c>
      <c r="H859" s="154" t="s">
        <v>2153</v>
      </c>
      <c r="I859" s="154" t="s">
        <v>73</v>
      </c>
      <c r="J859" s="154" t="s">
        <v>74</v>
      </c>
      <c r="K859" s="154" t="s">
        <v>3394</v>
      </c>
      <c r="L859" s="161">
        <v>46211</v>
      </c>
      <c r="M859" s="160">
        <v>46153</v>
      </c>
      <c r="N859" s="154" t="str">
        <f>IF(ISNUMBER(PL[[#This Row],[CTO]]),"CTO "&amp;PL[[#This Row],[CTO]],"Otros")</f>
        <v>CTO 9</v>
      </c>
      <c r="O859" s="154" t="str">
        <f>IF(PL[[#This Row],[STATUS IUP]]="CERRADO","CERRADO",IF(ISNUMBER(SEARCH("validacion de enel",PL[[#This Row],[SUPPLIER NOTES]])),"PTE Validar Enel","ABIERTO"))</f>
        <v>CERRADO</v>
      </c>
      <c r="P859" s="154" t="str">
        <f>IF(PL[[#This Row],[ESTADO]]="CERRADO","Cerrados IUP",IF(PL[[#This Row],[ESTADO]]="PTE Validar Enel","Pendiente cierre ENEL",IF(ISNUMBER(SEARCH("suministro",PL[[#This Row],[SUPPLIER NOTES]])),"Suministros",IF(PL[[#This Row],[SC]]="SOCIAL","Social",IF(ISNUMBER(SEARCH("monolito",PL[[#This Row],[DESCRIPTION]])),"Monolitos","Varios")))))</f>
        <v>Cerrados IUP</v>
      </c>
      <c r="Q8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0" spans="1:17" s="157" customFormat="1" hidden="1" x14ac:dyDescent="0.2">
      <c r="A860" s="151" t="s">
        <v>2040</v>
      </c>
      <c r="B860" s="154" t="s">
        <v>1291</v>
      </c>
      <c r="C860" s="154">
        <v>9</v>
      </c>
      <c r="D860" s="153" t="s">
        <v>3383</v>
      </c>
      <c r="E860" s="154" t="s">
        <v>2041</v>
      </c>
      <c r="F860" s="154" t="s">
        <v>2042</v>
      </c>
      <c r="G860" s="154" t="s">
        <v>1290</v>
      </c>
      <c r="H860" s="154" t="s">
        <v>2043</v>
      </c>
      <c r="I860" s="154" t="s">
        <v>1520</v>
      </c>
      <c r="J860" s="154" t="s">
        <v>74</v>
      </c>
      <c r="K860" s="154" t="s">
        <v>3394</v>
      </c>
      <c r="L860" s="161">
        <v>46154</v>
      </c>
      <c r="M860" s="160">
        <v>46153</v>
      </c>
      <c r="N860" s="154" t="str">
        <f>IF(ISNUMBER(PL[[#This Row],[CTO]]),"CTO "&amp;PL[[#This Row],[CTO]],"Otros")</f>
        <v>CTO 9</v>
      </c>
      <c r="O860" s="154" t="str">
        <f>IF(PL[[#This Row],[STATUS IUP]]="CERRADO","CERRADO",IF(ISNUMBER(SEARCH("validacion de enel",PL[[#This Row],[SUPPLIER NOTES]])),"PTE Validar Enel","ABIERTO"))</f>
        <v>CERRADO</v>
      </c>
      <c r="P860" s="154" t="str">
        <f>IF(PL[[#This Row],[ESTADO]]="CERRADO","Cerrados IUP",IF(PL[[#This Row],[ESTADO]]="PTE Validar Enel","Pendiente cierre ENEL",IF(ISNUMBER(SEARCH("suministro",PL[[#This Row],[SUPPLIER NOTES]])),"Suministros",IF(PL[[#This Row],[SC]]="SOCIAL","Social",IF(ISNUMBER(SEARCH("monolito",PL[[#This Row],[DESCRIPTION]])),"Monolitos","Varios")))))</f>
        <v>Cerrados IUP</v>
      </c>
      <c r="Q8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1" spans="1:17" s="157" customFormat="1" hidden="1" x14ac:dyDescent="0.2">
      <c r="A861" s="151" t="s">
        <v>2281</v>
      </c>
      <c r="B861" s="154" t="s">
        <v>929</v>
      </c>
      <c r="C861" s="154">
        <v>9</v>
      </c>
      <c r="D861" s="153" t="s">
        <v>3383</v>
      </c>
      <c r="E861" s="154" t="s">
        <v>2282</v>
      </c>
      <c r="F861" s="154" t="s">
        <v>2283</v>
      </c>
      <c r="G861" s="154" t="s">
        <v>291</v>
      </c>
      <c r="H861" s="154" t="s">
        <v>2284</v>
      </c>
      <c r="I861" s="154" t="s">
        <v>1286</v>
      </c>
      <c r="J861" s="154" t="s">
        <v>74</v>
      </c>
      <c r="K861" s="154" t="s">
        <v>3394</v>
      </c>
      <c r="L861" s="161">
        <v>46176</v>
      </c>
      <c r="M861" s="160">
        <v>46153</v>
      </c>
      <c r="N861" s="154" t="str">
        <f>IF(ISNUMBER(PL[[#This Row],[CTO]]),"CTO "&amp;PL[[#This Row],[CTO]],"Otros")</f>
        <v>CTO 9</v>
      </c>
      <c r="O861" s="154" t="str">
        <f>IF(PL[[#This Row],[STATUS IUP]]="CERRADO","CERRADO",IF(ISNUMBER(SEARCH("validacion de enel",PL[[#This Row],[SUPPLIER NOTES]])),"PTE Validar Enel","ABIERTO"))</f>
        <v>CERRADO</v>
      </c>
      <c r="P861" s="154" t="str">
        <f>IF(PL[[#This Row],[ESTADO]]="CERRADO","Cerrados IUP",IF(PL[[#This Row],[ESTADO]]="PTE Validar Enel","Pendiente cierre ENEL",IF(ISNUMBER(SEARCH("suministro",PL[[#This Row],[SUPPLIER NOTES]])),"Suministros",IF(PL[[#This Row],[SC]]="SOCIAL","Social",IF(ISNUMBER(SEARCH("monolito",PL[[#This Row],[DESCRIPTION]])),"Monolitos","Varios")))))</f>
        <v>Cerrados IUP</v>
      </c>
      <c r="Q8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2" spans="1:17" s="157" customFormat="1" hidden="1" x14ac:dyDescent="0.2">
      <c r="A862" s="151" t="s">
        <v>2355</v>
      </c>
      <c r="B862" s="154" t="s">
        <v>929</v>
      </c>
      <c r="C862" s="154">
        <v>9</v>
      </c>
      <c r="D862" s="153" t="s">
        <v>3383</v>
      </c>
      <c r="E862" s="154" t="s">
        <v>2356</v>
      </c>
      <c r="F862" s="154" t="s">
        <v>2357</v>
      </c>
      <c r="G862" s="154" t="s">
        <v>291</v>
      </c>
      <c r="H862" s="154" t="s">
        <v>1286</v>
      </c>
      <c r="I862" s="154" t="s">
        <v>1286</v>
      </c>
      <c r="J862" s="154" t="s">
        <v>74</v>
      </c>
      <c r="K862" s="154" t="s">
        <v>3394</v>
      </c>
      <c r="L862" s="161">
        <v>46176</v>
      </c>
      <c r="M862" s="160">
        <v>46176</v>
      </c>
      <c r="N862" s="154" t="str">
        <f>IF(ISNUMBER(PL[[#This Row],[CTO]]),"CTO "&amp;PL[[#This Row],[CTO]],"Otros")</f>
        <v>CTO 9</v>
      </c>
      <c r="O862" s="154" t="str">
        <f>IF(PL[[#This Row],[STATUS IUP]]="CERRADO","CERRADO",IF(ISNUMBER(SEARCH("validacion de enel",PL[[#This Row],[SUPPLIER NOTES]])),"PTE Validar Enel","ABIERTO"))</f>
        <v>CERRADO</v>
      </c>
      <c r="P862" s="154" t="str">
        <f>IF(PL[[#This Row],[ESTADO]]="CERRADO","Cerrados IUP",IF(PL[[#This Row],[ESTADO]]="PTE Validar Enel","Pendiente cierre ENEL",IF(ISNUMBER(SEARCH("suministro",PL[[#This Row],[SUPPLIER NOTES]])),"Suministros",IF(PL[[#This Row],[SC]]="SOCIAL","Social",IF(ISNUMBER(SEARCH("monolito",PL[[#This Row],[DESCRIPTION]])),"Monolitos","Varios")))))</f>
        <v>Cerrados IUP</v>
      </c>
      <c r="Q8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3" spans="1:17" s="157" customFormat="1" hidden="1" x14ac:dyDescent="0.2">
      <c r="A863" s="151" t="s">
        <v>1626</v>
      </c>
      <c r="B863" s="154" t="s">
        <v>41</v>
      </c>
      <c r="C863" s="154">
        <v>9</v>
      </c>
      <c r="D863" s="153" t="s">
        <v>3383</v>
      </c>
      <c r="E863" s="154" t="s">
        <v>1627</v>
      </c>
      <c r="F863" s="154" t="s">
        <v>1628</v>
      </c>
      <c r="G863" s="154" t="s">
        <v>291</v>
      </c>
      <c r="H863" s="154" t="s">
        <v>1286</v>
      </c>
      <c r="I863" s="154" t="s">
        <v>1286</v>
      </c>
      <c r="J863" s="154" t="s">
        <v>74</v>
      </c>
      <c r="K863" s="154" t="s">
        <v>3394</v>
      </c>
      <c r="L863" s="161">
        <v>46176</v>
      </c>
      <c r="M863" s="160">
        <v>46176</v>
      </c>
      <c r="N863" s="154" t="str">
        <f>IF(ISNUMBER(PL[[#This Row],[CTO]]),"CTO "&amp;PL[[#This Row],[CTO]],"Otros")</f>
        <v>CTO 9</v>
      </c>
      <c r="O863" s="154" t="str">
        <f>IF(PL[[#This Row],[STATUS IUP]]="CERRADO","CERRADO",IF(ISNUMBER(SEARCH("validacion de enel",PL[[#This Row],[SUPPLIER NOTES]])),"PTE Validar Enel","ABIERTO"))</f>
        <v>CERRADO</v>
      </c>
      <c r="P863" s="154" t="str">
        <f>IF(PL[[#This Row],[ESTADO]]="CERRADO","Cerrados IUP",IF(PL[[#This Row],[ESTADO]]="PTE Validar Enel","Pendiente cierre ENEL",IF(ISNUMBER(SEARCH("suministro",PL[[#This Row],[SUPPLIER NOTES]])),"Suministros",IF(PL[[#This Row],[SC]]="SOCIAL","Social",IF(ISNUMBER(SEARCH("monolito",PL[[#This Row],[DESCRIPTION]])),"Monolitos","Varios")))))</f>
        <v>Cerrados IUP</v>
      </c>
      <c r="Q8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4" spans="1:17" s="157" customFormat="1" hidden="1" x14ac:dyDescent="0.2">
      <c r="A864" s="151" t="s">
        <v>1623</v>
      </c>
      <c r="B864" s="154" t="s">
        <v>929</v>
      </c>
      <c r="C864" s="154">
        <v>9</v>
      </c>
      <c r="D864" s="153" t="s">
        <v>3383</v>
      </c>
      <c r="E864" s="154" t="s">
        <v>1624</v>
      </c>
      <c r="F864" s="154" t="s">
        <v>1625</v>
      </c>
      <c r="G864" s="154" t="s">
        <v>1290</v>
      </c>
      <c r="H864" s="154" t="s">
        <v>163</v>
      </c>
      <c r="I864" s="154" t="s">
        <v>163</v>
      </c>
      <c r="J864" s="154" t="s">
        <v>74</v>
      </c>
      <c r="K864" s="154" t="s">
        <v>3394</v>
      </c>
      <c r="L864" s="161">
        <v>46156</v>
      </c>
      <c r="M864" s="160">
        <v>46156</v>
      </c>
      <c r="N864" s="154" t="str">
        <f>IF(ISNUMBER(PL[[#This Row],[CTO]]),"CTO "&amp;PL[[#This Row],[CTO]],"Otros")</f>
        <v>CTO 9</v>
      </c>
      <c r="O864" s="154" t="str">
        <f>IF(PL[[#This Row],[STATUS IUP]]="CERRADO","CERRADO",IF(ISNUMBER(SEARCH("validacion de enel",PL[[#This Row],[SUPPLIER NOTES]])),"PTE Validar Enel","ABIERTO"))</f>
        <v>CERRADO</v>
      </c>
      <c r="P864" s="154" t="str">
        <f>IF(PL[[#This Row],[ESTADO]]="CERRADO","Cerrados IUP",IF(PL[[#This Row],[ESTADO]]="PTE Validar Enel","Pendiente cierre ENEL",IF(ISNUMBER(SEARCH("suministro",PL[[#This Row],[SUPPLIER NOTES]])),"Suministros",IF(PL[[#This Row],[SC]]="SOCIAL","Social",IF(ISNUMBER(SEARCH("monolito",PL[[#This Row],[DESCRIPTION]])),"Monolitos","Varios")))))</f>
        <v>Cerrados IUP</v>
      </c>
      <c r="Q8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5" spans="1:17" s="157" customFormat="1" hidden="1" x14ac:dyDescent="0.2">
      <c r="A865" s="151" t="s">
        <v>2878</v>
      </c>
      <c r="B865" s="154" t="s">
        <v>929</v>
      </c>
      <c r="C865" s="154">
        <v>9</v>
      </c>
      <c r="D865" s="153" t="s">
        <v>3383</v>
      </c>
      <c r="E865" s="154" t="s">
        <v>2879</v>
      </c>
      <c r="F865" s="154" t="s">
        <v>2880</v>
      </c>
      <c r="G865" s="154" t="s">
        <v>1290</v>
      </c>
      <c r="H865" s="154" t="s">
        <v>163</v>
      </c>
      <c r="I865" s="154" t="s">
        <v>163</v>
      </c>
      <c r="J865" s="154" t="s">
        <v>74</v>
      </c>
      <c r="K865" s="154" t="s">
        <v>3394</v>
      </c>
      <c r="L865" s="161">
        <v>46156</v>
      </c>
      <c r="M865" s="160">
        <v>46156</v>
      </c>
      <c r="N865" s="154" t="str">
        <f>IF(ISNUMBER(PL[[#This Row],[CTO]]),"CTO "&amp;PL[[#This Row],[CTO]],"Otros")</f>
        <v>CTO 9</v>
      </c>
      <c r="O865" s="154" t="str">
        <f>IF(PL[[#This Row],[STATUS IUP]]="CERRADO","CERRADO",IF(ISNUMBER(SEARCH("validacion de enel",PL[[#This Row],[SUPPLIER NOTES]])),"PTE Validar Enel","ABIERTO"))</f>
        <v>CERRADO</v>
      </c>
      <c r="P865" s="154" t="str">
        <f>IF(PL[[#This Row],[ESTADO]]="CERRADO","Cerrados IUP",IF(PL[[#This Row],[ESTADO]]="PTE Validar Enel","Pendiente cierre ENEL",IF(ISNUMBER(SEARCH("suministro",PL[[#This Row],[SUPPLIER NOTES]])),"Suministros",IF(PL[[#This Row],[SC]]="SOCIAL","Social",IF(ISNUMBER(SEARCH("monolito",PL[[#This Row],[DESCRIPTION]])),"Monolitos","Varios")))))</f>
        <v>Cerrados IUP</v>
      </c>
      <c r="Q8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6" spans="1:17" s="157" customFormat="1" hidden="1" x14ac:dyDescent="0.2">
      <c r="A866" s="151" t="s">
        <v>2875</v>
      </c>
      <c r="B866" s="154" t="s">
        <v>41</v>
      </c>
      <c r="C866" s="154">
        <v>9</v>
      </c>
      <c r="D866" s="153" t="s">
        <v>3383</v>
      </c>
      <c r="E866" s="154" t="s">
        <v>2876</v>
      </c>
      <c r="F866" s="154" t="s">
        <v>2877</v>
      </c>
      <c r="G866" s="154" t="s">
        <v>1290</v>
      </c>
      <c r="H866" s="154" t="s">
        <v>163</v>
      </c>
      <c r="I866" s="154" t="s">
        <v>163</v>
      </c>
      <c r="J866" s="154" t="s">
        <v>74</v>
      </c>
      <c r="K866" s="154" t="s">
        <v>3394</v>
      </c>
      <c r="L866" s="161">
        <v>46233</v>
      </c>
      <c r="M866" s="160">
        <v>46233</v>
      </c>
      <c r="N866" s="154" t="str">
        <f>IF(ISNUMBER(PL[[#This Row],[CTO]]),"CTO "&amp;PL[[#This Row],[CTO]],"Otros")</f>
        <v>CTO 9</v>
      </c>
      <c r="O866" s="154" t="str">
        <f>IF(PL[[#This Row],[STATUS IUP]]="CERRADO","CERRADO",IF(ISNUMBER(SEARCH("validacion de enel",PL[[#This Row],[SUPPLIER NOTES]])),"PTE Validar Enel","ABIERTO"))</f>
        <v>CERRADO</v>
      </c>
      <c r="P866" s="154" t="str">
        <f>IF(PL[[#This Row],[ESTADO]]="CERRADO","Cerrados IUP",IF(PL[[#This Row],[ESTADO]]="PTE Validar Enel","Pendiente cierre ENEL",IF(ISNUMBER(SEARCH("suministro",PL[[#This Row],[SUPPLIER NOTES]])),"Suministros",IF(PL[[#This Row],[SC]]="SOCIAL","Social",IF(ISNUMBER(SEARCH("monolito",PL[[#This Row],[DESCRIPTION]])),"Monolitos","Varios")))))</f>
        <v>Cerrados IUP</v>
      </c>
      <c r="Q8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7" spans="1:17" s="157" customFormat="1" hidden="1" x14ac:dyDescent="0.2">
      <c r="A867" s="151" t="s">
        <v>2352</v>
      </c>
      <c r="B867" s="154" t="s">
        <v>41</v>
      </c>
      <c r="C867" s="154">
        <v>9</v>
      </c>
      <c r="D867" s="153" t="s">
        <v>3383</v>
      </c>
      <c r="E867" s="154" t="s">
        <v>2353</v>
      </c>
      <c r="F867" s="154" t="s">
        <v>2354</v>
      </c>
      <c r="G867" s="154" t="s">
        <v>1290</v>
      </c>
      <c r="H867" s="154" t="s">
        <v>163</v>
      </c>
      <c r="I867" s="154" t="s">
        <v>163</v>
      </c>
      <c r="J867" s="154" t="s">
        <v>74</v>
      </c>
      <c r="K867" s="154" t="s">
        <v>3394</v>
      </c>
      <c r="L867" s="161">
        <v>46233</v>
      </c>
      <c r="M867" s="160">
        <v>46233</v>
      </c>
      <c r="N867" s="154" t="str">
        <f>IF(ISNUMBER(PL[[#This Row],[CTO]]),"CTO "&amp;PL[[#This Row],[CTO]],"Otros")</f>
        <v>CTO 9</v>
      </c>
      <c r="O867" s="154" t="str">
        <f>IF(PL[[#This Row],[STATUS IUP]]="CERRADO","CERRADO",IF(ISNUMBER(SEARCH("validacion de enel",PL[[#This Row],[SUPPLIER NOTES]])),"PTE Validar Enel","ABIERTO"))</f>
        <v>CERRADO</v>
      </c>
      <c r="P867" s="154" t="str">
        <f>IF(PL[[#This Row],[ESTADO]]="CERRADO","Cerrados IUP",IF(PL[[#This Row],[ESTADO]]="PTE Validar Enel","Pendiente cierre ENEL",IF(ISNUMBER(SEARCH("suministro",PL[[#This Row],[SUPPLIER NOTES]])),"Suministros",IF(PL[[#This Row],[SC]]="SOCIAL","Social",IF(ISNUMBER(SEARCH("monolito",PL[[#This Row],[DESCRIPTION]])),"Monolitos","Varios")))))</f>
        <v>Cerrados IUP</v>
      </c>
      <c r="Q8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8" spans="1:17" s="157" customFormat="1" hidden="1" x14ac:dyDescent="0.2">
      <c r="A868" s="151" t="s">
        <v>1620</v>
      </c>
      <c r="B868" s="154" t="s">
        <v>41</v>
      </c>
      <c r="C868" s="154">
        <v>9</v>
      </c>
      <c r="D868" s="153" t="s">
        <v>3383</v>
      </c>
      <c r="E868" s="154" t="s">
        <v>1621</v>
      </c>
      <c r="F868" s="154" t="s">
        <v>1622</v>
      </c>
      <c r="G868" s="154" t="s">
        <v>1290</v>
      </c>
      <c r="H868" s="154" t="s">
        <v>163</v>
      </c>
      <c r="I868" s="154" t="s">
        <v>163</v>
      </c>
      <c r="J868" s="154" t="s">
        <v>74</v>
      </c>
      <c r="K868" s="154" t="s">
        <v>3394</v>
      </c>
      <c r="L868" s="161">
        <v>46154</v>
      </c>
      <c r="M868" s="160">
        <v>46154</v>
      </c>
      <c r="N868" s="154" t="str">
        <f>IF(ISNUMBER(PL[[#This Row],[CTO]]),"CTO "&amp;PL[[#This Row],[CTO]],"Otros")</f>
        <v>CTO 9</v>
      </c>
      <c r="O868" s="154" t="str">
        <f>IF(PL[[#This Row],[STATUS IUP]]="CERRADO","CERRADO",IF(ISNUMBER(SEARCH("validacion de enel",PL[[#This Row],[SUPPLIER NOTES]])),"PTE Validar Enel","ABIERTO"))</f>
        <v>CERRADO</v>
      </c>
      <c r="P868" s="154" t="str">
        <f>IF(PL[[#This Row],[ESTADO]]="CERRADO","Cerrados IUP",IF(PL[[#This Row],[ESTADO]]="PTE Validar Enel","Pendiente cierre ENEL",IF(ISNUMBER(SEARCH("suministro",PL[[#This Row],[SUPPLIER NOTES]])),"Suministros",IF(PL[[#This Row],[SC]]="SOCIAL","Social",IF(ISNUMBER(SEARCH("monolito",PL[[#This Row],[DESCRIPTION]])),"Monolitos","Varios")))))</f>
        <v>Cerrados IUP</v>
      </c>
      <c r="Q8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69" spans="1:17" s="157" customFormat="1" hidden="1" x14ac:dyDescent="0.2">
      <c r="A869" s="151" t="s">
        <v>2349</v>
      </c>
      <c r="B869" s="154" t="s">
        <v>1297</v>
      </c>
      <c r="C869" s="154">
        <v>9</v>
      </c>
      <c r="D869" s="153" t="s">
        <v>3383</v>
      </c>
      <c r="E869" s="154" t="s">
        <v>2350</v>
      </c>
      <c r="F869" s="154" t="s">
        <v>2351</v>
      </c>
      <c r="G869" s="154" t="s">
        <v>1290</v>
      </c>
      <c r="H869" s="154" t="s">
        <v>163</v>
      </c>
      <c r="I869" s="154" t="s">
        <v>163</v>
      </c>
      <c r="J869" s="154" t="s">
        <v>74</v>
      </c>
      <c r="K869" s="154" t="s">
        <v>3394</v>
      </c>
      <c r="L869" s="161">
        <v>46156</v>
      </c>
      <c r="M869" s="160">
        <v>46156</v>
      </c>
      <c r="N869" s="154" t="str">
        <f>IF(ISNUMBER(PL[[#This Row],[CTO]]),"CTO "&amp;PL[[#This Row],[CTO]],"Otros")</f>
        <v>CTO 9</v>
      </c>
      <c r="O869" s="154" t="str">
        <f>IF(PL[[#This Row],[STATUS IUP]]="CERRADO","CERRADO",IF(ISNUMBER(SEARCH("validacion de enel",PL[[#This Row],[SUPPLIER NOTES]])),"PTE Validar Enel","ABIERTO"))</f>
        <v>CERRADO</v>
      </c>
      <c r="P869" s="154" t="str">
        <f>IF(PL[[#This Row],[ESTADO]]="CERRADO","Cerrados IUP",IF(PL[[#This Row],[ESTADO]]="PTE Validar Enel","Pendiente cierre ENEL",IF(ISNUMBER(SEARCH("suministro",PL[[#This Row],[SUPPLIER NOTES]])),"Suministros",IF(PL[[#This Row],[SC]]="SOCIAL","Social",IF(ISNUMBER(SEARCH("monolito",PL[[#This Row],[DESCRIPTION]])),"Monolitos","Varios")))))</f>
        <v>Cerrados IUP</v>
      </c>
      <c r="Q8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0" spans="1:17" s="157" customFormat="1" hidden="1" x14ac:dyDescent="0.2">
      <c r="A870" s="151" t="s">
        <v>2554</v>
      </c>
      <c r="B870" s="154" t="s">
        <v>1291</v>
      </c>
      <c r="C870" s="154">
        <v>9</v>
      </c>
      <c r="D870" s="153" t="s">
        <v>3383</v>
      </c>
      <c r="E870" s="154" t="s">
        <v>2555</v>
      </c>
      <c r="F870" s="154" t="s">
        <v>2556</v>
      </c>
      <c r="G870" s="154" t="s">
        <v>1290</v>
      </c>
      <c r="H870" s="154" t="s">
        <v>163</v>
      </c>
      <c r="I870" s="154" t="s">
        <v>163</v>
      </c>
      <c r="J870" s="154" t="s">
        <v>74</v>
      </c>
      <c r="K870" s="154" t="s">
        <v>3394</v>
      </c>
      <c r="L870" s="161">
        <v>46233</v>
      </c>
      <c r="M870" s="160">
        <v>46233</v>
      </c>
      <c r="N870" s="154" t="str">
        <f>IF(ISNUMBER(PL[[#This Row],[CTO]]),"CTO "&amp;PL[[#This Row],[CTO]],"Otros")</f>
        <v>CTO 9</v>
      </c>
      <c r="O870" s="154" t="str">
        <f>IF(PL[[#This Row],[STATUS IUP]]="CERRADO","CERRADO",IF(ISNUMBER(SEARCH("validacion de enel",PL[[#This Row],[SUPPLIER NOTES]])),"PTE Validar Enel","ABIERTO"))</f>
        <v>CERRADO</v>
      </c>
      <c r="P870" s="154" t="str">
        <f>IF(PL[[#This Row],[ESTADO]]="CERRADO","Cerrados IUP",IF(PL[[#This Row],[ESTADO]]="PTE Validar Enel","Pendiente cierre ENEL",IF(ISNUMBER(SEARCH("suministro",PL[[#This Row],[SUPPLIER NOTES]])),"Suministros",IF(PL[[#This Row],[SC]]="SOCIAL","Social",IF(ISNUMBER(SEARCH("monolito",PL[[#This Row],[DESCRIPTION]])),"Monolitos","Varios")))))</f>
        <v>Cerrados IUP</v>
      </c>
      <c r="Q8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1" spans="1:17" s="157" customFormat="1" hidden="1" x14ac:dyDescent="0.2">
      <c r="A871" s="151" t="s">
        <v>1861</v>
      </c>
      <c r="B871" s="154" t="s">
        <v>41</v>
      </c>
      <c r="C871" s="154">
        <v>9</v>
      </c>
      <c r="D871" s="153" t="s">
        <v>3383</v>
      </c>
      <c r="E871" s="154" t="s">
        <v>1862</v>
      </c>
      <c r="F871" s="154" t="s">
        <v>1863</v>
      </c>
      <c r="G871" s="154" t="s">
        <v>1290</v>
      </c>
      <c r="H871" s="154" t="s">
        <v>1864</v>
      </c>
      <c r="I871" s="154" t="s">
        <v>73</v>
      </c>
      <c r="J871" s="154" t="s">
        <v>74</v>
      </c>
      <c r="K871" s="154" t="s">
        <v>3394</v>
      </c>
      <c r="L871" s="161">
        <v>46213</v>
      </c>
      <c r="M871" s="160">
        <v>46153</v>
      </c>
      <c r="N871" s="154" t="str">
        <f>IF(ISNUMBER(PL[[#This Row],[CTO]]),"CTO "&amp;PL[[#This Row],[CTO]],"Otros")</f>
        <v>CTO 9</v>
      </c>
      <c r="O871" s="154" t="str">
        <f>IF(PL[[#This Row],[STATUS IUP]]="CERRADO","CERRADO",IF(ISNUMBER(SEARCH("validacion de enel",PL[[#This Row],[SUPPLIER NOTES]])),"PTE Validar Enel","ABIERTO"))</f>
        <v>CERRADO</v>
      </c>
      <c r="P871" s="154" t="str">
        <f>IF(PL[[#This Row],[ESTADO]]="CERRADO","Cerrados IUP",IF(PL[[#This Row],[ESTADO]]="PTE Validar Enel","Pendiente cierre ENEL",IF(ISNUMBER(SEARCH("suministro",PL[[#This Row],[SUPPLIER NOTES]])),"Suministros",IF(PL[[#This Row],[SC]]="SOCIAL","Social",IF(ISNUMBER(SEARCH("monolito",PL[[#This Row],[DESCRIPTION]])),"Monolitos","Varios")))))</f>
        <v>Cerrados IUP</v>
      </c>
      <c r="Q8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2" spans="1:17" s="157" customFormat="1" hidden="1" x14ac:dyDescent="0.2">
      <c r="A872" s="151" t="s">
        <v>2205</v>
      </c>
      <c r="B872" s="154" t="s">
        <v>1291</v>
      </c>
      <c r="C872" s="154">
        <v>9</v>
      </c>
      <c r="D872" s="153" t="s">
        <v>3383</v>
      </c>
      <c r="E872" s="154" t="s">
        <v>2206</v>
      </c>
      <c r="F872" s="154" t="s">
        <v>2207</v>
      </c>
      <c r="G872" s="154" t="s">
        <v>1290</v>
      </c>
      <c r="H872" s="154" t="s">
        <v>163</v>
      </c>
      <c r="I872" s="154" t="s">
        <v>163</v>
      </c>
      <c r="J872" s="154" t="s">
        <v>74</v>
      </c>
      <c r="K872" s="154" t="s">
        <v>3394</v>
      </c>
      <c r="L872" s="161">
        <v>46233</v>
      </c>
      <c r="M872" s="160">
        <v>46233</v>
      </c>
      <c r="N872" s="154" t="str">
        <f>IF(ISNUMBER(PL[[#This Row],[CTO]]),"CTO "&amp;PL[[#This Row],[CTO]],"Otros")</f>
        <v>CTO 9</v>
      </c>
      <c r="O872" s="154" t="str">
        <f>IF(PL[[#This Row],[STATUS IUP]]="CERRADO","CERRADO",IF(ISNUMBER(SEARCH("validacion de enel",PL[[#This Row],[SUPPLIER NOTES]])),"PTE Validar Enel","ABIERTO"))</f>
        <v>CERRADO</v>
      </c>
      <c r="P872" s="154" t="str">
        <f>IF(PL[[#This Row],[ESTADO]]="CERRADO","Cerrados IUP",IF(PL[[#This Row],[ESTADO]]="PTE Validar Enel","Pendiente cierre ENEL",IF(ISNUMBER(SEARCH("suministro",PL[[#This Row],[SUPPLIER NOTES]])),"Suministros",IF(PL[[#This Row],[SC]]="SOCIAL","Social",IF(ISNUMBER(SEARCH("monolito",PL[[#This Row],[DESCRIPTION]])),"Monolitos","Varios")))))</f>
        <v>Cerrados IUP</v>
      </c>
      <c r="Q8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3" spans="1:17" s="157" customFormat="1" hidden="1" x14ac:dyDescent="0.2">
      <c r="A873" s="151" t="s">
        <v>2037</v>
      </c>
      <c r="B873" s="154" t="s">
        <v>1291</v>
      </c>
      <c r="C873" s="154">
        <v>9</v>
      </c>
      <c r="D873" s="153" t="s">
        <v>3383</v>
      </c>
      <c r="E873" s="154" t="s">
        <v>2038</v>
      </c>
      <c r="F873" s="154" t="s">
        <v>2039</v>
      </c>
      <c r="G873" s="154" t="s">
        <v>1290</v>
      </c>
      <c r="H873" s="154"/>
      <c r="I873" s="154"/>
      <c r="J873" s="154" t="s">
        <v>74</v>
      </c>
      <c r="K873" s="154" t="s">
        <v>3394</v>
      </c>
      <c r="L873" s="154"/>
      <c r="M873" s="156"/>
      <c r="N873" s="154" t="str">
        <f>IF(ISNUMBER(PL[[#This Row],[CTO]]),"CTO "&amp;PL[[#This Row],[CTO]],"Otros")</f>
        <v>CTO 9</v>
      </c>
      <c r="O873" s="154" t="str">
        <f>IF(PL[[#This Row],[STATUS IUP]]="CERRADO","CERRADO",IF(ISNUMBER(SEARCH("validacion de enel",PL[[#This Row],[SUPPLIER NOTES]])),"PTE Validar Enel","ABIERTO"))</f>
        <v>CERRADO</v>
      </c>
      <c r="P873" s="154" t="str">
        <f>IF(PL[[#This Row],[ESTADO]]="CERRADO","Cerrados IUP",IF(PL[[#This Row],[ESTADO]]="PTE Validar Enel","Pendiente cierre ENEL",IF(ISNUMBER(SEARCH("suministro",PL[[#This Row],[SUPPLIER NOTES]])),"Suministros",IF(PL[[#This Row],[SC]]="SOCIAL","Social",IF(ISNUMBER(SEARCH("monolito",PL[[#This Row],[DESCRIPTION]])),"Monolitos","Varios")))))</f>
        <v>Cerrados IUP</v>
      </c>
      <c r="Q8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4" spans="1:17" s="157" customFormat="1" hidden="1" x14ac:dyDescent="0.2">
      <c r="A874" s="151" t="s">
        <v>2925</v>
      </c>
      <c r="B874" s="154" t="s">
        <v>1291</v>
      </c>
      <c r="C874" s="154">
        <v>9</v>
      </c>
      <c r="D874" s="153" t="s">
        <v>3383</v>
      </c>
      <c r="E874" s="154" t="s">
        <v>2926</v>
      </c>
      <c r="F874" s="154" t="s">
        <v>2927</v>
      </c>
      <c r="G874" s="154" t="s">
        <v>1290</v>
      </c>
      <c r="H874" s="154"/>
      <c r="I874" s="154"/>
      <c r="J874" s="154" t="s">
        <v>74</v>
      </c>
      <c r="K874" s="154" t="s">
        <v>3394</v>
      </c>
      <c r="L874" s="154"/>
      <c r="M874" s="156"/>
      <c r="N874" s="154" t="str">
        <f>IF(ISNUMBER(PL[[#This Row],[CTO]]),"CTO "&amp;PL[[#This Row],[CTO]],"Otros")</f>
        <v>CTO 9</v>
      </c>
      <c r="O874" s="154" t="str">
        <f>IF(PL[[#This Row],[STATUS IUP]]="CERRADO","CERRADO",IF(ISNUMBER(SEARCH("validacion de enel",PL[[#This Row],[SUPPLIER NOTES]])),"PTE Validar Enel","ABIERTO"))</f>
        <v>CERRADO</v>
      </c>
      <c r="P874" s="154" t="str">
        <f>IF(PL[[#This Row],[ESTADO]]="CERRADO","Cerrados IUP",IF(PL[[#This Row],[ESTADO]]="PTE Validar Enel","Pendiente cierre ENEL",IF(ISNUMBER(SEARCH("suministro",PL[[#This Row],[SUPPLIER NOTES]])),"Suministros",IF(PL[[#This Row],[SC]]="SOCIAL","Social",IF(ISNUMBER(SEARCH("monolito",PL[[#This Row],[DESCRIPTION]])),"Monolitos","Varios")))))</f>
        <v>Cerrados IUP</v>
      </c>
      <c r="Q8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5" spans="1:17" s="157" customFormat="1" hidden="1" x14ac:dyDescent="0.2">
      <c r="A875" s="151" t="s">
        <v>2101</v>
      </c>
      <c r="B875" s="154" t="s">
        <v>1291</v>
      </c>
      <c r="C875" s="154">
        <v>9</v>
      </c>
      <c r="D875" s="153" t="s">
        <v>3383</v>
      </c>
      <c r="E875" s="154" t="s">
        <v>2102</v>
      </c>
      <c r="F875" s="154" t="s">
        <v>2103</v>
      </c>
      <c r="G875" s="154" t="s">
        <v>1290</v>
      </c>
      <c r="H875" s="154" t="s">
        <v>163</v>
      </c>
      <c r="I875" s="154" t="s">
        <v>163</v>
      </c>
      <c r="J875" s="154" t="s">
        <v>74</v>
      </c>
      <c r="K875" s="154" t="s">
        <v>3394</v>
      </c>
      <c r="L875" s="161">
        <v>46154</v>
      </c>
      <c r="M875" s="160">
        <v>46154</v>
      </c>
      <c r="N875" s="154" t="str">
        <f>IF(ISNUMBER(PL[[#This Row],[CTO]]),"CTO "&amp;PL[[#This Row],[CTO]],"Otros")</f>
        <v>CTO 9</v>
      </c>
      <c r="O875" s="154" t="str">
        <f>IF(PL[[#This Row],[STATUS IUP]]="CERRADO","CERRADO",IF(ISNUMBER(SEARCH("validacion de enel",PL[[#This Row],[SUPPLIER NOTES]])),"PTE Validar Enel","ABIERTO"))</f>
        <v>CERRADO</v>
      </c>
      <c r="P875" s="154" t="str">
        <f>IF(PL[[#This Row],[ESTADO]]="CERRADO","Cerrados IUP",IF(PL[[#This Row],[ESTADO]]="PTE Validar Enel","Pendiente cierre ENEL",IF(ISNUMBER(SEARCH("suministro",PL[[#This Row],[SUPPLIER NOTES]])),"Suministros",IF(PL[[#This Row],[SC]]="SOCIAL","Social",IF(ISNUMBER(SEARCH("monolito",PL[[#This Row],[DESCRIPTION]])),"Monolitos","Varios")))))</f>
        <v>Cerrados IUP</v>
      </c>
      <c r="Q8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6" spans="1:17" s="157" customFormat="1" hidden="1" x14ac:dyDescent="0.2">
      <c r="A876" s="151" t="s">
        <v>2173</v>
      </c>
      <c r="B876" s="154" t="s">
        <v>1291</v>
      </c>
      <c r="C876" s="154">
        <v>9</v>
      </c>
      <c r="D876" s="153" t="s">
        <v>3383</v>
      </c>
      <c r="E876" s="154" t="s">
        <v>2174</v>
      </c>
      <c r="F876" s="154" t="s">
        <v>2175</v>
      </c>
      <c r="G876" s="154" t="s">
        <v>1290</v>
      </c>
      <c r="H876" s="154" t="s">
        <v>163</v>
      </c>
      <c r="I876" s="154" t="s">
        <v>163</v>
      </c>
      <c r="J876" s="154" t="s">
        <v>74</v>
      </c>
      <c r="K876" s="154" t="s">
        <v>3394</v>
      </c>
      <c r="L876" s="161">
        <v>46156</v>
      </c>
      <c r="M876" s="160">
        <v>46156</v>
      </c>
      <c r="N876" s="154" t="str">
        <f>IF(ISNUMBER(PL[[#This Row],[CTO]]),"CTO "&amp;PL[[#This Row],[CTO]],"Otros")</f>
        <v>CTO 9</v>
      </c>
      <c r="O876" s="154" t="str">
        <f>IF(PL[[#This Row],[STATUS IUP]]="CERRADO","CERRADO",IF(ISNUMBER(SEARCH("validacion de enel",PL[[#This Row],[SUPPLIER NOTES]])),"PTE Validar Enel","ABIERTO"))</f>
        <v>CERRADO</v>
      </c>
      <c r="P876" s="154" t="str">
        <f>IF(PL[[#This Row],[ESTADO]]="CERRADO","Cerrados IUP",IF(PL[[#This Row],[ESTADO]]="PTE Validar Enel","Pendiente cierre ENEL",IF(ISNUMBER(SEARCH("suministro",PL[[#This Row],[SUPPLIER NOTES]])),"Suministros",IF(PL[[#This Row],[SC]]="SOCIAL","Social",IF(ISNUMBER(SEARCH("monolito",PL[[#This Row],[DESCRIPTION]])),"Monolitos","Varios")))))</f>
        <v>Cerrados IUP</v>
      </c>
      <c r="Q8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7" spans="1:17" s="157" customFormat="1" hidden="1" x14ac:dyDescent="0.2">
      <c r="A877" s="151" t="s">
        <v>2278</v>
      </c>
      <c r="B877" s="154" t="s">
        <v>1291</v>
      </c>
      <c r="C877" s="154">
        <v>9</v>
      </c>
      <c r="D877" s="153" t="s">
        <v>3383</v>
      </c>
      <c r="E877" s="154" t="s">
        <v>2279</v>
      </c>
      <c r="F877" s="154" t="s">
        <v>2280</v>
      </c>
      <c r="G877" s="154" t="s">
        <v>1290</v>
      </c>
      <c r="H877" s="154" t="s">
        <v>163</v>
      </c>
      <c r="I877" s="154" t="s">
        <v>163</v>
      </c>
      <c r="J877" s="154" t="s">
        <v>74</v>
      </c>
      <c r="K877" s="154" t="s">
        <v>3394</v>
      </c>
      <c r="L877" s="161">
        <v>46233</v>
      </c>
      <c r="M877" s="160">
        <v>46233</v>
      </c>
      <c r="N877" s="154" t="str">
        <f>IF(ISNUMBER(PL[[#This Row],[CTO]]),"CTO "&amp;PL[[#This Row],[CTO]],"Otros")</f>
        <v>CTO 9</v>
      </c>
      <c r="O877" s="154" t="str">
        <f>IF(PL[[#This Row],[STATUS IUP]]="CERRADO","CERRADO",IF(ISNUMBER(SEARCH("validacion de enel",PL[[#This Row],[SUPPLIER NOTES]])),"PTE Validar Enel","ABIERTO"))</f>
        <v>CERRADO</v>
      </c>
      <c r="P877" s="154" t="str">
        <f>IF(PL[[#This Row],[ESTADO]]="CERRADO","Cerrados IUP",IF(PL[[#This Row],[ESTADO]]="PTE Validar Enel","Pendiente cierre ENEL",IF(ISNUMBER(SEARCH("suministro",PL[[#This Row],[SUPPLIER NOTES]])),"Suministros",IF(PL[[#This Row],[SC]]="SOCIAL","Social",IF(ISNUMBER(SEARCH("monolito",PL[[#This Row],[DESCRIPTION]])),"Monolitos","Varios")))))</f>
        <v>Cerrados IUP</v>
      </c>
      <c r="Q8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8" spans="1:17" s="157" customFormat="1" hidden="1" x14ac:dyDescent="0.2">
      <c r="A878" s="151" t="s">
        <v>1616</v>
      </c>
      <c r="B878" s="154" t="s">
        <v>1291</v>
      </c>
      <c r="C878" s="154">
        <v>9</v>
      </c>
      <c r="D878" s="153" t="s">
        <v>3383</v>
      </c>
      <c r="E878" s="154" t="s">
        <v>1617</v>
      </c>
      <c r="F878" s="154" t="s">
        <v>1618</v>
      </c>
      <c r="G878" s="154" t="s">
        <v>1290</v>
      </c>
      <c r="H878" s="154" t="s">
        <v>1619</v>
      </c>
      <c r="I878" s="154" t="s">
        <v>1520</v>
      </c>
      <c r="J878" s="154" t="s">
        <v>74</v>
      </c>
      <c r="K878" s="154" t="s">
        <v>3394</v>
      </c>
      <c r="L878" s="161">
        <v>46154</v>
      </c>
      <c r="M878" s="160">
        <v>46153</v>
      </c>
      <c r="N878" s="154" t="str">
        <f>IF(ISNUMBER(PL[[#This Row],[CTO]]),"CTO "&amp;PL[[#This Row],[CTO]],"Otros")</f>
        <v>CTO 9</v>
      </c>
      <c r="O878" s="154" t="str">
        <f>IF(PL[[#This Row],[STATUS IUP]]="CERRADO","CERRADO",IF(ISNUMBER(SEARCH("validacion de enel",PL[[#This Row],[SUPPLIER NOTES]])),"PTE Validar Enel","ABIERTO"))</f>
        <v>CERRADO</v>
      </c>
      <c r="P878" s="154" t="str">
        <f>IF(PL[[#This Row],[ESTADO]]="CERRADO","Cerrados IUP",IF(PL[[#This Row],[ESTADO]]="PTE Validar Enel","Pendiente cierre ENEL",IF(ISNUMBER(SEARCH("suministro",PL[[#This Row],[SUPPLIER NOTES]])),"Suministros",IF(PL[[#This Row],[SC]]="SOCIAL","Social",IF(ISNUMBER(SEARCH("monolito",PL[[#This Row],[DESCRIPTION]])),"Monolitos","Varios")))))</f>
        <v>Cerrados IUP</v>
      </c>
      <c r="Q8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79" spans="1:17" s="157" customFormat="1" hidden="1" x14ac:dyDescent="0.2">
      <c r="A879" s="151" t="s">
        <v>2921</v>
      </c>
      <c r="B879" s="154" t="s">
        <v>929</v>
      </c>
      <c r="C879" s="154">
        <v>9</v>
      </c>
      <c r="D879" s="153" t="s">
        <v>3383</v>
      </c>
      <c r="E879" s="154" t="s">
        <v>2922</v>
      </c>
      <c r="F879" s="154" t="s">
        <v>2923</v>
      </c>
      <c r="G879" s="154" t="s">
        <v>1290</v>
      </c>
      <c r="H879" s="154"/>
      <c r="I879" s="154" t="s">
        <v>2924</v>
      </c>
      <c r="J879" s="154" t="s">
        <v>74</v>
      </c>
      <c r="K879" s="154" t="s">
        <v>3394</v>
      </c>
      <c r="L879" s="161">
        <v>46154</v>
      </c>
      <c r="M879" s="160">
        <v>46154</v>
      </c>
      <c r="N879" s="154" t="str">
        <f>IF(ISNUMBER(PL[[#This Row],[CTO]]),"CTO "&amp;PL[[#This Row],[CTO]],"Otros")</f>
        <v>CTO 9</v>
      </c>
      <c r="O879" s="154" t="str">
        <f>IF(PL[[#This Row],[STATUS IUP]]="CERRADO","CERRADO",IF(ISNUMBER(SEARCH("validacion de enel",PL[[#This Row],[SUPPLIER NOTES]])),"PTE Validar Enel","ABIERTO"))</f>
        <v>CERRADO</v>
      </c>
      <c r="P879" s="154" t="str">
        <f>IF(PL[[#This Row],[ESTADO]]="CERRADO","Cerrados IUP",IF(PL[[#This Row],[ESTADO]]="PTE Validar Enel","Pendiente cierre ENEL",IF(ISNUMBER(SEARCH("suministro",PL[[#This Row],[SUPPLIER NOTES]])),"Suministros",IF(PL[[#This Row],[SC]]="SOCIAL","Social",IF(ISNUMBER(SEARCH("monolito",PL[[#This Row],[DESCRIPTION]])),"Monolitos","Varios")))))</f>
        <v>Cerrados IUP</v>
      </c>
      <c r="Q8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0" spans="1:17" s="157" customFormat="1" hidden="1" x14ac:dyDescent="0.2">
      <c r="A880" s="151" t="s">
        <v>1868</v>
      </c>
      <c r="B880" s="154" t="s">
        <v>41</v>
      </c>
      <c r="C880" s="154">
        <v>9</v>
      </c>
      <c r="D880" s="153" t="s">
        <v>3383</v>
      </c>
      <c r="E880" s="154" t="s">
        <v>1869</v>
      </c>
      <c r="F880" s="154" t="s">
        <v>1870</v>
      </c>
      <c r="G880" s="154" t="s">
        <v>1290</v>
      </c>
      <c r="H880" s="154" t="s">
        <v>163</v>
      </c>
      <c r="I880" s="154" t="s">
        <v>163</v>
      </c>
      <c r="J880" s="154" t="s">
        <v>74</v>
      </c>
      <c r="K880" s="154" t="s">
        <v>3394</v>
      </c>
      <c r="L880" s="161">
        <v>46233</v>
      </c>
      <c r="M880" s="160">
        <v>46233</v>
      </c>
      <c r="N880" s="154" t="str">
        <f>IF(ISNUMBER(PL[[#This Row],[CTO]]),"CTO "&amp;PL[[#This Row],[CTO]],"Otros")</f>
        <v>CTO 9</v>
      </c>
      <c r="O880" s="154" t="str">
        <f>IF(PL[[#This Row],[STATUS IUP]]="CERRADO","CERRADO",IF(ISNUMBER(SEARCH("validacion de enel",PL[[#This Row],[SUPPLIER NOTES]])),"PTE Validar Enel","ABIERTO"))</f>
        <v>CERRADO</v>
      </c>
      <c r="P880" s="154" t="str">
        <f>IF(PL[[#This Row],[ESTADO]]="CERRADO","Cerrados IUP",IF(PL[[#This Row],[ESTADO]]="PTE Validar Enel","Pendiente cierre ENEL",IF(ISNUMBER(SEARCH("suministro",PL[[#This Row],[SUPPLIER NOTES]])),"Suministros",IF(PL[[#This Row],[SC]]="SOCIAL","Social",IF(ISNUMBER(SEARCH("monolito",PL[[#This Row],[DESCRIPTION]])),"Monolitos","Varios")))))</f>
        <v>Cerrados IUP</v>
      </c>
      <c r="Q8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1" spans="1:17" s="157" customFormat="1" hidden="1" x14ac:dyDescent="0.2">
      <c r="A881" s="151" t="s">
        <v>2146</v>
      </c>
      <c r="B881" s="154" t="s">
        <v>41</v>
      </c>
      <c r="C881" s="154">
        <v>9</v>
      </c>
      <c r="D881" s="153" t="s">
        <v>3383</v>
      </c>
      <c r="E881" s="154" t="s">
        <v>2147</v>
      </c>
      <c r="F881" s="154" t="s">
        <v>2148</v>
      </c>
      <c r="G881" s="154" t="s">
        <v>1290</v>
      </c>
      <c r="H881" s="154" t="s">
        <v>2149</v>
      </c>
      <c r="I881" s="154" t="s">
        <v>1520</v>
      </c>
      <c r="J881" s="154" t="s">
        <v>74</v>
      </c>
      <c r="K881" s="154" t="s">
        <v>3394</v>
      </c>
      <c r="L881" s="161">
        <v>46154</v>
      </c>
      <c r="M881" s="160">
        <v>46153</v>
      </c>
      <c r="N881" s="154" t="str">
        <f>IF(ISNUMBER(PL[[#This Row],[CTO]]),"CTO "&amp;PL[[#This Row],[CTO]],"Otros")</f>
        <v>CTO 9</v>
      </c>
      <c r="O881" s="154" t="str">
        <f>IF(PL[[#This Row],[STATUS IUP]]="CERRADO","CERRADO",IF(ISNUMBER(SEARCH("validacion de enel",PL[[#This Row],[SUPPLIER NOTES]])),"PTE Validar Enel","ABIERTO"))</f>
        <v>CERRADO</v>
      </c>
      <c r="P881" s="154" t="str">
        <f>IF(PL[[#This Row],[ESTADO]]="CERRADO","Cerrados IUP",IF(PL[[#This Row],[ESTADO]]="PTE Validar Enel","Pendiente cierre ENEL",IF(ISNUMBER(SEARCH("suministro",PL[[#This Row],[SUPPLIER NOTES]])),"Suministros",IF(PL[[#This Row],[SC]]="SOCIAL","Social",IF(ISNUMBER(SEARCH("monolito",PL[[#This Row],[DESCRIPTION]])),"Monolitos","Varios")))))</f>
        <v>Cerrados IUP</v>
      </c>
      <c r="Q8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2" spans="1:17" s="157" customFormat="1" hidden="1" x14ac:dyDescent="0.2">
      <c r="A882" s="151" t="s">
        <v>2314</v>
      </c>
      <c r="B882" s="154" t="s">
        <v>1297</v>
      </c>
      <c r="C882" s="154">
        <v>9</v>
      </c>
      <c r="D882" s="153" t="s">
        <v>3383</v>
      </c>
      <c r="E882" s="154" t="s">
        <v>2315</v>
      </c>
      <c r="F882" s="154" t="s">
        <v>2316</v>
      </c>
      <c r="G882" s="154" t="s">
        <v>1290</v>
      </c>
      <c r="H882" s="154" t="s">
        <v>2317</v>
      </c>
      <c r="I882" s="154" t="s">
        <v>1520</v>
      </c>
      <c r="J882" s="154" t="s">
        <v>74</v>
      </c>
      <c r="K882" s="154" t="s">
        <v>3394</v>
      </c>
      <c r="L882" s="161">
        <v>46155</v>
      </c>
      <c r="M882" s="160">
        <v>46153</v>
      </c>
      <c r="N882" s="154" t="str">
        <f>IF(ISNUMBER(PL[[#This Row],[CTO]]),"CTO "&amp;PL[[#This Row],[CTO]],"Otros")</f>
        <v>CTO 9</v>
      </c>
      <c r="O882" s="154" t="str">
        <f>IF(PL[[#This Row],[STATUS IUP]]="CERRADO","CERRADO",IF(ISNUMBER(SEARCH("validacion de enel",PL[[#This Row],[SUPPLIER NOTES]])),"PTE Validar Enel","ABIERTO"))</f>
        <v>CERRADO</v>
      </c>
      <c r="P882" s="154" t="str">
        <f>IF(PL[[#This Row],[ESTADO]]="CERRADO","Cerrados IUP",IF(PL[[#This Row],[ESTADO]]="PTE Validar Enel","Pendiente cierre ENEL",IF(ISNUMBER(SEARCH("suministro",PL[[#This Row],[SUPPLIER NOTES]])),"Suministros",IF(PL[[#This Row],[SC]]="SOCIAL","Social",IF(ISNUMBER(SEARCH("monolito",PL[[#This Row],[DESCRIPTION]])),"Monolitos","Varios")))))</f>
        <v>Cerrados IUP</v>
      </c>
      <c r="Q8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3" spans="1:17" s="157" customFormat="1" hidden="1" x14ac:dyDescent="0.2">
      <c r="A883" s="151" t="s">
        <v>2917</v>
      </c>
      <c r="B883" s="154" t="s">
        <v>41</v>
      </c>
      <c r="C883" s="154">
        <v>9</v>
      </c>
      <c r="D883" s="153" t="s">
        <v>3383</v>
      </c>
      <c r="E883" s="154" t="s">
        <v>2918</v>
      </c>
      <c r="F883" s="154" t="s">
        <v>2919</v>
      </c>
      <c r="G883" s="154" t="s">
        <v>1289</v>
      </c>
      <c r="H883" s="154" t="s">
        <v>2920</v>
      </c>
      <c r="I883" s="154" t="s">
        <v>1520</v>
      </c>
      <c r="J883" s="154" t="s">
        <v>74</v>
      </c>
      <c r="K883" s="154" t="s">
        <v>3394</v>
      </c>
      <c r="L883" s="161">
        <v>46154</v>
      </c>
      <c r="M883" s="160">
        <v>46153</v>
      </c>
      <c r="N883" s="154" t="str">
        <f>IF(ISNUMBER(PL[[#This Row],[CTO]]),"CTO "&amp;PL[[#This Row],[CTO]],"Otros")</f>
        <v>CTO 9</v>
      </c>
      <c r="O883" s="154" t="str">
        <f>IF(PL[[#This Row],[STATUS IUP]]="CERRADO","CERRADO",IF(ISNUMBER(SEARCH("validacion de enel",PL[[#This Row],[SUPPLIER NOTES]])),"PTE Validar Enel","ABIERTO"))</f>
        <v>CERRADO</v>
      </c>
      <c r="P883" s="154" t="str">
        <f>IF(PL[[#This Row],[ESTADO]]="CERRADO","Cerrados IUP",IF(PL[[#This Row],[ESTADO]]="PTE Validar Enel","Pendiente cierre ENEL",IF(ISNUMBER(SEARCH("suministro",PL[[#This Row],[SUPPLIER NOTES]])),"Suministros",IF(PL[[#This Row],[SC]]="SOCIAL","Social",IF(ISNUMBER(SEARCH("monolito",PL[[#This Row],[DESCRIPTION]])),"Monolitos","Varios")))))</f>
        <v>Cerrados IUP</v>
      </c>
      <c r="Q8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4" spans="1:17" s="157" customFormat="1" hidden="1" x14ac:dyDescent="0.2">
      <c r="A884" s="151" t="s">
        <v>2738</v>
      </c>
      <c r="B884" s="154" t="s">
        <v>8</v>
      </c>
      <c r="C884" s="154">
        <v>9</v>
      </c>
      <c r="D884" s="153" t="s">
        <v>3383</v>
      </c>
      <c r="E884" s="154" t="s">
        <v>2739</v>
      </c>
      <c r="F884" s="154" t="s">
        <v>2740</v>
      </c>
      <c r="G884" s="154" t="s">
        <v>1289</v>
      </c>
      <c r="H884" s="154" t="s">
        <v>163</v>
      </c>
      <c r="I884" s="154" t="s">
        <v>163</v>
      </c>
      <c r="J884" s="154" t="s">
        <v>74</v>
      </c>
      <c r="K884" s="154" t="s">
        <v>3394</v>
      </c>
      <c r="L884" s="161">
        <v>46230</v>
      </c>
      <c r="M884" s="160">
        <v>46230</v>
      </c>
      <c r="N884" s="154" t="str">
        <f>IF(ISNUMBER(PL[[#This Row],[CTO]]),"CTO "&amp;PL[[#This Row],[CTO]],"Otros")</f>
        <v>CTO 9</v>
      </c>
      <c r="O884" s="154" t="str">
        <f>IF(PL[[#This Row],[STATUS IUP]]="CERRADO","CERRADO",IF(ISNUMBER(SEARCH("validacion de enel",PL[[#This Row],[SUPPLIER NOTES]])),"PTE Validar Enel","ABIERTO"))</f>
        <v>CERRADO</v>
      </c>
      <c r="P884" s="154" t="str">
        <f>IF(PL[[#This Row],[ESTADO]]="CERRADO","Cerrados IUP",IF(PL[[#This Row],[ESTADO]]="PTE Validar Enel","Pendiente cierre ENEL",IF(ISNUMBER(SEARCH("suministro",PL[[#This Row],[SUPPLIER NOTES]])),"Suministros",IF(PL[[#This Row],[SC]]="SOCIAL","Social",IF(ISNUMBER(SEARCH("monolito",PL[[#This Row],[DESCRIPTION]])),"Monolitos","Varios")))))</f>
        <v>Cerrados IUP</v>
      </c>
      <c r="Q8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5" spans="1:17" s="157" customFormat="1" hidden="1" x14ac:dyDescent="0.2">
      <c r="A885" s="151" t="s">
        <v>2512</v>
      </c>
      <c r="B885" s="154" t="s">
        <v>8</v>
      </c>
      <c r="C885" s="154">
        <v>9</v>
      </c>
      <c r="D885" s="153" t="s">
        <v>3383</v>
      </c>
      <c r="E885" s="154" t="s">
        <v>2513</v>
      </c>
      <c r="F885" s="154" t="s">
        <v>2514</v>
      </c>
      <c r="G885" s="154" t="s">
        <v>1289</v>
      </c>
      <c r="H885" s="154" t="s">
        <v>163</v>
      </c>
      <c r="I885" s="154" t="s">
        <v>163</v>
      </c>
      <c r="J885" s="154" t="s">
        <v>74</v>
      </c>
      <c r="K885" s="154" t="s">
        <v>3394</v>
      </c>
      <c r="L885" s="161">
        <v>46230</v>
      </c>
      <c r="M885" s="160">
        <v>46230</v>
      </c>
      <c r="N885" s="154" t="str">
        <f>IF(ISNUMBER(PL[[#This Row],[CTO]]),"CTO "&amp;PL[[#This Row],[CTO]],"Otros")</f>
        <v>CTO 9</v>
      </c>
      <c r="O885" s="154" t="str">
        <f>IF(PL[[#This Row],[STATUS IUP]]="CERRADO","CERRADO",IF(ISNUMBER(SEARCH("validacion de enel",PL[[#This Row],[SUPPLIER NOTES]])),"PTE Validar Enel","ABIERTO"))</f>
        <v>CERRADO</v>
      </c>
      <c r="P885" s="154" t="str">
        <f>IF(PL[[#This Row],[ESTADO]]="CERRADO","Cerrados IUP",IF(PL[[#This Row],[ESTADO]]="PTE Validar Enel","Pendiente cierre ENEL",IF(ISNUMBER(SEARCH("suministro",PL[[#This Row],[SUPPLIER NOTES]])),"Suministros",IF(PL[[#This Row],[SC]]="SOCIAL","Social",IF(ISNUMBER(SEARCH("monolito",PL[[#This Row],[DESCRIPTION]])),"Monolitos","Varios")))))</f>
        <v>Cerrados IUP</v>
      </c>
      <c r="Q8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6" spans="1:17" s="157" customFormat="1" hidden="1" x14ac:dyDescent="0.2">
      <c r="A886" s="151" t="s">
        <v>2735</v>
      </c>
      <c r="B886" s="154" t="s">
        <v>41</v>
      </c>
      <c r="C886" s="154">
        <v>9</v>
      </c>
      <c r="D886" s="153" t="s">
        <v>3383</v>
      </c>
      <c r="E886" s="154" t="s">
        <v>2736</v>
      </c>
      <c r="F886" s="154" t="s">
        <v>2737</v>
      </c>
      <c r="G886" s="154" t="s">
        <v>1289</v>
      </c>
      <c r="H886" s="154" t="s">
        <v>163</v>
      </c>
      <c r="I886" s="154" t="s">
        <v>163</v>
      </c>
      <c r="J886" s="154" t="s">
        <v>74</v>
      </c>
      <c r="K886" s="154" t="s">
        <v>3394</v>
      </c>
      <c r="L886" s="161">
        <v>46230</v>
      </c>
      <c r="M886" s="160">
        <v>46230</v>
      </c>
      <c r="N886" s="154" t="str">
        <f>IF(ISNUMBER(PL[[#This Row],[CTO]]),"CTO "&amp;PL[[#This Row],[CTO]],"Otros")</f>
        <v>CTO 9</v>
      </c>
      <c r="O886" s="154" t="str">
        <f>IF(PL[[#This Row],[STATUS IUP]]="CERRADO","CERRADO",IF(ISNUMBER(SEARCH("validacion de enel",PL[[#This Row],[SUPPLIER NOTES]])),"PTE Validar Enel","ABIERTO"))</f>
        <v>CERRADO</v>
      </c>
      <c r="P886" s="154" t="str">
        <f>IF(PL[[#This Row],[ESTADO]]="CERRADO","Cerrados IUP",IF(PL[[#This Row],[ESTADO]]="PTE Validar Enel","Pendiente cierre ENEL",IF(ISNUMBER(SEARCH("suministro",PL[[#This Row],[SUPPLIER NOTES]])),"Suministros",IF(PL[[#This Row],[SC]]="SOCIAL","Social",IF(ISNUMBER(SEARCH("monolito",PL[[#This Row],[DESCRIPTION]])),"Monolitos","Varios")))))</f>
        <v>Cerrados IUP</v>
      </c>
      <c r="Q8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7" spans="1:17" s="157" customFormat="1" hidden="1" x14ac:dyDescent="0.2">
      <c r="A887" s="151" t="s">
        <v>1611</v>
      </c>
      <c r="B887" s="154" t="s">
        <v>8</v>
      </c>
      <c r="C887" s="154">
        <v>9</v>
      </c>
      <c r="D887" s="153" t="s">
        <v>3383</v>
      </c>
      <c r="E887" s="154" t="s">
        <v>1612</v>
      </c>
      <c r="F887" s="154" t="s">
        <v>1613</v>
      </c>
      <c r="G887" s="154" t="s">
        <v>1289</v>
      </c>
      <c r="H887" s="154"/>
      <c r="I887" s="154"/>
      <c r="J887" s="154" t="s">
        <v>74</v>
      </c>
      <c r="K887" s="154" t="s">
        <v>3394</v>
      </c>
      <c r="L887" s="154"/>
      <c r="M887" s="156"/>
      <c r="N887" s="154" t="str">
        <f>IF(ISNUMBER(PL[[#This Row],[CTO]]),"CTO "&amp;PL[[#This Row],[CTO]],"Otros")</f>
        <v>CTO 9</v>
      </c>
      <c r="O887" s="154" t="str">
        <f>IF(PL[[#This Row],[STATUS IUP]]="CERRADO","CERRADO",IF(ISNUMBER(SEARCH("validacion de enel",PL[[#This Row],[SUPPLIER NOTES]])),"PTE Validar Enel","ABIERTO"))</f>
        <v>CERRADO</v>
      </c>
      <c r="P887" s="154" t="str">
        <f>IF(PL[[#This Row],[ESTADO]]="CERRADO","Cerrados IUP",IF(PL[[#This Row],[ESTADO]]="PTE Validar Enel","Pendiente cierre ENEL",IF(ISNUMBER(SEARCH("suministro",PL[[#This Row],[SUPPLIER NOTES]])),"Suministros",IF(PL[[#This Row],[SC]]="SOCIAL","Social",IF(ISNUMBER(SEARCH("monolito",PL[[#This Row],[DESCRIPTION]])),"Monolitos","Varios")))))</f>
        <v>Cerrados IUP</v>
      </c>
      <c r="Q8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8" spans="1:17" s="157" customFormat="1" hidden="1" x14ac:dyDescent="0.2">
      <c r="A888" s="151" t="s">
        <v>1789</v>
      </c>
      <c r="B888" s="154" t="s">
        <v>41</v>
      </c>
      <c r="C888" s="154">
        <v>9</v>
      </c>
      <c r="D888" s="153" t="s">
        <v>3383</v>
      </c>
      <c r="E888" s="154" t="s">
        <v>1790</v>
      </c>
      <c r="F888" s="154" t="s">
        <v>1791</v>
      </c>
      <c r="G888" s="154" t="s">
        <v>1289</v>
      </c>
      <c r="H888" s="154" t="s">
        <v>1520</v>
      </c>
      <c r="I888" s="154" t="s">
        <v>1520</v>
      </c>
      <c r="J888" s="154" t="s">
        <v>74</v>
      </c>
      <c r="K888" s="154" t="s">
        <v>3394</v>
      </c>
      <c r="L888" s="161">
        <v>46154</v>
      </c>
      <c r="M888" s="160">
        <v>46154</v>
      </c>
      <c r="N888" s="154" t="str">
        <f>IF(ISNUMBER(PL[[#This Row],[CTO]]),"CTO "&amp;PL[[#This Row],[CTO]],"Otros")</f>
        <v>CTO 9</v>
      </c>
      <c r="O888" s="154" t="str">
        <f>IF(PL[[#This Row],[STATUS IUP]]="CERRADO","CERRADO",IF(ISNUMBER(SEARCH("validacion de enel",PL[[#This Row],[SUPPLIER NOTES]])),"PTE Validar Enel","ABIERTO"))</f>
        <v>CERRADO</v>
      </c>
      <c r="P888" s="154" t="str">
        <f>IF(PL[[#This Row],[ESTADO]]="CERRADO","Cerrados IUP",IF(PL[[#This Row],[ESTADO]]="PTE Validar Enel","Pendiente cierre ENEL",IF(ISNUMBER(SEARCH("suministro",PL[[#This Row],[SUPPLIER NOTES]])),"Suministros",IF(PL[[#This Row],[SC]]="SOCIAL","Social",IF(ISNUMBER(SEARCH("monolito",PL[[#This Row],[DESCRIPTION]])),"Monolitos","Varios")))))</f>
        <v>Cerrados IUP</v>
      </c>
      <c r="Q8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89" spans="1:17" s="157" customFormat="1" hidden="1" x14ac:dyDescent="0.2">
      <c r="A889" s="151" t="s">
        <v>2828</v>
      </c>
      <c r="B889" s="154" t="s">
        <v>41</v>
      </c>
      <c r="C889" s="154">
        <v>9</v>
      </c>
      <c r="D889" s="153" t="s">
        <v>3383</v>
      </c>
      <c r="E889" s="154" t="s">
        <v>2829</v>
      </c>
      <c r="F889" s="154" t="s">
        <v>2830</v>
      </c>
      <c r="G889" s="154" t="s">
        <v>1289</v>
      </c>
      <c r="H889" s="154"/>
      <c r="I889" s="154"/>
      <c r="J889" s="154" t="s">
        <v>74</v>
      </c>
      <c r="K889" s="154" t="s">
        <v>3394</v>
      </c>
      <c r="L889" s="154"/>
      <c r="M889" s="156"/>
      <c r="N889" s="154" t="str">
        <f>IF(ISNUMBER(PL[[#This Row],[CTO]]),"CTO "&amp;PL[[#This Row],[CTO]],"Otros")</f>
        <v>CTO 9</v>
      </c>
      <c r="O889" s="154" t="str">
        <f>IF(PL[[#This Row],[STATUS IUP]]="CERRADO","CERRADO",IF(ISNUMBER(SEARCH("validacion de enel",PL[[#This Row],[SUPPLIER NOTES]])),"PTE Validar Enel","ABIERTO"))</f>
        <v>CERRADO</v>
      </c>
      <c r="P889" s="154" t="str">
        <f>IF(PL[[#This Row],[ESTADO]]="CERRADO","Cerrados IUP",IF(PL[[#This Row],[ESTADO]]="PTE Validar Enel","Pendiente cierre ENEL",IF(ISNUMBER(SEARCH("suministro",PL[[#This Row],[SUPPLIER NOTES]])),"Suministros",IF(PL[[#This Row],[SC]]="SOCIAL","Social",IF(ISNUMBER(SEARCH("monolito",PL[[#This Row],[DESCRIPTION]])),"Monolitos","Varios")))))</f>
        <v>Cerrados IUP</v>
      </c>
      <c r="Q8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0" spans="1:17" s="157" customFormat="1" hidden="1" x14ac:dyDescent="0.2">
      <c r="A890" s="151" t="s">
        <v>1930</v>
      </c>
      <c r="B890" s="154" t="s">
        <v>8</v>
      </c>
      <c r="C890" s="154">
        <v>9</v>
      </c>
      <c r="D890" s="153" t="s">
        <v>3383</v>
      </c>
      <c r="E890" s="154" t="s">
        <v>1931</v>
      </c>
      <c r="F890" s="154" t="s">
        <v>1932</v>
      </c>
      <c r="G890" s="154" t="s">
        <v>1289</v>
      </c>
      <c r="H890" s="154"/>
      <c r="I890" s="154"/>
      <c r="J890" s="154" t="s">
        <v>74</v>
      </c>
      <c r="K890" s="154" t="s">
        <v>3394</v>
      </c>
      <c r="L890" s="154"/>
      <c r="M890" s="156"/>
      <c r="N890" s="154" t="str">
        <f>IF(ISNUMBER(PL[[#This Row],[CTO]]),"CTO "&amp;PL[[#This Row],[CTO]],"Otros")</f>
        <v>CTO 9</v>
      </c>
      <c r="O890" s="154" t="str">
        <f>IF(PL[[#This Row],[STATUS IUP]]="CERRADO","CERRADO",IF(ISNUMBER(SEARCH("validacion de enel",PL[[#This Row],[SUPPLIER NOTES]])),"PTE Validar Enel","ABIERTO"))</f>
        <v>CERRADO</v>
      </c>
      <c r="P890" s="154" t="str">
        <f>IF(PL[[#This Row],[ESTADO]]="CERRADO","Cerrados IUP",IF(PL[[#This Row],[ESTADO]]="PTE Validar Enel","Pendiente cierre ENEL",IF(ISNUMBER(SEARCH("suministro",PL[[#This Row],[SUPPLIER NOTES]])),"Suministros",IF(PL[[#This Row],[SC]]="SOCIAL","Social",IF(ISNUMBER(SEARCH("monolito",PL[[#This Row],[DESCRIPTION]])),"Monolitos","Varios")))))</f>
        <v>Cerrados IUP</v>
      </c>
      <c r="Q8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1" spans="1:17" s="157" customFormat="1" hidden="1" x14ac:dyDescent="0.2">
      <c r="A891" s="151" t="s">
        <v>1607</v>
      </c>
      <c r="B891" s="154" t="s">
        <v>8</v>
      </c>
      <c r="C891" s="154">
        <v>9</v>
      </c>
      <c r="D891" s="153" t="s">
        <v>3383</v>
      </c>
      <c r="E891" s="154" t="s">
        <v>1608</v>
      </c>
      <c r="F891" s="154" t="s">
        <v>1609</v>
      </c>
      <c r="G891" s="154" t="s">
        <v>1289</v>
      </c>
      <c r="H891" s="154" t="s">
        <v>1610</v>
      </c>
      <c r="I891" s="154" t="s">
        <v>1520</v>
      </c>
      <c r="J891" s="154" t="s">
        <v>74</v>
      </c>
      <c r="K891" s="154" t="s">
        <v>3394</v>
      </c>
      <c r="L891" s="161">
        <v>46154</v>
      </c>
      <c r="M891" s="160">
        <v>46153</v>
      </c>
      <c r="N891" s="154" t="str">
        <f>IF(ISNUMBER(PL[[#This Row],[CTO]]),"CTO "&amp;PL[[#This Row],[CTO]],"Otros")</f>
        <v>CTO 9</v>
      </c>
      <c r="O891" s="154" t="str">
        <f>IF(PL[[#This Row],[STATUS IUP]]="CERRADO","CERRADO",IF(ISNUMBER(SEARCH("validacion de enel",PL[[#This Row],[SUPPLIER NOTES]])),"PTE Validar Enel","ABIERTO"))</f>
        <v>CERRADO</v>
      </c>
      <c r="P891" s="154" t="str">
        <f>IF(PL[[#This Row],[ESTADO]]="CERRADO","Cerrados IUP",IF(PL[[#This Row],[ESTADO]]="PTE Validar Enel","Pendiente cierre ENEL",IF(ISNUMBER(SEARCH("suministro",PL[[#This Row],[SUPPLIER NOTES]])),"Suministros",IF(PL[[#This Row],[SC]]="SOCIAL","Social",IF(ISNUMBER(SEARCH("monolito",PL[[#This Row],[DESCRIPTION]])),"Monolitos","Varios")))))</f>
        <v>Cerrados IUP</v>
      </c>
      <c r="Q8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2" spans="1:17" s="157" customFormat="1" hidden="1" x14ac:dyDescent="0.2">
      <c r="A892" s="151" t="s">
        <v>2310</v>
      </c>
      <c r="B892" s="154" t="s">
        <v>1291</v>
      </c>
      <c r="C892" s="154">
        <v>9</v>
      </c>
      <c r="D892" s="153" t="s">
        <v>3383</v>
      </c>
      <c r="E892" s="154" t="s">
        <v>2311</v>
      </c>
      <c r="F892" s="154" t="s">
        <v>2312</v>
      </c>
      <c r="G892" s="154" t="s">
        <v>1289</v>
      </c>
      <c r="H892" s="154" t="s">
        <v>2313</v>
      </c>
      <c r="I892" s="154" t="s">
        <v>1520</v>
      </c>
      <c r="J892" s="154" t="s">
        <v>74</v>
      </c>
      <c r="K892" s="154" t="s">
        <v>3394</v>
      </c>
      <c r="L892" s="161">
        <v>46154</v>
      </c>
      <c r="M892" s="160">
        <v>46153</v>
      </c>
      <c r="N892" s="154" t="str">
        <f>IF(ISNUMBER(PL[[#This Row],[CTO]]),"CTO "&amp;PL[[#This Row],[CTO]],"Otros")</f>
        <v>CTO 9</v>
      </c>
      <c r="O892" s="154" t="str">
        <f>IF(PL[[#This Row],[STATUS IUP]]="CERRADO","CERRADO",IF(ISNUMBER(SEARCH("validacion de enel",PL[[#This Row],[SUPPLIER NOTES]])),"PTE Validar Enel","ABIERTO"))</f>
        <v>CERRADO</v>
      </c>
      <c r="P892" s="154" t="str">
        <f>IF(PL[[#This Row],[ESTADO]]="CERRADO","Cerrados IUP",IF(PL[[#This Row],[ESTADO]]="PTE Validar Enel","Pendiente cierre ENEL",IF(ISNUMBER(SEARCH("suministro",PL[[#This Row],[SUPPLIER NOTES]])),"Suministros",IF(PL[[#This Row],[SC]]="SOCIAL","Social",IF(ISNUMBER(SEARCH("monolito",PL[[#This Row],[DESCRIPTION]])),"Monolitos","Varios")))))</f>
        <v>Cerrados IUP</v>
      </c>
      <c r="Q8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3" spans="1:17" s="157" customFormat="1" hidden="1" x14ac:dyDescent="0.2">
      <c r="A893" s="151" t="s">
        <v>1737</v>
      </c>
      <c r="B893" s="154" t="s">
        <v>1291</v>
      </c>
      <c r="C893" s="154">
        <v>9</v>
      </c>
      <c r="D893" s="153" t="s">
        <v>3383</v>
      </c>
      <c r="E893" s="154" t="s">
        <v>1738</v>
      </c>
      <c r="F893" s="154" t="s">
        <v>1739</v>
      </c>
      <c r="G893" s="154" t="s">
        <v>1289</v>
      </c>
      <c r="H893" s="154" t="s">
        <v>1649</v>
      </c>
      <c r="I893" s="154" t="s">
        <v>1520</v>
      </c>
      <c r="J893" s="154" t="s">
        <v>74</v>
      </c>
      <c r="K893" s="154" t="s">
        <v>3394</v>
      </c>
      <c r="L893" s="161">
        <v>46154</v>
      </c>
      <c r="M893" s="160">
        <v>46153</v>
      </c>
      <c r="N893" s="154" t="str">
        <f>IF(ISNUMBER(PL[[#This Row],[CTO]]),"CTO "&amp;PL[[#This Row],[CTO]],"Otros")</f>
        <v>CTO 9</v>
      </c>
      <c r="O893" s="154" t="str">
        <f>IF(PL[[#This Row],[STATUS IUP]]="CERRADO","CERRADO",IF(ISNUMBER(SEARCH("validacion de enel",PL[[#This Row],[SUPPLIER NOTES]])),"PTE Validar Enel","ABIERTO"))</f>
        <v>CERRADO</v>
      </c>
      <c r="P893" s="154" t="str">
        <f>IF(PL[[#This Row],[ESTADO]]="CERRADO","Cerrados IUP",IF(PL[[#This Row],[ESTADO]]="PTE Validar Enel","Pendiente cierre ENEL",IF(ISNUMBER(SEARCH("suministro",PL[[#This Row],[SUPPLIER NOTES]])),"Suministros",IF(PL[[#This Row],[SC]]="SOCIAL","Social",IF(ISNUMBER(SEARCH("monolito",PL[[#This Row],[DESCRIPTION]])),"Monolitos","Varios")))))</f>
        <v>Cerrados IUP</v>
      </c>
      <c r="Q8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4" spans="1:17" s="157" customFormat="1" hidden="1" x14ac:dyDescent="0.2">
      <c r="A894" s="151" t="s">
        <v>1604</v>
      </c>
      <c r="B894" s="154" t="s">
        <v>1297</v>
      </c>
      <c r="C894" s="154">
        <v>9</v>
      </c>
      <c r="D894" s="153" t="s">
        <v>3383</v>
      </c>
      <c r="E894" s="154" t="s">
        <v>1605</v>
      </c>
      <c r="F894" s="154" t="s">
        <v>1606</v>
      </c>
      <c r="G894" s="154" t="s">
        <v>1289</v>
      </c>
      <c r="H894" s="154" t="s">
        <v>163</v>
      </c>
      <c r="I894" s="154" t="s">
        <v>163</v>
      </c>
      <c r="J894" s="154" t="s">
        <v>74</v>
      </c>
      <c r="K894" s="154" t="s">
        <v>3394</v>
      </c>
      <c r="L894" s="161">
        <v>46230</v>
      </c>
      <c r="M894" s="160">
        <v>46230</v>
      </c>
      <c r="N894" s="154" t="str">
        <f>IF(ISNUMBER(PL[[#This Row],[CTO]]),"CTO "&amp;PL[[#This Row],[CTO]],"Otros")</f>
        <v>CTO 9</v>
      </c>
      <c r="O894" s="154" t="str">
        <f>IF(PL[[#This Row],[STATUS IUP]]="CERRADO","CERRADO",IF(ISNUMBER(SEARCH("validacion de enel",PL[[#This Row],[SUPPLIER NOTES]])),"PTE Validar Enel","ABIERTO"))</f>
        <v>CERRADO</v>
      </c>
      <c r="P894" s="154" t="str">
        <f>IF(PL[[#This Row],[ESTADO]]="CERRADO","Cerrados IUP",IF(PL[[#This Row],[ESTADO]]="PTE Validar Enel","Pendiente cierre ENEL",IF(ISNUMBER(SEARCH("suministro",PL[[#This Row],[SUPPLIER NOTES]])),"Suministros",IF(PL[[#This Row],[SC]]="SOCIAL","Social",IF(ISNUMBER(SEARCH("monolito",PL[[#This Row],[DESCRIPTION]])),"Monolitos","Varios")))))</f>
        <v>Cerrados IUP</v>
      </c>
      <c r="Q8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5" spans="1:17" s="157" customFormat="1" hidden="1" x14ac:dyDescent="0.2">
      <c r="A895" s="151" t="s">
        <v>2143</v>
      </c>
      <c r="B895" s="154" t="s">
        <v>41</v>
      </c>
      <c r="C895" s="154">
        <v>9</v>
      </c>
      <c r="D895" s="153" t="s">
        <v>3383</v>
      </c>
      <c r="E895" s="154" t="s">
        <v>2144</v>
      </c>
      <c r="F895" s="154" t="s">
        <v>2145</v>
      </c>
      <c r="G895" s="154" t="s">
        <v>1289</v>
      </c>
      <c r="H895" s="154" t="s">
        <v>163</v>
      </c>
      <c r="I895" s="154" t="s">
        <v>163</v>
      </c>
      <c r="J895" s="154" t="s">
        <v>74</v>
      </c>
      <c r="K895" s="154" t="s">
        <v>3394</v>
      </c>
      <c r="L895" s="161">
        <v>46230</v>
      </c>
      <c r="M895" s="160">
        <v>46230</v>
      </c>
      <c r="N895" s="154" t="str">
        <f>IF(ISNUMBER(PL[[#This Row],[CTO]]),"CTO "&amp;PL[[#This Row],[CTO]],"Otros")</f>
        <v>CTO 9</v>
      </c>
      <c r="O895" s="154" t="str">
        <f>IF(PL[[#This Row],[STATUS IUP]]="CERRADO","CERRADO",IF(ISNUMBER(SEARCH("validacion de enel",PL[[#This Row],[SUPPLIER NOTES]])),"PTE Validar Enel","ABIERTO"))</f>
        <v>CERRADO</v>
      </c>
      <c r="P895" s="154" t="str">
        <f>IF(PL[[#This Row],[ESTADO]]="CERRADO","Cerrados IUP",IF(PL[[#This Row],[ESTADO]]="PTE Validar Enel","Pendiente cierre ENEL",IF(ISNUMBER(SEARCH("suministro",PL[[#This Row],[SUPPLIER NOTES]])),"Suministros",IF(PL[[#This Row],[SC]]="SOCIAL","Social",IF(ISNUMBER(SEARCH("monolito",PL[[#This Row],[DESCRIPTION]])),"Monolitos","Varios")))))</f>
        <v>Cerrados IUP</v>
      </c>
      <c r="Q8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6" spans="1:17" s="157" customFormat="1" hidden="1" x14ac:dyDescent="0.2">
      <c r="A896" s="151" t="s">
        <v>2244</v>
      </c>
      <c r="B896" s="154" t="s">
        <v>8</v>
      </c>
      <c r="C896" s="154">
        <v>9</v>
      </c>
      <c r="D896" s="153" t="s">
        <v>3383</v>
      </c>
      <c r="E896" s="154" t="s">
        <v>2245</v>
      </c>
      <c r="F896" s="154" t="s">
        <v>2246</v>
      </c>
      <c r="G896" s="154" t="s">
        <v>1289</v>
      </c>
      <c r="H896" s="154"/>
      <c r="I896" s="154"/>
      <c r="J896" s="154" t="s">
        <v>74</v>
      </c>
      <c r="K896" s="154" t="s">
        <v>3394</v>
      </c>
      <c r="L896" s="154"/>
      <c r="M896" s="156"/>
      <c r="N896" s="154" t="str">
        <f>IF(ISNUMBER(PL[[#This Row],[CTO]]),"CTO "&amp;PL[[#This Row],[CTO]],"Otros")</f>
        <v>CTO 9</v>
      </c>
      <c r="O896" s="154" t="str">
        <f>IF(PL[[#This Row],[STATUS IUP]]="CERRADO","CERRADO",IF(ISNUMBER(SEARCH("validacion de enel",PL[[#This Row],[SUPPLIER NOTES]])),"PTE Validar Enel","ABIERTO"))</f>
        <v>CERRADO</v>
      </c>
      <c r="P896" s="154" t="str">
        <f>IF(PL[[#This Row],[ESTADO]]="CERRADO","Cerrados IUP",IF(PL[[#This Row],[ESTADO]]="PTE Validar Enel","Pendiente cierre ENEL",IF(ISNUMBER(SEARCH("suministro",PL[[#This Row],[SUPPLIER NOTES]])),"Suministros",IF(PL[[#This Row],[SC]]="SOCIAL","Social",IF(ISNUMBER(SEARCH("monolito",PL[[#This Row],[DESCRIPTION]])),"Monolitos","Varios")))))</f>
        <v>Cerrados IUP</v>
      </c>
      <c r="Q8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7" spans="1:17" s="157" customFormat="1" hidden="1" x14ac:dyDescent="0.2">
      <c r="A897" s="151" t="s">
        <v>2274</v>
      </c>
      <c r="B897" s="154" t="s">
        <v>1291</v>
      </c>
      <c r="C897" s="154">
        <v>9</v>
      </c>
      <c r="D897" s="153" t="s">
        <v>3383</v>
      </c>
      <c r="E897" s="154" t="s">
        <v>2275</v>
      </c>
      <c r="F897" s="154" t="s">
        <v>2276</v>
      </c>
      <c r="G897" s="154" t="s">
        <v>1289</v>
      </c>
      <c r="H897" s="154" t="s">
        <v>2277</v>
      </c>
      <c r="I897" s="154" t="s">
        <v>1520</v>
      </c>
      <c r="J897" s="154" t="s">
        <v>74</v>
      </c>
      <c r="K897" s="154" t="s">
        <v>3394</v>
      </c>
      <c r="L897" s="161">
        <v>46154</v>
      </c>
      <c r="M897" s="160">
        <v>46153</v>
      </c>
      <c r="N897" s="154" t="str">
        <f>IF(ISNUMBER(PL[[#This Row],[CTO]]),"CTO "&amp;PL[[#This Row],[CTO]],"Otros")</f>
        <v>CTO 9</v>
      </c>
      <c r="O897" s="154" t="str">
        <f>IF(PL[[#This Row],[STATUS IUP]]="CERRADO","CERRADO",IF(ISNUMBER(SEARCH("validacion de enel",PL[[#This Row],[SUPPLIER NOTES]])),"PTE Validar Enel","ABIERTO"))</f>
        <v>CERRADO</v>
      </c>
      <c r="P897" s="154" t="str">
        <f>IF(PL[[#This Row],[ESTADO]]="CERRADO","Cerrados IUP",IF(PL[[#This Row],[ESTADO]]="PTE Validar Enel","Pendiente cierre ENEL",IF(ISNUMBER(SEARCH("suministro",PL[[#This Row],[SUPPLIER NOTES]])),"Suministros",IF(PL[[#This Row],[SC]]="SOCIAL","Social",IF(ISNUMBER(SEARCH("monolito",PL[[#This Row],[DESCRIPTION]])),"Monolitos","Varios")))))</f>
        <v>Cerrados IUP</v>
      </c>
      <c r="Q8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8" spans="1:17" s="157" customFormat="1" hidden="1" x14ac:dyDescent="0.2">
      <c r="A898" s="151" t="s">
        <v>2033</v>
      </c>
      <c r="B898" s="154" t="s">
        <v>41</v>
      </c>
      <c r="C898" s="154">
        <v>9</v>
      </c>
      <c r="D898" s="153" t="s">
        <v>3383</v>
      </c>
      <c r="E898" s="154" t="s">
        <v>2034</v>
      </c>
      <c r="F898" s="154" t="s">
        <v>2035</v>
      </c>
      <c r="G898" s="154" t="s">
        <v>1289</v>
      </c>
      <c r="H898" s="154" t="s">
        <v>2036</v>
      </c>
      <c r="I898" s="154" t="s">
        <v>1520</v>
      </c>
      <c r="J898" s="154" t="s">
        <v>74</v>
      </c>
      <c r="K898" s="154" t="s">
        <v>3394</v>
      </c>
      <c r="L898" s="161">
        <v>46154</v>
      </c>
      <c r="M898" s="160">
        <v>46153</v>
      </c>
      <c r="N898" s="154" t="str">
        <f>IF(ISNUMBER(PL[[#This Row],[CTO]]),"CTO "&amp;PL[[#This Row],[CTO]],"Otros")</f>
        <v>CTO 9</v>
      </c>
      <c r="O898" s="154" t="str">
        <f>IF(PL[[#This Row],[STATUS IUP]]="CERRADO","CERRADO",IF(ISNUMBER(SEARCH("validacion de enel",PL[[#This Row],[SUPPLIER NOTES]])),"PTE Validar Enel","ABIERTO"))</f>
        <v>CERRADO</v>
      </c>
      <c r="P898" s="154" t="str">
        <f>IF(PL[[#This Row],[ESTADO]]="CERRADO","Cerrados IUP",IF(PL[[#This Row],[ESTADO]]="PTE Validar Enel","Pendiente cierre ENEL",IF(ISNUMBER(SEARCH("suministro",PL[[#This Row],[SUPPLIER NOTES]])),"Suministros",IF(PL[[#This Row],[SC]]="SOCIAL","Social",IF(ISNUMBER(SEARCH("monolito",PL[[#This Row],[DESCRIPTION]])),"Monolitos","Varios")))))</f>
        <v>Cerrados IUP</v>
      </c>
      <c r="Q8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899" spans="1:17" s="157" customFormat="1" hidden="1" x14ac:dyDescent="0.2">
      <c r="A899" s="151" t="s">
        <v>1782</v>
      </c>
      <c r="B899" s="154" t="s">
        <v>41</v>
      </c>
      <c r="C899" s="154">
        <v>9</v>
      </c>
      <c r="D899" s="153" t="s">
        <v>3383</v>
      </c>
      <c r="E899" s="154" t="s">
        <v>1783</v>
      </c>
      <c r="F899" s="154" t="s">
        <v>1784</v>
      </c>
      <c r="G899" s="154" t="s">
        <v>1289</v>
      </c>
      <c r="H899" s="154" t="s">
        <v>1785</v>
      </c>
      <c r="I899" s="154" t="s">
        <v>1520</v>
      </c>
      <c r="J899" s="154" t="s">
        <v>74</v>
      </c>
      <c r="K899" s="154" t="s">
        <v>3394</v>
      </c>
      <c r="L899" s="161">
        <v>46154</v>
      </c>
      <c r="M899" s="160">
        <v>46153</v>
      </c>
      <c r="N899" s="154" t="str">
        <f>IF(ISNUMBER(PL[[#This Row],[CTO]]),"CTO "&amp;PL[[#This Row],[CTO]],"Otros")</f>
        <v>CTO 9</v>
      </c>
      <c r="O899" s="154" t="str">
        <f>IF(PL[[#This Row],[STATUS IUP]]="CERRADO","CERRADO",IF(ISNUMBER(SEARCH("validacion de enel",PL[[#This Row],[SUPPLIER NOTES]])),"PTE Validar Enel","ABIERTO"))</f>
        <v>CERRADO</v>
      </c>
      <c r="P899" s="154" t="str">
        <f>IF(PL[[#This Row],[ESTADO]]="CERRADO","Cerrados IUP",IF(PL[[#This Row],[ESTADO]]="PTE Validar Enel","Pendiente cierre ENEL",IF(ISNUMBER(SEARCH("suministro",PL[[#This Row],[SUPPLIER NOTES]])),"Suministros",IF(PL[[#This Row],[SC]]="SOCIAL","Social",IF(ISNUMBER(SEARCH("monolito",PL[[#This Row],[DESCRIPTION]])),"Monolitos","Varios")))))</f>
        <v>Cerrados IUP</v>
      </c>
      <c r="Q8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0" spans="1:17" s="157" customFormat="1" hidden="1" x14ac:dyDescent="0.2">
      <c r="A900" s="151" t="s">
        <v>1734</v>
      </c>
      <c r="B900" s="154" t="s">
        <v>1314</v>
      </c>
      <c r="C900" s="154">
        <v>9</v>
      </c>
      <c r="D900" s="153" t="s">
        <v>3383</v>
      </c>
      <c r="E900" s="154" t="s">
        <v>1735</v>
      </c>
      <c r="F900" s="154" t="s">
        <v>1736</v>
      </c>
      <c r="G900" s="154" t="s">
        <v>1289</v>
      </c>
      <c r="H900" s="154" t="s">
        <v>163</v>
      </c>
      <c r="I900" s="154" t="s">
        <v>163</v>
      </c>
      <c r="J900" s="154" t="s">
        <v>74</v>
      </c>
      <c r="K900" s="154" t="s">
        <v>3394</v>
      </c>
      <c r="L900" s="161">
        <v>46227</v>
      </c>
      <c r="M900" s="160">
        <v>46227</v>
      </c>
      <c r="N900" s="154" t="str">
        <f>IF(ISNUMBER(PL[[#This Row],[CTO]]),"CTO "&amp;PL[[#This Row],[CTO]],"Otros")</f>
        <v>CTO 9</v>
      </c>
      <c r="O900" s="154" t="str">
        <f>IF(PL[[#This Row],[STATUS IUP]]="CERRADO","CERRADO",IF(ISNUMBER(SEARCH("validacion de enel",PL[[#This Row],[SUPPLIER NOTES]])),"PTE Validar Enel","ABIERTO"))</f>
        <v>CERRADO</v>
      </c>
      <c r="P900" s="154" t="str">
        <f>IF(PL[[#This Row],[ESTADO]]="CERRADO","Cerrados IUP",IF(PL[[#This Row],[ESTADO]]="PTE Validar Enel","Pendiente cierre ENEL",IF(ISNUMBER(SEARCH("suministro",PL[[#This Row],[SUPPLIER NOTES]])),"Suministros",IF(PL[[#This Row],[SC]]="SOCIAL","Social",IF(ISNUMBER(SEARCH("monolito",PL[[#This Row],[DESCRIPTION]])),"Monolitos","Varios")))))</f>
        <v>Cerrados IUP</v>
      </c>
      <c r="Q9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1" spans="1:17" s="157" customFormat="1" hidden="1" x14ac:dyDescent="0.2">
      <c r="A901" s="151" t="s">
        <v>1600</v>
      </c>
      <c r="B901" s="154" t="s">
        <v>1314</v>
      </c>
      <c r="C901" s="154">
        <v>9</v>
      </c>
      <c r="D901" s="153" t="s">
        <v>3383</v>
      </c>
      <c r="E901" s="154" t="s">
        <v>1601</v>
      </c>
      <c r="F901" s="154" t="s">
        <v>1602</v>
      </c>
      <c r="G901" s="154" t="s">
        <v>1289</v>
      </c>
      <c r="H901" s="154" t="s">
        <v>1603</v>
      </c>
      <c r="I901" s="154" t="s">
        <v>1520</v>
      </c>
      <c r="J901" s="154" t="s">
        <v>74</v>
      </c>
      <c r="K901" s="154" t="s">
        <v>3394</v>
      </c>
      <c r="L901" s="161">
        <v>46154</v>
      </c>
      <c r="M901" s="160">
        <v>46153</v>
      </c>
      <c r="N901" s="154" t="str">
        <f>IF(ISNUMBER(PL[[#This Row],[CTO]]),"CTO "&amp;PL[[#This Row],[CTO]],"Otros")</f>
        <v>CTO 9</v>
      </c>
      <c r="O901" s="154" t="str">
        <f>IF(PL[[#This Row],[STATUS IUP]]="CERRADO","CERRADO",IF(ISNUMBER(SEARCH("validacion de enel",PL[[#This Row],[SUPPLIER NOTES]])),"PTE Validar Enel","ABIERTO"))</f>
        <v>CERRADO</v>
      </c>
      <c r="P901" s="154" t="str">
        <f>IF(PL[[#This Row],[ESTADO]]="CERRADO","Cerrados IUP",IF(PL[[#This Row],[ESTADO]]="PTE Validar Enel","Pendiente cierre ENEL",IF(ISNUMBER(SEARCH("suministro",PL[[#This Row],[SUPPLIER NOTES]])),"Suministros",IF(PL[[#This Row],[SC]]="SOCIAL","Social",IF(ISNUMBER(SEARCH("monolito",PL[[#This Row],[DESCRIPTION]])),"Monolitos","Varios")))))</f>
        <v>Cerrados IUP</v>
      </c>
      <c r="Q9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2" spans="1:17" s="157" customFormat="1" hidden="1" x14ac:dyDescent="0.2">
      <c r="A902" s="151" t="s">
        <v>2732</v>
      </c>
      <c r="B902" s="154" t="s">
        <v>1314</v>
      </c>
      <c r="C902" s="154">
        <v>9</v>
      </c>
      <c r="D902" s="153" t="s">
        <v>3383</v>
      </c>
      <c r="E902" s="154" t="s">
        <v>2733</v>
      </c>
      <c r="F902" s="154" t="s">
        <v>2734</v>
      </c>
      <c r="G902" s="154" t="s">
        <v>1289</v>
      </c>
      <c r="H902" s="154" t="s">
        <v>163</v>
      </c>
      <c r="I902" s="154" t="s">
        <v>163</v>
      </c>
      <c r="J902" s="154" t="s">
        <v>74</v>
      </c>
      <c r="K902" s="154" t="s">
        <v>3394</v>
      </c>
      <c r="L902" s="161">
        <v>46227</v>
      </c>
      <c r="M902" s="160">
        <v>46227</v>
      </c>
      <c r="N902" s="154" t="str">
        <f>IF(ISNUMBER(PL[[#This Row],[CTO]]),"CTO "&amp;PL[[#This Row],[CTO]],"Otros")</f>
        <v>CTO 9</v>
      </c>
      <c r="O902" s="154" t="str">
        <f>IF(PL[[#This Row],[STATUS IUP]]="CERRADO","CERRADO",IF(ISNUMBER(SEARCH("validacion de enel",PL[[#This Row],[SUPPLIER NOTES]])),"PTE Validar Enel","ABIERTO"))</f>
        <v>CERRADO</v>
      </c>
      <c r="P902" s="154" t="str">
        <f>IF(PL[[#This Row],[ESTADO]]="CERRADO","Cerrados IUP",IF(PL[[#This Row],[ESTADO]]="PTE Validar Enel","Pendiente cierre ENEL",IF(ISNUMBER(SEARCH("suministro",PL[[#This Row],[SUPPLIER NOTES]])),"Suministros",IF(PL[[#This Row],[SC]]="SOCIAL","Social",IF(ISNUMBER(SEARCH("monolito",PL[[#This Row],[DESCRIPTION]])),"Monolitos","Varios")))))</f>
        <v>Cerrados IUP</v>
      </c>
      <c r="Q9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3" spans="1:17" s="157" customFormat="1" hidden="1" x14ac:dyDescent="0.2">
      <c r="A903" s="151" t="s">
        <v>2557</v>
      </c>
      <c r="B903" s="154" t="s">
        <v>41</v>
      </c>
      <c r="C903" s="154">
        <v>9</v>
      </c>
      <c r="D903" s="153" t="s">
        <v>3383</v>
      </c>
      <c r="E903" s="154" t="s">
        <v>2558</v>
      </c>
      <c r="F903" s="154" t="s">
        <v>2559</v>
      </c>
      <c r="G903" s="154" t="s">
        <v>1289</v>
      </c>
      <c r="H903" s="154" t="s">
        <v>2560</v>
      </c>
      <c r="I903" s="154" t="s">
        <v>1520</v>
      </c>
      <c r="J903" s="154" t="s">
        <v>74</v>
      </c>
      <c r="K903" s="154" t="s">
        <v>3394</v>
      </c>
      <c r="L903" s="161">
        <v>46154</v>
      </c>
      <c r="M903" s="160">
        <v>46153</v>
      </c>
      <c r="N903" s="154" t="str">
        <f>IF(ISNUMBER(PL[[#This Row],[CTO]]),"CTO "&amp;PL[[#This Row],[CTO]],"Otros")</f>
        <v>CTO 9</v>
      </c>
      <c r="O903" s="154" t="str">
        <f>IF(PL[[#This Row],[STATUS IUP]]="CERRADO","CERRADO",IF(ISNUMBER(SEARCH("validacion de enel",PL[[#This Row],[SUPPLIER NOTES]])),"PTE Validar Enel","ABIERTO"))</f>
        <v>CERRADO</v>
      </c>
      <c r="P903" s="154" t="str">
        <f>IF(PL[[#This Row],[ESTADO]]="CERRADO","Cerrados IUP",IF(PL[[#This Row],[ESTADO]]="PTE Validar Enel","Pendiente cierre ENEL",IF(ISNUMBER(SEARCH("suministro",PL[[#This Row],[SUPPLIER NOTES]])),"Suministros",IF(PL[[#This Row],[SC]]="SOCIAL","Social",IF(ISNUMBER(SEARCH("monolito",PL[[#This Row],[DESCRIPTION]])),"Monolitos","Varios")))))</f>
        <v>Cerrados IUP</v>
      </c>
      <c r="Q9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4" spans="1:17" s="157" customFormat="1" hidden="1" x14ac:dyDescent="0.2">
      <c r="A904" s="151" t="s">
        <v>1597</v>
      </c>
      <c r="B904" s="154" t="s">
        <v>41</v>
      </c>
      <c r="C904" s="154">
        <v>9</v>
      </c>
      <c r="D904" s="153" t="s">
        <v>3383</v>
      </c>
      <c r="E904" s="154" t="s">
        <v>1598</v>
      </c>
      <c r="F904" s="154" t="s">
        <v>1599</v>
      </c>
      <c r="G904" s="154" t="s">
        <v>1289</v>
      </c>
      <c r="H904" s="154" t="s">
        <v>163</v>
      </c>
      <c r="I904" s="154" t="s">
        <v>163</v>
      </c>
      <c r="J904" s="154" t="s">
        <v>74</v>
      </c>
      <c r="K904" s="154" t="s">
        <v>3394</v>
      </c>
      <c r="L904" s="161">
        <v>46227</v>
      </c>
      <c r="M904" s="160">
        <v>46227</v>
      </c>
      <c r="N904" s="154" t="str">
        <f>IF(ISNUMBER(PL[[#This Row],[CTO]]),"CTO "&amp;PL[[#This Row],[CTO]],"Otros")</f>
        <v>CTO 9</v>
      </c>
      <c r="O904" s="154" t="str">
        <f>IF(PL[[#This Row],[STATUS IUP]]="CERRADO","CERRADO",IF(ISNUMBER(SEARCH("validacion de enel",PL[[#This Row],[SUPPLIER NOTES]])),"PTE Validar Enel","ABIERTO"))</f>
        <v>CERRADO</v>
      </c>
      <c r="P904" s="154" t="str">
        <f>IF(PL[[#This Row],[ESTADO]]="CERRADO","Cerrados IUP",IF(PL[[#This Row],[ESTADO]]="PTE Validar Enel","Pendiente cierre ENEL",IF(ISNUMBER(SEARCH("suministro",PL[[#This Row],[SUPPLIER NOTES]])),"Suministros",IF(PL[[#This Row],[SC]]="SOCIAL","Social",IF(ISNUMBER(SEARCH("monolito",PL[[#This Row],[DESCRIPTION]])),"Monolitos","Varios")))))</f>
        <v>Cerrados IUP</v>
      </c>
      <c r="Q9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5" spans="1:17" s="157" customFormat="1" hidden="1" x14ac:dyDescent="0.2">
      <c r="A905" s="151" t="s">
        <v>2097</v>
      </c>
      <c r="B905" s="154" t="s">
        <v>41</v>
      </c>
      <c r="C905" s="154">
        <v>9</v>
      </c>
      <c r="D905" s="153" t="s">
        <v>3383</v>
      </c>
      <c r="E905" s="154" t="s">
        <v>2098</v>
      </c>
      <c r="F905" s="154" t="s">
        <v>2099</v>
      </c>
      <c r="G905" s="154" t="s">
        <v>1289</v>
      </c>
      <c r="H905" s="154" t="s">
        <v>2100</v>
      </c>
      <c r="I905" s="154" t="s">
        <v>1520</v>
      </c>
      <c r="J905" s="154" t="s">
        <v>74</v>
      </c>
      <c r="K905" s="154" t="s">
        <v>3394</v>
      </c>
      <c r="L905" s="161">
        <v>46154</v>
      </c>
      <c r="M905" s="160">
        <v>46153</v>
      </c>
      <c r="N905" s="154" t="str">
        <f>IF(ISNUMBER(PL[[#This Row],[CTO]]),"CTO "&amp;PL[[#This Row],[CTO]],"Otros")</f>
        <v>CTO 9</v>
      </c>
      <c r="O905" s="154" t="str">
        <f>IF(PL[[#This Row],[STATUS IUP]]="CERRADO","CERRADO",IF(ISNUMBER(SEARCH("validacion de enel",PL[[#This Row],[SUPPLIER NOTES]])),"PTE Validar Enel","ABIERTO"))</f>
        <v>CERRADO</v>
      </c>
      <c r="P905" s="154" t="str">
        <f>IF(PL[[#This Row],[ESTADO]]="CERRADO","Cerrados IUP",IF(PL[[#This Row],[ESTADO]]="PTE Validar Enel","Pendiente cierre ENEL",IF(ISNUMBER(SEARCH("suministro",PL[[#This Row],[SUPPLIER NOTES]])),"Suministros",IF(PL[[#This Row],[SC]]="SOCIAL","Social",IF(ISNUMBER(SEARCH("monolito",PL[[#This Row],[DESCRIPTION]])),"Monolitos","Varios")))))</f>
        <v>Cerrados IUP</v>
      </c>
      <c r="Q9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6" spans="1:17" s="157" customFormat="1" hidden="1" x14ac:dyDescent="0.2">
      <c r="A906" s="151" t="s">
        <v>1926</v>
      </c>
      <c r="B906" s="154" t="s">
        <v>41</v>
      </c>
      <c r="C906" s="154">
        <v>9</v>
      </c>
      <c r="D906" s="153" t="s">
        <v>3383</v>
      </c>
      <c r="E906" s="154" t="s">
        <v>1927</v>
      </c>
      <c r="F906" s="154" t="s">
        <v>1928</v>
      </c>
      <c r="G906" s="154" t="s">
        <v>1289</v>
      </c>
      <c r="H906" s="154" t="s">
        <v>1929</v>
      </c>
      <c r="I906" s="154" t="s">
        <v>1520</v>
      </c>
      <c r="J906" s="154" t="s">
        <v>74</v>
      </c>
      <c r="K906" s="154" t="s">
        <v>3394</v>
      </c>
      <c r="L906" s="161">
        <v>46154</v>
      </c>
      <c r="M906" s="160">
        <v>46153</v>
      </c>
      <c r="N906" s="154" t="str">
        <f>IF(ISNUMBER(PL[[#This Row],[CTO]]),"CTO "&amp;PL[[#This Row],[CTO]],"Otros")</f>
        <v>CTO 9</v>
      </c>
      <c r="O906" s="154" t="str">
        <f>IF(PL[[#This Row],[STATUS IUP]]="CERRADO","CERRADO",IF(ISNUMBER(SEARCH("validacion de enel",PL[[#This Row],[SUPPLIER NOTES]])),"PTE Validar Enel","ABIERTO"))</f>
        <v>CERRADO</v>
      </c>
      <c r="P906" s="154" t="str">
        <f>IF(PL[[#This Row],[ESTADO]]="CERRADO","Cerrados IUP",IF(PL[[#This Row],[ESTADO]]="PTE Validar Enel","Pendiente cierre ENEL",IF(ISNUMBER(SEARCH("suministro",PL[[#This Row],[SUPPLIER NOTES]])),"Suministros",IF(PL[[#This Row],[SC]]="SOCIAL","Social",IF(ISNUMBER(SEARCH("monolito",PL[[#This Row],[DESCRIPTION]])),"Monolitos","Varios")))))</f>
        <v>Cerrados IUP</v>
      </c>
      <c r="Q9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7" spans="1:17" s="157" customFormat="1" hidden="1" x14ac:dyDescent="0.2">
      <c r="A907" s="151" t="s">
        <v>2139</v>
      </c>
      <c r="B907" s="154" t="s">
        <v>41</v>
      </c>
      <c r="C907" s="154">
        <v>9</v>
      </c>
      <c r="D907" s="153" t="s">
        <v>3383</v>
      </c>
      <c r="E907" s="154" t="s">
        <v>2140</v>
      </c>
      <c r="F907" s="154" t="s">
        <v>2141</v>
      </c>
      <c r="G907" s="154" t="s">
        <v>1289</v>
      </c>
      <c r="H907" s="154" t="s">
        <v>2142</v>
      </c>
      <c r="I907" s="154" t="s">
        <v>1520</v>
      </c>
      <c r="J907" s="154" t="s">
        <v>74</v>
      </c>
      <c r="K907" s="154" t="s">
        <v>3394</v>
      </c>
      <c r="L907" s="161">
        <v>46154</v>
      </c>
      <c r="M907" s="160">
        <v>46153</v>
      </c>
      <c r="N907" s="154" t="str">
        <f>IF(ISNUMBER(PL[[#This Row],[CTO]]),"CTO "&amp;PL[[#This Row],[CTO]],"Otros")</f>
        <v>CTO 9</v>
      </c>
      <c r="O907" s="154" t="str">
        <f>IF(PL[[#This Row],[STATUS IUP]]="CERRADO","CERRADO",IF(ISNUMBER(SEARCH("validacion de enel",PL[[#This Row],[SUPPLIER NOTES]])),"PTE Validar Enel","ABIERTO"))</f>
        <v>CERRADO</v>
      </c>
      <c r="P907" s="154" t="str">
        <f>IF(PL[[#This Row],[ESTADO]]="CERRADO","Cerrados IUP",IF(PL[[#This Row],[ESTADO]]="PTE Validar Enel","Pendiente cierre ENEL",IF(ISNUMBER(SEARCH("suministro",PL[[#This Row],[SUPPLIER NOTES]])),"Suministros",IF(PL[[#This Row],[SC]]="SOCIAL","Social",IF(ISNUMBER(SEARCH("monolito",PL[[#This Row],[DESCRIPTION]])),"Monolitos","Varios")))))</f>
        <v>Cerrados IUP</v>
      </c>
      <c r="Q9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8" spans="1:17" s="157" customFormat="1" hidden="1" x14ac:dyDescent="0.2">
      <c r="A908" s="151" t="s">
        <v>1646</v>
      </c>
      <c r="B908" s="154" t="s">
        <v>41</v>
      </c>
      <c r="C908" s="154">
        <v>9</v>
      </c>
      <c r="D908" s="153" t="s">
        <v>3383</v>
      </c>
      <c r="E908" s="154" t="s">
        <v>1647</v>
      </c>
      <c r="F908" s="154" t="s">
        <v>1648</v>
      </c>
      <c r="G908" s="154" t="s">
        <v>1289</v>
      </c>
      <c r="H908" s="154" t="s">
        <v>1649</v>
      </c>
      <c r="I908" s="154" t="s">
        <v>1520</v>
      </c>
      <c r="J908" s="154" t="s">
        <v>74</v>
      </c>
      <c r="K908" s="154" t="s">
        <v>3394</v>
      </c>
      <c r="L908" s="161">
        <v>46154</v>
      </c>
      <c r="M908" s="160">
        <v>46153</v>
      </c>
      <c r="N908" s="154" t="str">
        <f>IF(ISNUMBER(PL[[#This Row],[CTO]]),"CTO "&amp;PL[[#This Row],[CTO]],"Otros")</f>
        <v>CTO 9</v>
      </c>
      <c r="O908" s="154" t="str">
        <f>IF(PL[[#This Row],[STATUS IUP]]="CERRADO","CERRADO",IF(ISNUMBER(SEARCH("validacion de enel",PL[[#This Row],[SUPPLIER NOTES]])),"PTE Validar Enel","ABIERTO"))</f>
        <v>CERRADO</v>
      </c>
      <c r="P908" s="154" t="str">
        <f>IF(PL[[#This Row],[ESTADO]]="CERRADO","Cerrados IUP",IF(PL[[#This Row],[ESTADO]]="PTE Validar Enel","Pendiente cierre ENEL",IF(ISNUMBER(SEARCH("suministro",PL[[#This Row],[SUPPLIER NOTES]])),"Suministros",IF(PL[[#This Row],[SC]]="SOCIAL","Social",IF(ISNUMBER(SEARCH("monolito",PL[[#This Row],[DESCRIPTION]])),"Monolitos","Varios")))))</f>
        <v>Cerrados IUP</v>
      </c>
      <c r="Q9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09" spans="1:17" s="157" customFormat="1" hidden="1" x14ac:dyDescent="0.2">
      <c r="A909" s="151" t="s">
        <v>1643</v>
      </c>
      <c r="B909" s="154" t="s">
        <v>41</v>
      </c>
      <c r="C909" s="154">
        <v>9</v>
      </c>
      <c r="D909" s="153" t="s">
        <v>3383</v>
      </c>
      <c r="E909" s="154" t="s">
        <v>1644</v>
      </c>
      <c r="F909" s="154" t="s">
        <v>1645</v>
      </c>
      <c r="G909" s="154" t="s">
        <v>1289</v>
      </c>
      <c r="H909" s="154" t="s">
        <v>1645</v>
      </c>
      <c r="I909" s="154" t="s">
        <v>1520</v>
      </c>
      <c r="J909" s="154" t="s">
        <v>74</v>
      </c>
      <c r="K909" s="154" t="s">
        <v>3394</v>
      </c>
      <c r="L909" s="161">
        <v>46154</v>
      </c>
      <c r="M909" s="160">
        <v>46154</v>
      </c>
      <c r="N909" s="154" t="str">
        <f>IF(ISNUMBER(PL[[#This Row],[CTO]]),"CTO "&amp;PL[[#This Row],[CTO]],"Otros")</f>
        <v>CTO 9</v>
      </c>
      <c r="O909" s="154" t="str">
        <f>IF(PL[[#This Row],[STATUS IUP]]="CERRADO","CERRADO",IF(ISNUMBER(SEARCH("validacion de enel",PL[[#This Row],[SUPPLIER NOTES]])),"PTE Validar Enel","ABIERTO"))</f>
        <v>CERRADO</v>
      </c>
      <c r="P909" s="154" t="str">
        <f>IF(PL[[#This Row],[ESTADO]]="CERRADO","Cerrados IUP",IF(PL[[#This Row],[ESTADO]]="PTE Validar Enel","Pendiente cierre ENEL",IF(ISNUMBER(SEARCH("suministro",PL[[#This Row],[SUPPLIER NOTES]])),"Suministros",IF(PL[[#This Row],[SC]]="SOCIAL","Social",IF(ISNUMBER(SEARCH("monolito",PL[[#This Row],[DESCRIPTION]])),"Monolitos","Varios")))))</f>
        <v>Cerrados IUP</v>
      </c>
      <c r="Q9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0" spans="1:17" s="157" customFormat="1" hidden="1" x14ac:dyDescent="0.2">
      <c r="A910" s="151" t="s">
        <v>2563</v>
      </c>
      <c r="B910" s="154" t="s">
        <v>41</v>
      </c>
      <c r="C910" s="154">
        <v>9</v>
      </c>
      <c r="D910" s="153" t="s">
        <v>3383</v>
      </c>
      <c r="E910" s="154" t="s">
        <v>2564</v>
      </c>
      <c r="F910" s="154" t="s">
        <v>2565</v>
      </c>
      <c r="G910" s="154" t="s">
        <v>1289</v>
      </c>
      <c r="H910" s="154" t="s">
        <v>163</v>
      </c>
      <c r="I910" s="154" t="s">
        <v>163</v>
      </c>
      <c r="J910" s="154" t="s">
        <v>74</v>
      </c>
      <c r="K910" s="154" t="s">
        <v>3394</v>
      </c>
      <c r="L910" s="161">
        <v>46227</v>
      </c>
      <c r="M910" s="160">
        <v>46227</v>
      </c>
      <c r="N910" s="154" t="str">
        <f>IF(ISNUMBER(PL[[#This Row],[CTO]]),"CTO "&amp;PL[[#This Row],[CTO]],"Otros")</f>
        <v>CTO 9</v>
      </c>
      <c r="O910" s="154" t="str">
        <f>IF(PL[[#This Row],[STATUS IUP]]="CERRADO","CERRADO",IF(ISNUMBER(SEARCH("validacion de enel",PL[[#This Row],[SUPPLIER NOTES]])),"PTE Validar Enel","ABIERTO"))</f>
        <v>CERRADO</v>
      </c>
      <c r="P910" s="154" t="str">
        <f>IF(PL[[#This Row],[ESTADO]]="CERRADO","Cerrados IUP",IF(PL[[#This Row],[ESTADO]]="PTE Validar Enel","Pendiente cierre ENEL",IF(ISNUMBER(SEARCH("suministro",PL[[#This Row],[SUPPLIER NOTES]])),"Suministros",IF(PL[[#This Row],[SC]]="SOCIAL","Social",IF(ISNUMBER(SEARCH("monolito",PL[[#This Row],[DESCRIPTION]])),"Monolitos","Varios")))))</f>
        <v>Cerrados IUP</v>
      </c>
      <c r="Q9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1" spans="1:17" s="157" customFormat="1" hidden="1" x14ac:dyDescent="0.2">
      <c r="A911" s="151" t="s">
        <v>2871</v>
      </c>
      <c r="B911" s="154" t="s">
        <v>41</v>
      </c>
      <c r="C911" s="154">
        <v>9</v>
      </c>
      <c r="D911" s="153" t="s">
        <v>3383</v>
      </c>
      <c r="E911" s="154" t="s">
        <v>2872</v>
      </c>
      <c r="F911" s="154" t="s">
        <v>2873</v>
      </c>
      <c r="G911" s="154" t="s">
        <v>1289</v>
      </c>
      <c r="H911" s="154" t="s">
        <v>2874</v>
      </c>
      <c r="I911" s="154"/>
      <c r="J911" s="154" t="s">
        <v>74</v>
      </c>
      <c r="K911" s="154" t="s">
        <v>3394</v>
      </c>
      <c r="L911" s="154"/>
      <c r="M911" s="160">
        <v>46154</v>
      </c>
      <c r="N911" s="154" t="str">
        <f>IF(ISNUMBER(PL[[#This Row],[CTO]]),"CTO "&amp;PL[[#This Row],[CTO]],"Otros")</f>
        <v>CTO 9</v>
      </c>
      <c r="O911" s="154" t="str">
        <f>IF(PL[[#This Row],[STATUS IUP]]="CERRADO","CERRADO",IF(ISNUMBER(SEARCH("validacion de enel",PL[[#This Row],[SUPPLIER NOTES]])),"PTE Validar Enel","ABIERTO"))</f>
        <v>CERRADO</v>
      </c>
      <c r="P911" s="154" t="str">
        <f>IF(PL[[#This Row],[ESTADO]]="CERRADO","Cerrados IUP",IF(PL[[#This Row],[ESTADO]]="PTE Validar Enel","Pendiente cierre ENEL",IF(ISNUMBER(SEARCH("suministro",PL[[#This Row],[SUPPLIER NOTES]])),"Suministros",IF(PL[[#This Row],[SC]]="SOCIAL","Social",IF(ISNUMBER(SEARCH("monolito",PL[[#This Row],[DESCRIPTION]])),"Monolitos","Varios")))))</f>
        <v>Cerrados IUP</v>
      </c>
      <c r="Q9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2" spans="1:17" s="157" customFormat="1" hidden="1" x14ac:dyDescent="0.2">
      <c r="A912" s="151" t="s">
        <v>2566</v>
      </c>
      <c r="B912" s="154" t="s">
        <v>41</v>
      </c>
      <c r="C912" s="154">
        <v>9</v>
      </c>
      <c r="D912" s="153" t="s">
        <v>3383</v>
      </c>
      <c r="E912" s="154" t="s">
        <v>2567</v>
      </c>
      <c r="F912" s="154" t="s">
        <v>2568</v>
      </c>
      <c r="G912" s="154" t="s">
        <v>216</v>
      </c>
      <c r="H912" s="154" t="s">
        <v>2569</v>
      </c>
      <c r="I912" s="154" t="s">
        <v>1520</v>
      </c>
      <c r="J912" s="154" t="s">
        <v>74</v>
      </c>
      <c r="K912" s="154" t="s">
        <v>3394</v>
      </c>
      <c r="L912" s="161">
        <v>46155</v>
      </c>
      <c r="M912" s="160">
        <v>46153</v>
      </c>
      <c r="N912" s="154" t="str">
        <f>IF(ISNUMBER(PL[[#This Row],[CTO]]),"CTO "&amp;PL[[#This Row],[CTO]],"Otros")</f>
        <v>CTO 9</v>
      </c>
      <c r="O912" s="154" t="str">
        <f>IF(PL[[#This Row],[STATUS IUP]]="CERRADO","CERRADO",IF(ISNUMBER(SEARCH("validacion de enel",PL[[#This Row],[SUPPLIER NOTES]])),"PTE Validar Enel","ABIERTO"))</f>
        <v>CERRADO</v>
      </c>
      <c r="P912" s="154" t="str">
        <f>IF(PL[[#This Row],[ESTADO]]="CERRADO","Cerrados IUP",IF(PL[[#This Row],[ESTADO]]="PTE Validar Enel","Pendiente cierre ENEL",IF(ISNUMBER(SEARCH("suministro",PL[[#This Row],[SUPPLIER NOTES]])),"Suministros",IF(PL[[#This Row],[SC]]="SOCIAL","Social",IF(ISNUMBER(SEARCH("monolito",PL[[#This Row],[DESCRIPTION]])),"Monolitos","Varios")))))</f>
        <v>Cerrados IUP</v>
      </c>
      <c r="Q9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3" spans="1:17" s="157" customFormat="1" hidden="1" x14ac:dyDescent="0.2">
      <c r="A913" s="151" t="s">
        <v>1593</v>
      </c>
      <c r="B913" s="154" t="s">
        <v>1314</v>
      </c>
      <c r="C913" s="154">
        <v>9</v>
      </c>
      <c r="D913" s="153" t="s">
        <v>3383</v>
      </c>
      <c r="E913" s="154" t="s">
        <v>1594</v>
      </c>
      <c r="F913" s="154" t="s">
        <v>1595</v>
      </c>
      <c r="G913" s="154" t="s">
        <v>216</v>
      </c>
      <c r="H913" s="154" t="s">
        <v>1596</v>
      </c>
      <c r="I913" s="154" t="s">
        <v>1520</v>
      </c>
      <c r="J913" s="154" t="s">
        <v>74</v>
      </c>
      <c r="K913" s="154" t="s">
        <v>3394</v>
      </c>
      <c r="L913" s="161">
        <v>46154</v>
      </c>
      <c r="M913" s="160">
        <v>46153</v>
      </c>
      <c r="N913" s="154" t="str">
        <f>IF(ISNUMBER(PL[[#This Row],[CTO]]),"CTO "&amp;PL[[#This Row],[CTO]],"Otros")</f>
        <v>CTO 9</v>
      </c>
      <c r="O913" s="154" t="str">
        <f>IF(PL[[#This Row],[STATUS IUP]]="CERRADO","CERRADO",IF(ISNUMBER(SEARCH("validacion de enel",PL[[#This Row],[SUPPLIER NOTES]])),"PTE Validar Enel","ABIERTO"))</f>
        <v>CERRADO</v>
      </c>
      <c r="P913" s="154" t="str">
        <f>IF(PL[[#This Row],[ESTADO]]="CERRADO","Cerrados IUP",IF(PL[[#This Row],[ESTADO]]="PTE Validar Enel","Pendiente cierre ENEL",IF(ISNUMBER(SEARCH("suministro",PL[[#This Row],[SUPPLIER NOTES]])),"Suministros",IF(PL[[#This Row],[SC]]="SOCIAL","Social",IF(ISNUMBER(SEARCH("monolito",PL[[#This Row],[DESCRIPTION]])),"Monolitos","Varios")))))</f>
        <v>Cerrados IUP</v>
      </c>
      <c r="Q9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4" spans="1:17" s="157" customFormat="1" hidden="1" x14ac:dyDescent="0.2">
      <c r="A914" s="151" t="s">
        <v>2136</v>
      </c>
      <c r="B914" s="154" t="s">
        <v>1314</v>
      </c>
      <c r="C914" s="154">
        <v>9</v>
      </c>
      <c r="D914" s="153" t="s">
        <v>3383</v>
      </c>
      <c r="E914" s="154" t="s">
        <v>2137</v>
      </c>
      <c r="F914" s="154" t="s">
        <v>2138</v>
      </c>
      <c r="G914" s="154" t="s">
        <v>216</v>
      </c>
      <c r="H914" s="154"/>
      <c r="I914" s="154"/>
      <c r="J914" s="154" t="s">
        <v>74</v>
      </c>
      <c r="K914" s="154" t="s">
        <v>3394</v>
      </c>
      <c r="L914" s="154"/>
      <c r="M914" s="156"/>
      <c r="N914" s="154" t="str">
        <f>IF(ISNUMBER(PL[[#This Row],[CTO]]),"CTO "&amp;PL[[#This Row],[CTO]],"Otros")</f>
        <v>CTO 9</v>
      </c>
      <c r="O914" s="154" t="str">
        <f>IF(PL[[#This Row],[STATUS IUP]]="CERRADO","CERRADO",IF(ISNUMBER(SEARCH("validacion de enel",PL[[#This Row],[SUPPLIER NOTES]])),"PTE Validar Enel","ABIERTO"))</f>
        <v>CERRADO</v>
      </c>
      <c r="P914" s="154" t="str">
        <f>IF(PL[[#This Row],[ESTADO]]="CERRADO","Cerrados IUP",IF(PL[[#This Row],[ESTADO]]="PTE Validar Enel","Pendiente cierre ENEL",IF(ISNUMBER(SEARCH("suministro",PL[[#This Row],[SUPPLIER NOTES]])),"Suministros",IF(PL[[#This Row],[SC]]="SOCIAL","Social",IF(ISNUMBER(SEARCH("monolito",PL[[#This Row],[DESCRIPTION]])),"Monolitos","Varios")))))</f>
        <v>Cerrados IUP</v>
      </c>
      <c r="Q9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5" spans="1:17" s="157" customFormat="1" hidden="1" x14ac:dyDescent="0.2">
      <c r="A915" s="151" t="s">
        <v>1777</v>
      </c>
      <c r="B915" s="154" t="s">
        <v>8</v>
      </c>
      <c r="C915" s="154">
        <v>9</v>
      </c>
      <c r="D915" s="153" t="s">
        <v>3383</v>
      </c>
      <c r="E915" s="154" t="s">
        <v>1778</v>
      </c>
      <c r="F915" s="154" t="s">
        <v>263</v>
      </c>
      <c r="G915" s="154" t="s">
        <v>128</v>
      </c>
      <c r="H915" s="154" t="s">
        <v>163</v>
      </c>
      <c r="I915" s="154" t="s">
        <v>163</v>
      </c>
      <c r="J915" s="154" t="s">
        <v>74</v>
      </c>
      <c r="K915" s="154" t="s">
        <v>3394</v>
      </c>
      <c r="L915" s="161">
        <v>46197</v>
      </c>
      <c r="M915" s="160">
        <v>46197</v>
      </c>
      <c r="N915" s="154" t="str">
        <f>IF(ISNUMBER(PL[[#This Row],[CTO]]),"CTO "&amp;PL[[#This Row],[CTO]],"Otros")</f>
        <v>CTO 9</v>
      </c>
      <c r="O915" s="154" t="str">
        <f>IF(PL[[#This Row],[STATUS IUP]]="CERRADO","CERRADO",IF(ISNUMBER(SEARCH("validacion de enel",PL[[#This Row],[SUPPLIER NOTES]])),"PTE Validar Enel","ABIERTO"))</f>
        <v>CERRADO</v>
      </c>
      <c r="P915" s="154" t="str">
        <f>IF(PL[[#This Row],[ESTADO]]="CERRADO","Cerrados IUP",IF(PL[[#This Row],[ESTADO]]="PTE Validar Enel","Pendiente cierre ENEL",IF(ISNUMBER(SEARCH("suministro",PL[[#This Row],[SUPPLIER NOTES]])),"Suministros",IF(PL[[#This Row],[SC]]="SOCIAL","Social",IF(ISNUMBER(SEARCH("monolito",PL[[#This Row],[DESCRIPTION]])),"Monolitos","Varios")))))</f>
        <v>Cerrados IUP</v>
      </c>
      <c r="Q9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6" spans="1:17" s="157" customFormat="1" hidden="1" x14ac:dyDescent="0.2">
      <c r="A916" s="151" t="s">
        <v>2171</v>
      </c>
      <c r="B916" s="154" t="s">
        <v>8</v>
      </c>
      <c r="C916" s="154">
        <v>9</v>
      </c>
      <c r="D916" s="153" t="s">
        <v>3383</v>
      </c>
      <c r="E916" s="154" t="s">
        <v>2172</v>
      </c>
      <c r="F916" s="154" t="s">
        <v>263</v>
      </c>
      <c r="G916" s="154" t="s">
        <v>128</v>
      </c>
      <c r="H916" s="154" t="s">
        <v>163</v>
      </c>
      <c r="I916" s="154" t="s">
        <v>163</v>
      </c>
      <c r="J916" s="154" t="s">
        <v>74</v>
      </c>
      <c r="K916" s="154" t="s">
        <v>3394</v>
      </c>
      <c r="L916" s="161">
        <v>46197</v>
      </c>
      <c r="M916" s="160">
        <v>46197</v>
      </c>
      <c r="N916" s="154" t="str">
        <f>IF(ISNUMBER(PL[[#This Row],[CTO]]),"CTO "&amp;PL[[#This Row],[CTO]],"Otros")</f>
        <v>CTO 9</v>
      </c>
      <c r="O916" s="154" t="str">
        <f>IF(PL[[#This Row],[STATUS IUP]]="CERRADO","CERRADO",IF(ISNUMBER(SEARCH("validacion de enel",PL[[#This Row],[SUPPLIER NOTES]])),"PTE Validar Enel","ABIERTO"))</f>
        <v>CERRADO</v>
      </c>
      <c r="P916" s="154" t="str">
        <f>IF(PL[[#This Row],[ESTADO]]="CERRADO","Cerrados IUP",IF(PL[[#This Row],[ESTADO]]="PTE Validar Enel","Pendiente cierre ENEL",IF(ISNUMBER(SEARCH("suministro",PL[[#This Row],[SUPPLIER NOTES]])),"Suministros",IF(PL[[#This Row],[SC]]="SOCIAL","Social",IF(ISNUMBER(SEARCH("monolito",PL[[#This Row],[DESCRIPTION]])),"Monolitos","Varios")))))</f>
        <v>Cerrados IUP</v>
      </c>
      <c r="Q9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7" spans="1:17" s="157" customFormat="1" hidden="1" x14ac:dyDescent="0.2">
      <c r="A917" s="151" t="s">
        <v>1588</v>
      </c>
      <c r="B917" s="154" t="s">
        <v>8</v>
      </c>
      <c r="C917" s="154">
        <v>9</v>
      </c>
      <c r="D917" s="153" t="s">
        <v>3383</v>
      </c>
      <c r="E917" s="154" t="s">
        <v>1589</v>
      </c>
      <c r="F917" s="154" t="s">
        <v>73</v>
      </c>
      <c r="G917" s="154" t="s">
        <v>128</v>
      </c>
      <c r="H917" s="154" t="s">
        <v>163</v>
      </c>
      <c r="I917" s="154" t="s">
        <v>163</v>
      </c>
      <c r="J917" s="154" t="s">
        <v>74</v>
      </c>
      <c r="K917" s="154" t="s">
        <v>3394</v>
      </c>
      <c r="L917" s="161">
        <v>46210</v>
      </c>
      <c r="M917" s="160">
        <v>46210</v>
      </c>
      <c r="N917" s="154" t="str">
        <f>IF(ISNUMBER(PL[[#This Row],[CTO]]),"CTO "&amp;PL[[#This Row],[CTO]],"Otros")</f>
        <v>CTO 9</v>
      </c>
      <c r="O917" s="154" t="str">
        <f>IF(PL[[#This Row],[STATUS IUP]]="CERRADO","CERRADO",IF(ISNUMBER(SEARCH("validacion de enel",PL[[#This Row],[SUPPLIER NOTES]])),"PTE Validar Enel","ABIERTO"))</f>
        <v>CERRADO</v>
      </c>
      <c r="P917" s="154" t="str">
        <f>IF(PL[[#This Row],[ESTADO]]="CERRADO","Cerrados IUP",IF(PL[[#This Row],[ESTADO]]="PTE Validar Enel","Pendiente cierre ENEL",IF(ISNUMBER(SEARCH("suministro",PL[[#This Row],[SUPPLIER NOTES]])),"Suministros",IF(PL[[#This Row],[SC]]="SOCIAL","Social",IF(ISNUMBER(SEARCH("monolito",PL[[#This Row],[DESCRIPTION]])),"Monolitos","Varios")))))</f>
        <v>Cerrados IUP</v>
      </c>
      <c r="Q9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8" spans="1:17" s="157" customFormat="1" hidden="1" x14ac:dyDescent="0.2">
      <c r="A918" s="151" t="s">
        <v>2272</v>
      </c>
      <c r="B918" s="154" t="s">
        <v>8</v>
      </c>
      <c r="C918" s="154">
        <v>9</v>
      </c>
      <c r="D918" s="153" t="s">
        <v>3383</v>
      </c>
      <c r="E918" s="154" t="s">
        <v>2273</v>
      </c>
      <c r="F918" s="154" t="s">
        <v>263</v>
      </c>
      <c r="G918" s="154" t="s">
        <v>128</v>
      </c>
      <c r="H918" s="154" t="s">
        <v>163</v>
      </c>
      <c r="I918" s="154" t="s">
        <v>163</v>
      </c>
      <c r="J918" s="154" t="s">
        <v>74</v>
      </c>
      <c r="K918" s="154" t="s">
        <v>3394</v>
      </c>
      <c r="L918" s="161">
        <v>46197</v>
      </c>
      <c r="M918" s="160">
        <v>46197</v>
      </c>
      <c r="N918" s="154" t="str">
        <f>IF(ISNUMBER(PL[[#This Row],[CTO]]),"CTO "&amp;PL[[#This Row],[CTO]],"Otros")</f>
        <v>CTO 9</v>
      </c>
      <c r="O918" s="154" t="str">
        <f>IF(PL[[#This Row],[STATUS IUP]]="CERRADO","CERRADO",IF(ISNUMBER(SEARCH("validacion de enel",PL[[#This Row],[SUPPLIER NOTES]])),"PTE Validar Enel","ABIERTO"))</f>
        <v>CERRADO</v>
      </c>
      <c r="P918" s="154" t="str">
        <f>IF(PL[[#This Row],[ESTADO]]="CERRADO","Cerrados IUP",IF(PL[[#This Row],[ESTADO]]="PTE Validar Enel","Pendiente cierre ENEL",IF(ISNUMBER(SEARCH("suministro",PL[[#This Row],[SUPPLIER NOTES]])),"Suministros",IF(PL[[#This Row],[SC]]="SOCIAL","Social",IF(ISNUMBER(SEARCH("monolito",PL[[#This Row],[DESCRIPTION]])),"Monolitos","Varios")))))</f>
        <v>Cerrados IUP</v>
      </c>
      <c r="Q9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19" spans="1:17" s="157" customFormat="1" hidden="1" x14ac:dyDescent="0.2">
      <c r="A919" s="151" t="s">
        <v>1732</v>
      </c>
      <c r="B919" s="154" t="s">
        <v>8</v>
      </c>
      <c r="C919" s="154">
        <v>9</v>
      </c>
      <c r="D919" s="153" t="s">
        <v>3383</v>
      </c>
      <c r="E919" s="154" t="s">
        <v>1733</v>
      </c>
      <c r="F919" s="154" t="s">
        <v>73</v>
      </c>
      <c r="G919" s="154" t="s">
        <v>128</v>
      </c>
      <c r="H919" s="154" t="s">
        <v>163</v>
      </c>
      <c r="I919" s="154" t="s">
        <v>163</v>
      </c>
      <c r="J919" s="154" t="s">
        <v>74</v>
      </c>
      <c r="K919" s="154" t="s">
        <v>3394</v>
      </c>
      <c r="L919" s="161">
        <v>46210</v>
      </c>
      <c r="M919" s="160">
        <v>46210</v>
      </c>
      <c r="N919" s="154" t="str">
        <f>IF(ISNUMBER(PL[[#This Row],[CTO]]),"CTO "&amp;PL[[#This Row],[CTO]],"Otros")</f>
        <v>CTO 9</v>
      </c>
      <c r="O919" s="154" t="str">
        <f>IF(PL[[#This Row],[STATUS IUP]]="CERRADO","CERRADO",IF(ISNUMBER(SEARCH("validacion de enel",PL[[#This Row],[SUPPLIER NOTES]])),"PTE Validar Enel","ABIERTO"))</f>
        <v>CERRADO</v>
      </c>
      <c r="P919" s="154" t="str">
        <f>IF(PL[[#This Row],[ESTADO]]="CERRADO","Cerrados IUP",IF(PL[[#This Row],[ESTADO]]="PTE Validar Enel","Pendiente cierre ENEL",IF(ISNUMBER(SEARCH("suministro",PL[[#This Row],[SUPPLIER NOTES]])),"Suministros",IF(PL[[#This Row],[SC]]="SOCIAL","Social",IF(ISNUMBER(SEARCH("monolito",PL[[#This Row],[DESCRIPTION]])),"Monolitos","Varios")))))</f>
        <v>Cerrados IUP</v>
      </c>
      <c r="Q9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0" spans="1:17" s="157" customFormat="1" hidden="1" x14ac:dyDescent="0.2">
      <c r="A920" s="151" t="s">
        <v>2636</v>
      </c>
      <c r="B920" s="154" t="s">
        <v>8</v>
      </c>
      <c r="C920" s="154">
        <v>9</v>
      </c>
      <c r="D920" s="153" t="s">
        <v>3383</v>
      </c>
      <c r="E920" s="154" t="s">
        <v>2637</v>
      </c>
      <c r="F920" s="154" t="s">
        <v>263</v>
      </c>
      <c r="G920" s="154" t="s">
        <v>128</v>
      </c>
      <c r="H920" s="154" t="s">
        <v>163</v>
      </c>
      <c r="I920" s="154" t="s">
        <v>163</v>
      </c>
      <c r="J920" s="154" t="s">
        <v>74</v>
      </c>
      <c r="K920" s="154" t="s">
        <v>3394</v>
      </c>
      <c r="L920" s="161">
        <v>46197</v>
      </c>
      <c r="M920" s="160">
        <v>46197</v>
      </c>
      <c r="N920" s="154" t="str">
        <f>IF(ISNUMBER(PL[[#This Row],[CTO]]),"CTO "&amp;PL[[#This Row],[CTO]],"Otros")</f>
        <v>CTO 9</v>
      </c>
      <c r="O920" s="154" t="str">
        <f>IF(PL[[#This Row],[STATUS IUP]]="CERRADO","CERRADO",IF(ISNUMBER(SEARCH("validacion de enel",PL[[#This Row],[SUPPLIER NOTES]])),"PTE Validar Enel","ABIERTO"))</f>
        <v>CERRADO</v>
      </c>
      <c r="P920" s="154" t="str">
        <f>IF(PL[[#This Row],[ESTADO]]="CERRADO","Cerrados IUP",IF(PL[[#This Row],[ESTADO]]="PTE Validar Enel","Pendiente cierre ENEL",IF(ISNUMBER(SEARCH("suministro",PL[[#This Row],[SUPPLIER NOTES]])),"Suministros",IF(PL[[#This Row],[SC]]="SOCIAL","Social",IF(ISNUMBER(SEARCH("monolito",PL[[#This Row],[DESCRIPTION]])),"Monolitos","Varios")))))</f>
        <v>Cerrados IUP</v>
      </c>
      <c r="Q9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1" spans="1:17" s="157" customFormat="1" hidden="1" x14ac:dyDescent="0.2">
      <c r="A921" s="151" t="s">
        <v>1918</v>
      </c>
      <c r="B921" s="154" t="s">
        <v>8</v>
      </c>
      <c r="C921" s="154">
        <v>9</v>
      </c>
      <c r="D921" s="153" t="s">
        <v>3383</v>
      </c>
      <c r="E921" s="154" t="s">
        <v>1919</v>
      </c>
      <c r="F921" s="154" t="s">
        <v>263</v>
      </c>
      <c r="G921" s="154" t="s">
        <v>128</v>
      </c>
      <c r="H921" s="154" t="s">
        <v>163</v>
      </c>
      <c r="I921" s="154" t="s">
        <v>163</v>
      </c>
      <c r="J921" s="154" t="s">
        <v>74</v>
      </c>
      <c r="K921" s="154" t="s">
        <v>3394</v>
      </c>
      <c r="L921" s="161">
        <v>46197</v>
      </c>
      <c r="M921" s="160">
        <v>46197</v>
      </c>
      <c r="N921" s="154" t="str">
        <f>IF(ISNUMBER(PL[[#This Row],[CTO]]),"CTO "&amp;PL[[#This Row],[CTO]],"Otros")</f>
        <v>CTO 9</v>
      </c>
      <c r="O921" s="154" t="str">
        <f>IF(PL[[#This Row],[STATUS IUP]]="CERRADO","CERRADO",IF(ISNUMBER(SEARCH("validacion de enel",PL[[#This Row],[SUPPLIER NOTES]])),"PTE Validar Enel","ABIERTO"))</f>
        <v>CERRADO</v>
      </c>
      <c r="P921" s="154" t="str">
        <f>IF(PL[[#This Row],[ESTADO]]="CERRADO","Cerrados IUP",IF(PL[[#This Row],[ESTADO]]="PTE Validar Enel","Pendiente cierre ENEL",IF(ISNUMBER(SEARCH("suministro",PL[[#This Row],[SUPPLIER NOTES]])),"Suministros",IF(PL[[#This Row],[SC]]="SOCIAL","Social",IF(ISNUMBER(SEARCH("monolito",PL[[#This Row],[DESCRIPTION]])),"Monolitos","Varios")))))</f>
        <v>Cerrados IUP</v>
      </c>
      <c r="Q9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2" spans="1:17" s="157" customFormat="1" hidden="1" x14ac:dyDescent="0.2">
      <c r="A922" s="151" t="s">
        <v>2223</v>
      </c>
      <c r="B922" s="154" t="s">
        <v>8</v>
      </c>
      <c r="C922" s="154">
        <v>9</v>
      </c>
      <c r="D922" s="153" t="s">
        <v>3383</v>
      </c>
      <c r="E922" s="154" t="s">
        <v>2224</v>
      </c>
      <c r="F922" s="154" t="s">
        <v>263</v>
      </c>
      <c r="G922" s="154" t="s">
        <v>128</v>
      </c>
      <c r="H922" s="154" t="s">
        <v>163</v>
      </c>
      <c r="I922" s="154" t="s">
        <v>163</v>
      </c>
      <c r="J922" s="154" t="s">
        <v>74</v>
      </c>
      <c r="K922" s="154" t="s">
        <v>3394</v>
      </c>
      <c r="L922" s="161">
        <v>46197</v>
      </c>
      <c r="M922" s="160">
        <v>46197</v>
      </c>
      <c r="N922" s="154" t="str">
        <f>IF(ISNUMBER(PL[[#This Row],[CTO]]),"CTO "&amp;PL[[#This Row],[CTO]],"Otros")</f>
        <v>CTO 9</v>
      </c>
      <c r="O922" s="154" t="str">
        <f>IF(PL[[#This Row],[STATUS IUP]]="CERRADO","CERRADO",IF(ISNUMBER(SEARCH("validacion de enel",PL[[#This Row],[SUPPLIER NOTES]])),"PTE Validar Enel","ABIERTO"))</f>
        <v>CERRADO</v>
      </c>
      <c r="P922" s="154" t="str">
        <f>IF(PL[[#This Row],[ESTADO]]="CERRADO","Cerrados IUP",IF(PL[[#This Row],[ESTADO]]="PTE Validar Enel","Pendiente cierre ENEL",IF(ISNUMBER(SEARCH("suministro",PL[[#This Row],[SUPPLIER NOTES]])),"Suministros",IF(PL[[#This Row],[SC]]="SOCIAL","Social",IF(ISNUMBER(SEARCH("monolito",PL[[#This Row],[DESCRIPTION]])),"Monolitos","Varios")))))</f>
        <v>Cerrados IUP</v>
      </c>
      <c r="Q9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3" spans="1:17" s="157" customFormat="1" hidden="1" x14ac:dyDescent="0.2">
      <c r="A923" s="151" t="s">
        <v>2726</v>
      </c>
      <c r="B923" s="154" t="s">
        <v>8</v>
      </c>
      <c r="C923" s="154">
        <v>9</v>
      </c>
      <c r="D923" s="153" t="s">
        <v>3383</v>
      </c>
      <c r="E923" s="154" t="s">
        <v>2727</v>
      </c>
      <c r="F923" s="154" t="s">
        <v>263</v>
      </c>
      <c r="G923" s="154" t="s">
        <v>128</v>
      </c>
      <c r="H923" s="154" t="s">
        <v>163</v>
      </c>
      <c r="I923" s="154" t="s">
        <v>163</v>
      </c>
      <c r="J923" s="154" t="s">
        <v>74</v>
      </c>
      <c r="K923" s="154" t="s">
        <v>3394</v>
      </c>
      <c r="L923" s="161">
        <v>46197</v>
      </c>
      <c r="M923" s="160">
        <v>46197</v>
      </c>
      <c r="N923" s="154" t="str">
        <f>IF(ISNUMBER(PL[[#This Row],[CTO]]),"CTO "&amp;PL[[#This Row],[CTO]],"Otros")</f>
        <v>CTO 9</v>
      </c>
      <c r="O923" s="154" t="str">
        <f>IF(PL[[#This Row],[STATUS IUP]]="CERRADO","CERRADO",IF(ISNUMBER(SEARCH("validacion de enel",PL[[#This Row],[SUPPLIER NOTES]])),"PTE Validar Enel","ABIERTO"))</f>
        <v>CERRADO</v>
      </c>
      <c r="P923" s="154" t="str">
        <f>IF(PL[[#This Row],[ESTADO]]="CERRADO","Cerrados IUP",IF(PL[[#This Row],[ESTADO]]="PTE Validar Enel","Pendiente cierre ENEL",IF(ISNUMBER(SEARCH("suministro",PL[[#This Row],[SUPPLIER NOTES]])),"Suministros",IF(PL[[#This Row],[SC]]="SOCIAL","Social",IF(ISNUMBER(SEARCH("monolito",PL[[#This Row],[DESCRIPTION]])),"Monolitos","Varios")))))</f>
        <v>Cerrados IUP</v>
      </c>
      <c r="Q9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4" spans="1:17" s="157" customFormat="1" hidden="1" x14ac:dyDescent="0.2">
      <c r="A924" s="151" t="s">
        <v>2221</v>
      </c>
      <c r="B924" s="154" t="s">
        <v>8</v>
      </c>
      <c r="C924" s="154">
        <v>9</v>
      </c>
      <c r="D924" s="153" t="s">
        <v>3383</v>
      </c>
      <c r="E924" s="154" t="s">
        <v>2222</v>
      </c>
      <c r="F924" s="154" t="s">
        <v>263</v>
      </c>
      <c r="G924" s="154" t="s">
        <v>128</v>
      </c>
      <c r="H924" s="154" t="s">
        <v>163</v>
      </c>
      <c r="I924" s="154" t="s">
        <v>163</v>
      </c>
      <c r="J924" s="154" t="s">
        <v>74</v>
      </c>
      <c r="K924" s="154" t="s">
        <v>3394</v>
      </c>
      <c r="L924" s="161">
        <v>46197</v>
      </c>
      <c r="M924" s="160">
        <v>46197</v>
      </c>
      <c r="N924" s="154" t="str">
        <f>IF(ISNUMBER(PL[[#This Row],[CTO]]),"CTO "&amp;PL[[#This Row],[CTO]],"Otros")</f>
        <v>CTO 9</v>
      </c>
      <c r="O924" s="154" t="str">
        <f>IF(PL[[#This Row],[STATUS IUP]]="CERRADO","CERRADO",IF(ISNUMBER(SEARCH("validacion de enel",PL[[#This Row],[SUPPLIER NOTES]])),"PTE Validar Enel","ABIERTO"))</f>
        <v>CERRADO</v>
      </c>
      <c r="P924" s="154" t="str">
        <f>IF(PL[[#This Row],[ESTADO]]="CERRADO","Cerrados IUP",IF(PL[[#This Row],[ESTADO]]="PTE Validar Enel","Pendiente cierre ENEL",IF(ISNUMBER(SEARCH("suministro",PL[[#This Row],[SUPPLIER NOTES]])),"Suministros",IF(PL[[#This Row],[SC]]="SOCIAL","Social",IF(ISNUMBER(SEARCH("monolito",PL[[#This Row],[DESCRIPTION]])),"Monolitos","Varios")))))</f>
        <v>Cerrados IUP</v>
      </c>
      <c r="Q9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5" spans="1:17" s="157" customFormat="1" hidden="1" x14ac:dyDescent="0.2">
      <c r="A925" s="151" t="s">
        <v>2219</v>
      </c>
      <c r="B925" s="154" t="s">
        <v>8</v>
      </c>
      <c r="C925" s="154">
        <v>9</v>
      </c>
      <c r="D925" s="153" t="s">
        <v>3383</v>
      </c>
      <c r="E925" s="154" t="s">
        <v>2220</v>
      </c>
      <c r="F925" s="154" t="s">
        <v>73</v>
      </c>
      <c r="G925" s="154" t="s">
        <v>128</v>
      </c>
      <c r="H925" s="154" t="s">
        <v>163</v>
      </c>
      <c r="I925" s="154" t="s">
        <v>163</v>
      </c>
      <c r="J925" s="154" t="s">
        <v>74</v>
      </c>
      <c r="K925" s="154" t="s">
        <v>3394</v>
      </c>
      <c r="L925" s="161">
        <v>46210</v>
      </c>
      <c r="M925" s="160">
        <v>46210</v>
      </c>
      <c r="N925" s="154" t="str">
        <f>IF(ISNUMBER(PL[[#This Row],[CTO]]),"CTO "&amp;PL[[#This Row],[CTO]],"Otros")</f>
        <v>CTO 9</v>
      </c>
      <c r="O925" s="154" t="str">
        <f>IF(PL[[#This Row],[STATUS IUP]]="CERRADO","CERRADO",IF(ISNUMBER(SEARCH("validacion de enel",PL[[#This Row],[SUPPLIER NOTES]])),"PTE Validar Enel","ABIERTO"))</f>
        <v>CERRADO</v>
      </c>
      <c r="P925" s="154" t="str">
        <f>IF(PL[[#This Row],[ESTADO]]="CERRADO","Cerrados IUP",IF(PL[[#This Row],[ESTADO]]="PTE Validar Enel","Pendiente cierre ENEL",IF(ISNUMBER(SEARCH("suministro",PL[[#This Row],[SUPPLIER NOTES]])),"Suministros",IF(PL[[#This Row],[SC]]="SOCIAL","Social",IF(ISNUMBER(SEARCH("monolito",PL[[#This Row],[DESCRIPTION]])),"Monolitos","Varios")))))</f>
        <v>Cerrados IUP</v>
      </c>
      <c r="Q9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6" spans="1:17" s="157" customFormat="1" hidden="1" x14ac:dyDescent="0.2">
      <c r="A926" s="151" t="s">
        <v>1590</v>
      </c>
      <c r="B926" s="154" t="s">
        <v>8</v>
      </c>
      <c r="C926" s="154">
        <v>9</v>
      </c>
      <c r="D926" s="153" t="s">
        <v>3383</v>
      </c>
      <c r="E926" s="154" t="s">
        <v>1591</v>
      </c>
      <c r="F926" s="154" t="s">
        <v>73</v>
      </c>
      <c r="G926" s="154" t="s">
        <v>128</v>
      </c>
      <c r="H926" s="154" t="s">
        <v>163</v>
      </c>
      <c r="I926" s="154" t="s">
        <v>163</v>
      </c>
      <c r="J926" s="154" t="s">
        <v>74</v>
      </c>
      <c r="K926" s="154" t="s">
        <v>3394</v>
      </c>
      <c r="L926" s="161">
        <v>46211</v>
      </c>
      <c r="M926" s="160">
        <v>46210</v>
      </c>
      <c r="N926" s="154" t="str">
        <f>IF(ISNUMBER(PL[[#This Row],[CTO]]),"CTO "&amp;PL[[#This Row],[CTO]],"Otros")</f>
        <v>CTO 9</v>
      </c>
      <c r="O926" s="154" t="str">
        <f>IF(PL[[#This Row],[STATUS IUP]]="CERRADO","CERRADO",IF(ISNUMBER(SEARCH("validacion de enel",PL[[#This Row],[SUPPLIER NOTES]])),"PTE Validar Enel","ABIERTO"))</f>
        <v>CERRADO</v>
      </c>
      <c r="P926" s="154" t="str">
        <f>IF(PL[[#This Row],[ESTADO]]="CERRADO","Cerrados IUP",IF(PL[[#This Row],[ESTADO]]="PTE Validar Enel","Pendiente cierre ENEL",IF(ISNUMBER(SEARCH("suministro",PL[[#This Row],[SUPPLIER NOTES]])),"Suministros",IF(PL[[#This Row],[SC]]="SOCIAL","Social",IF(ISNUMBER(SEARCH("monolito",PL[[#This Row],[DESCRIPTION]])),"Monolitos","Varios")))))</f>
        <v>Cerrados IUP</v>
      </c>
      <c r="Q9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7" spans="1:17" s="157" customFormat="1" hidden="1" x14ac:dyDescent="0.2">
      <c r="A927" s="151" t="s">
        <v>2538</v>
      </c>
      <c r="B927" s="154" t="s">
        <v>8</v>
      </c>
      <c r="C927" s="154">
        <v>9</v>
      </c>
      <c r="D927" s="153" t="s">
        <v>3383</v>
      </c>
      <c r="E927" s="154" t="s">
        <v>2539</v>
      </c>
      <c r="F927" s="154" t="s">
        <v>2540</v>
      </c>
      <c r="G927" s="154" t="s">
        <v>128</v>
      </c>
      <c r="H927" s="154" t="s">
        <v>2541</v>
      </c>
      <c r="I927" s="154" t="s">
        <v>1520</v>
      </c>
      <c r="J927" s="154" t="s">
        <v>74</v>
      </c>
      <c r="K927" s="154" t="s">
        <v>3394</v>
      </c>
      <c r="L927" s="161">
        <v>46154</v>
      </c>
      <c r="M927" s="160">
        <v>46153</v>
      </c>
      <c r="N927" s="154" t="str">
        <f>IF(ISNUMBER(PL[[#This Row],[CTO]]),"CTO "&amp;PL[[#This Row],[CTO]],"Otros")</f>
        <v>CTO 9</v>
      </c>
      <c r="O927" s="154" t="str">
        <f>IF(PL[[#This Row],[STATUS IUP]]="CERRADO","CERRADO",IF(ISNUMBER(SEARCH("validacion de enel",PL[[#This Row],[SUPPLIER NOTES]])),"PTE Validar Enel","ABIERTO"))</f>
        <v>CERRADO</v>
      </c>
      <c r="P927" s="154" t="str">
        <f>IF(PL[[#This Row],[ESTADO]]="CERRADO","Cerrados IUP",IF(PL[[#This Row],[ESTADO]]="PTE Validar Enel","Pendiente cierre ENEL",IF(ISNUMBER(SEARCH("suministro",PL[[#This Row],[SUPPLIER NOTES]])),"Suministros",IF(PL[[#This Row],[SC]]="SOCIAL","Social",IF(ISNUMBER(SEARCH("monolito",PL[[#This Row],[DESCRIPTION]])),"Monolitos","Varios")))))</f>
        <v>Cerrados IUP</v>
      </c>
      <c r="Q9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8" spans="1:17" s="157" customFormat="1" hidden="1" x14ac:dyDescent="0.2">
      <c r="A928" s="151" t="s">
        <v>2215</v>
      </c>
      <c r="B928" s="154" t="s">
        <v>8</v>
      </c>
      <c r="C928" s="154">
        <v>9</v>
      </c>
      <c r="D928" s="153" t="s">
        <v>3383</v>
      </c>
      <c r="E928" s="154" t="s">
        <v>2216</v>
      </c>
      <c r="F928" s="154" t="s">
        <v>2217</v>
      </c>
      <c r="G928" s="154" t="s">
        <v>128</v>
      </c>
      <c r="H928" s="154" t="s">
        <v>2218</v>
      </c>
      <c r="I928" s="154" t="s">
        <v>1520</v>
      </c>
      <c r="J928" s="154" t="s">
        <v>74</v>
      </c>
      <c r="K928" s="154" t="s">
        <v>3394</v>
      </c>
      <c r="L928" s="161">
        <v>46154</v>
      </c>
      <c r="M928" s="160">
        <v>46153</v>
      </c>
      <c r="N928" s="154" t="str">
        <f>IF(ISNUMBER(PL[[#This Row],[CTO]]),"CTO "&amp;PL[[#This Row],[CTO]],"Otros")</f>
        <v>CTO 9</v>
      </c>
      <c r="O928" s="154" t="str">
        <f>IF(PL[[#This Row],[STATUS IUP]]="CERRADO","CERRADO",IF(ISNUMBER(SEARCH("validacion de enel",PL[[#This Row],[SUPPLIER NOTES]])),"PTE Validar Enel","ABIERTO"))</f>
        <v>CERRADO</v>
      </c>
      <c r="P928" s="154" t="str">
        <f>IF(PL[[#This Row],[ESTADO]]="CERRADO","Cerrados IUP",IF(PL[[#This Row],[ESTADO]]="PTE Validar Enel","Pendiente cierre ENEL",IF(ISNUMBER(SEARCH("suministro",PL[[#This Row],[SUPPLIER NOTES]])),"Suministros",IF(PL[[#This Row],[SC]]="SOCIAL","Social",IF(ISNUMBER(SEARCH("monolito",PL[[#This Row],[DESCRIPTION]])),"Monolitos","Varios")))))</f>
        <v>Cerrados IUP</v>
      </c>
      <c r="Q9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29" spans="1:17" s="157" customFormat="1" hidden="1" x14ac:dyDescent="0.2">
      <c r="A929" s="151" t="s">
        <v>2345</v>
      </c>
      <c r="B929" s="154" t="s">
        <v>8</v>
      </c>
      <c r="C929" s="154">
        <v>9</v>
      </c>
      <c r="D929" s="153" t="s">
        <v>3383</v>
      </c>
      <c r="E929" s="154" t="s">
        <v>2346</v>
      </c>
      <c r="F929" s="154" t="s">
        <v>2347</v>
      </c>
      <c r="G929" s="154" t="s">
        <v>128</v>
      </c>
      <c r="H929" s="154" t="s">
        <v>2348</v>
      </c>
      <c r="I929" s="154" t="s">
        <v>2348</v>
      </c>
      <c r="J929" s="154" t="s">
        <v>74</v>
      </c>
      <c r="K929" s="154" t="s">
        <v>3394</v>
      </c>
      <c r="L929" s="161">
        <v>46210</v>
      </c>
      <c r="M929" s="160">
        <v>46210</v>
      </c>
      <c r="N929" s="154" t="str">
        <f>IF(ISNUMBER(PL[[#This Row],[CTO]]),"CTO "&amp;PL[[#This Row],[CTO]],"Otros")</f>
        <v>CTO 9</v>
      </c>
      <c r="O929" s="154" t="str">
        <f>IF(PL[[#This Row],[STATUS IUP]]="CERRADO","CERRADO",IF(ISNUMBER(SEARCH("validacion de enel",PL[[#This Row],[SUPPLIER NOTES]])),"PTE Validar Enel","ABIERTO"))</f>
        <v>CERRADO</v>
      </c>
      <c r="P929" s="154" t="str">
        <f>IF(PL[[#This Row],[ESTADO]]="CERRADO","Cerrados IUP",IF(PL[[#This Row],[ESTADO]]="PTE Validar Enel","Pendiente cierre ENEL",IF(ISNUMBER(SEARCH("suministro",PL[[#This Row],[SUPPLIER NOTES]])),"Suministros",IF(PL[[#This Row],[SC]]="SOCIAL","Social",IF(ISNUMBER(SEARCH("monolito",PL[[#This Row],[DESCRIPTION]])),"Monolitos","Varios")))))</f>
        <v>Cerrados IUP</v>
      </c>
      <c r="Q9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0" spans="1:17" s="157" customFormat="1" hidden="1" x14ac:dyDescent="0.2">
      <c r="A930" s="151" t="s">
        <v>2723</v>
      </c>
      <c r="B930" s="154" t="s">
        <v>8</v>
      </c>
      <c r="C930" s="154">
        <v>9</v>
      </c>
      <c r="D930" s="153" t="s">
        <v>3383</v>
      </c>
      <c r="E930" s="154" t="s">
        <v>2724</v>
      </c>
      <c r="F930" s="154" t="s">
        <v>2725</v>
      </c>
      <c r="G930" s="154" t="s">
        <v>128</v>
      </c>
      <c r="H930" s="154" t="s">
        <v>1770</v>
      </c>
      <c r="I930" s="154" t="s">
        <v>1770</v>
      </c>
      <c r="J930" s="154" t="s">
        <v>74</v>
      </c>
      <c r="K930" s="154" t="s">
        <v>3394</v>
      </c>
      <c r="L930" s="161">
        <v>46220</v>
      </c>
      <c r="M930" s="160">
        <v>46220</v>
      </c>
      <c r="N930" s="154" t="str">
        <f>IF(ISNUMBER(PL[[#This Row],[CTO]]),"CTO "&amp;PL[[#This Row],[CTO]],"Otros")</f>
        <v>CTO 9</v>
      </c>
      <c r="O930" s="154" t="str">
        <f>IF(PL[[#This Row],[STATUS IUP]]="CERRADO","CERRADO",IF(ISNUMBER(SEARCH("validacion de enel",PL[[#This Row],[SUPPLIER NOTES]])),"PTE Validar Enel","ABIERTO"))</f>
        <v>CERRADO</v>
      </c>
      <c r="P930" s="154" t="str">
        <f>IF(PL[[#This Row],[ESTADO]]="CERRADO","Cerrados IUP",IF(PL[[#This Row],[ESTADO]]="PTE Validar Enel","Pendiente cierre ENEL",IF(ISNUMBER(SEARCH("suministro",PL[[#This Row],[SUPPLIER NOTES]])),"Suministros",IF(PL[[#This Row],[SC]]="SOCIAL","Social",IF(ISNUMBER(SEARCH("monolito",PL[[#This Row],[DESCRIPTION]])),"Monolitos","Varios")))))</f>
        <v>Cerrados IUP</v>
      </c>
      <c r="Q9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1" spans="1:17" s="157" customFormat="1" hidden="1" x14ac:dyDescent="0.2">
      <c r="A931" s="151" t="s">
        <v>1766</v>
      </c>
      <c r="B931" s="154" t="s">
        <v>8</v>
      </c>
      <c r="C931" s="154">
        <v>9</v>
      </c>
      <c r="D931" s="153" t="s">
        <v>3383</v>
      </c>
      <c r="E931" s="154" t="s">
        <v>1767</v>
      </c>
      <c r="F931" s="154" t="s">
        <v>1768</v>
      </c>
      <c r="G931" s="154" t="s">
        <v>128</v>
      </c>
      <c r="H931" s="154" t="s">
        <v>1770</v>
      </c>
      <c r="I931" s="154" t="s">
        <v>1770</v>
      </c>
      <c r="J931" s="154" t="s">
        <v>74</v>
      </c>
      <c r="K931" s="154" t="s">
        <v>3394</v>
      </c>
      <c r="L931" s="161">
        <v>46220</v>
      </c>
      <c r="M931" s="160">
        <v>46220</v>
      </c>
      <c r="N931" s="154" t="str">
        <f>IF(ISNUMBER(PL[[#This Row],[CTO]]),"CTO "&amp;PL[[#This Row],[CTO]],"Otros")</f>
        <v>CTO 9</v>
      </c>
      <c r="O931" s="154" t="str">
        <f>IF(PL[[#This Row],[STATUS IUP]]="CERRADO","CERRADO",IF(ISNUMBER(SEARCH("validacion de enel",PL[[#This Row],[SUPPLIER NOTES]])),"PTE Validar Enel","ABIERTO"))</f>
        <v>CERRADO</v>
      </c>
      <c r="P931" s="154" t="str">
        <f>IF(PL[[#This Row],[ESTADO]]="CERRADO","Cerrados IUP",IF(PL[[#This Row],[ESTADO]]="PTE Validar Enel","Pendiente cierre ENEL",IF(ISNUMBER(SEARCH("suministro",PL[[#This Row],[SUPPLIER NOTES]])),"Suministros",IF(PL[[#This Row],[SC]]="SOCIAL","Social",IF(ISNUMBER(SEARCH("monolito",PL[[#This Row],[DESCRIPTION]])),"Monolitos","Varios")))))</f>
        <v>Cerrados IUP</v>
      </c>
      <c r="Q9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2" spans="1:17" s="157" customFormat="1" hidden="1" x14ac:dyDescent="0.2">
      <c r="A932" s="151" t="s">
        <v>2341</v>
      </c>
      <c r="B932" s="154" t="s">
        <v>47</v>
      </c>
      <c r="C932" s="154">
        <v>9</v>
      </c>
      <c r="D932" s="153" t="s">
        <v>3383</v>
      </c>
      <c r="E932" s="154" t="s">
        <v>2342</v>
      </c>
      <c r="F932" s="154" t="s">
        <v>2343</v>
      </c>
      <c r="G932" s="154" t="s">
        <v>291</v>
      </c>
      <c r="H932" s="154" t="s">
        <v>2344</v>
      </c>
      <c r="I932" s="154" t="s">
        <v>73</v>
      </c>
      <c r="J932" s="154" t="s">
        <v>74</v>
      </c>
      <c r="K932" s="154" t="s">
        <v>3394</v>
      </c>
      <c r="L932" s="161">
        <v>46211</v>
      </c>
      <c r="M932" s="160">
        <v>46153</v>
      </c>
      <c r="N932" s="154" t="str">
        <f>IF(ISNUMBER(PL[[#This Row],[CTO]]),"CTO "&amp;PL[[#This Row],[CTO]],"Otros")</f>
        <v>CTO 9</v>
      </c>
      <c r="O932" s="154" t="str">
        <f>IF(PL[[#This Row],[STATUS IUP]]="CERRADO","CERRADO",IF(ISNUMBER(SEARCH("validacion de enel",PL[[#This Row],[SUPPLIER NOTES]])),"PTE Validar Enel","ABIERTO"))</f>
        <v>CERRADO</v>
      </c>
      <c r="P932" s="154" t="str">
        <f>IF(PL[[#This Row],[ESTADO]]="CERRADO","Cerrados IUP",IF(PL[[#This Row],[ESTADO]]="PTE Validar Enel","Pendiente cierre ENEL",IF(ISNUMBER(SEARCH("suministro",PL[[#This Row],[SUPPLIER NOTES]])),"Suministros",IF(PL[[#This Row],[SC]]="SOCIAL","Social",IF(ISNUMBER(SEARCH("monolito",PL[[#This Row],[DESCRIPTION]])),"Monolitos","Varios")))))</f>
        <v>Cerrados IUP</v>
      </c>
      <c r="Q9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3" spans="1:17" s="157" customFormat="1" hidden="1" x14ac:dyDescent="0.2">
      <c r="A933" s="151" t="s">
        <v>2307</v>
      </c>
      <c r="B933" s="154" t="s">
        <v>41</v>
      </c>
      <c r="C933" s="154">
        <v>9</v>
      </c>
      <c r="D933" s="153" t="s">
        <v>3383</v>
      </c>
      <c r="E933" s="154" t="s">
        <v>2308</v>
      </c>
      <c r="F933" s="154" t="s">
        <v>2309</v>
      </c>
      <c r="G933" s="154" t="s">
        <v>1289</v>
      </c>
      <c r="H933" s="154" t="s">
        <v>163</v>
      </c>
      <c r="I933" s="154" t="s">
        <v>163</v>
      </c>
      <c r="J933" s="154" t="s">
        <v>74</v>
      </c>
      <c r="K933" s="154" t="s">
        <v>3394</v>
      </c>
      <c r="L933" s="161">
        <v>46227</v>
      </c>
      <c r="M933" s="160">
        <v>46227</v>
      </c>
      <c r="N933" s="154" t="str">
        <f>IF(ISNUMBER(PL[[#This Row],[CTO]]),"CTO "&amp;PL[[#This Row],[CTO]],"Otros")</f>
        <v>CTO 9</v>
      </c>
      <c r="O933" s="154" t="str">
        <f>IF(PL[[#This Row],[STATUS IUP]]="CERRADO","CERRADO",IF(ISNUMBER(SEARCH("validacion de enel",PL[[#This Row],[SUPPLIER NOTES]])),"PTE Validar Enel","ABIERTO"))</f>
        <v>CERRADO</v>
      </c>
      <c r="P933" s="154" t="str">
        <f>IF(PL[[#This Row],[ESTADO]]="CERRADO","Cerrados IUP",IF(PL[[#This Row],[ESTADO]]="PTE Validar Enel","Pendiente cierre ENEL",IF(ISNUMBER(SEARCH("suministro",PL[[#This Row],[SUPPLIER NOTES]])),"Suministros",IF(PL[[#This Row],[SC]]="SOCIAL","Social",IF(ISNUMBER(SEARCH("monolito",PL[[#This Row],[DESCRIPTION]])),"Monolitos","Varios")))))</f>
        <v>Cerrados IUP</v>
      </c>
      <c r="Q9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4" spans="1:17" s="157" customFormat="1" hidden="1" x14ac:dyDescent="0.2">
      <c r="A934" s="151" t="s">
        <v>2269</v>
      </c>
      <c r="B934" s="154" t="s">
        <v>41</v>
      </c>
      <c r="C934" s="154">
        <v>9</v>
      </c>
      <c r="D934" s="153" t="s">
        <v>3383</v>
      </c>
      <c r="E934" s="154" t="s">
        <v>2270</v>
      </c>
      <c r="F934" s="154" t="s">
        <v>2271</v>
      </c>
      <c r="G934" s="154" t="s">
        <v>1289</v>
      </c>
      <c r="H934" s="154" t="s">
        <v>163</v>
      </c>
      <c r="I934" s="154" t="s">
        <v>163</v>
      </c>
      <c r="J934" s="154" t="s">
        <v>74</v>
      </c>
      <c r="K934" s="154" t="s">
        <v>3394</v>
      </c>
      <c r="L934" s="161">
        <v>46227</v>
      </c>
      <c r="M934" s="160">
        <v>46227</v>
      </c>
      <c r="N934" s="154" t="str">
        <f>IF(ISNUMBER(PL[[#This Row],[CTO]]),"CTO "&amp;PL[[#This Row],[CTO]],"Otros")</f>
        <v>CTO 9</v>
      </c>
      <c r="O934" s="154" t="str">
        <f>IF(PL[[#This Row],[STATUS IUP]]="CERRADO","CERRADO",IF(ISNUMBER(SEARCH("validacion de enel",PL[[#This Row],[SUPPLIER NOTES]])),"PTE Validar Enel","ABIERTO"))</f>
        <v>CERRADO</v>
      </c>
      <c r="P934" s="154" t="str">
        <f>IF(PL[[#This Row],[ESTADO]]="CERRADO","Cerrados IUP",IF(PL[[#This Row],[ESTADO]]="PTE Validar Enel","Pendiente cierre ENEL",IF(ISNUMBER(SEARCH("suministro",PL[[#This Row],[SUPPLIER NOTES]])),"Suministros",IF(PL[[#This Row],[SC]]="SOCIAL","Social",IF(ISNUMBER(SEARCH("monolito",PL[[#This Row],[DESCRIPTION]])),"Monolitos","Varios")))))</f>
        <v>Cerrados IUP</v>
      </c>
      <c r="Q9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5" spans="1:17" s="157" customFormat="1" hidden="1" x14ac:dyDescent="0.2">
      <c r="A935" s="151" t="s">
        <v>2338</v>
      </c>
      <c r="B935" s="154" t="s">
        <v>41</v>
      </c>
      <c r="C935" s="154">
        <v>9</v>
      </c>
      <c r="D935" s="153" t="s">
        <v>3383</v>
      </c>
      <c r="E935" s="154" t="s">
        <v>2339</v>
      </c>
      <c r="F935" s="154" t="s">
        <v>2340</v>
      </c>
      <c r="G935" s="154" t="s">
        <v>1289</v>
      </c>
      <c r="H935" s="154"/>
      <c r="I935" s="154"/>
      <c r="J935" s="154" t="s">
        <v>74</v>
      </c>
      <c r="K935" s="154" t="s">
        <v>3394</v>
      </c>
      <c r="L935" s="154"/>
      <c r="M935" s="156"/>
      <c r="N935" s="154" t="str">
        <f>IF(ISNUMBER(PL[[#This Row],[CTO]]),"CTO "&amp;PL[[#This Row],[CTO]],"Otros")</f>
        <v>CTO 9</v>
      </c>
      <c r="O935" s="154" t="str">
        <f>IF(PL[[#This Row],[STATUS IUP]]="CERRADO","CERRADO",IF(ISNUMBER(SEARCH("validacion de enel",PL[[#This Row],[SUPPLIER NOTES]])),"PTE Validar Enel","ABIERTO"))</f>
        <v>CERRADO</v>
      </c>
      <c r="P935" s="154" t="str">
        <f>IF(PL[[#This Row],[ESTADO]]="CERRADO","Cerrados IUP",IF(PL[[#This Row],[ESTADO]]="PTE Validar Enel","Pendiente cierre ENEL",IF(ISNUMBER(SEARCH("suministro",PL[[#This Row],[SUPPLIER NOTES]])),"Suministros",IF(PL[[#This Row],[SC]]="SOCIAL","Social",IF(ISNUMBER(SEARCH("monolito",PL[[#This Row],[DESCRIPTION]])),"Monolitos","Varios")))))</f>
        <v>Cerrados IUP</v>
      </c>
      <c r="Q9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6" spans="1:17" s="157" customFormat="1" hidden="1" x14ac:dyDescent="0.2">
      <c r="A936" s="151" t="s">
        <v>1830</v>
      </c>
      <c r="B936" s="154" t="s">
        <v>290</v>
      </c>
      <c r="C936" s="154">
        <v>9</v>
      </c>
      <c r="D936" s="153" t="s">
        <v>3383</v>
      </c>
      <c r="E936" s="154" t="s">
        <v>1831</v>
      </c>
      <c r="F936" s="154" t="s">
        <v>1532</v>
      </c>
      <c r="G936" s="154" t="s">
        <v>1289</v>
      </c>
      <c r="H936" s="154"/>
      <c r="I936" s="154"/>
      <c r="J936" s="154" t="s">
        <v>74</v>
      </c>
      <c r="K936" s="154" t="s">
        <v>3394</v>
      </c>
      <c r="L936" s="154"/>
      <c r="M936" s="156"/>
      <c r="N936" s="154" t="str">
        <f>IF(ISNUMBER(PL[[#This Row],[CTO]]),"CTO "&amp;PL[[#This Row],[CTO]],"Otros")</f>
        <v>CTO 9</v>
      </c>
      <c r="O936" s="154" t="str">
        <f>IF(PL[[#This Row],[STATUS IUP]]="CERRADO","CERRADO",IF(ISNUMBER(SEARCH("validacion de enel",PL[[#This Row],[SUPPLIER NOTES]])),"PTE Validar Enel","ABIERTO"))</f>
        <v>CERRADO</v>
      </c>
      <c r="P936" s="154" t="str">
        <f>IF(PL[[#This Row],[ESTADO]]="CERRADO","Cerrados IUP",IF(PL[[#This Row],[ESTADO]]="PTE Validar Enel","Pendiente cierre ENEL",IF(ISNUMBER(SEARCH("suministro",PL[[#This Row],[SUPPLIER NOTES]])),"Suministros",IF(PL[[#This Row],[SC]]="SOCIAL","Social",IF(ISNUMBER(SEARCH("monolito",PL[[#This Row],[DESCRIPTION]])),"Monolitos","Varios")))))</f>
        <v>Cerrados IUP</v>
      </c>
      <c r="Q9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7" spans="1:17" s="157" customFormat="1" hidden="1" x14ac:dyDescent="0.2">
      <c r="A937" s="151" t="s">
        <v>2805</v>
      </c>
      <c r="B937" s="154" t="s">
        <v>41</v>
      </c>
      <c r="C937" s="154">
        <v>9</v>
      </c>
      <c r="D937" s="153" t="s">
        <v>3383</v>
      </c>
      <c r="E937" s="154" t="s">
        <v>1955</v>
      </c>
      <c r="F937" s="154" t="s">
        <v>2806</v>
      </c>
      <c r="G937" s="154" t="s">
        <v>49</v>
      </c>
      <c r="H937" s="154"/>
      <c r="I937" s="154"/>
      <c r="J937" s="154" t="s">
        <v>74</v>
      </c>
      <c r="K937" s="154" t="s">
        <v>3394</v>
      </c>
      <c r="L937" s="154"/>
      <c r="M937" s="156"/>
      <c r="N937" s="154" t="str">
        <f>IF(ISNUMBER(PL[[#This Row],[CTO]]),"CTO "&amp;PL[[#This Row],[CTO]],"Otros")</f>
        <v>CTO 9</v>
      </c>
      <c r="O937" s="154" t="str">
        <f>IF(PL[[#This Row],[STATUS IUP]]="CERRADO","CERRADO",IF(ISNUMBER(SEARCH("validacion de enel",PL[[#This Row],[SUPPLIER NOTES]])),"PTE Validar Enel","ABIERTO"))</f>
        <v>CERRADO</v>
      </c>
      <c r="P937" s="154" t="str">
        <f>IF(PL[[#This Row],[ESTADO]]="CERRADO","Cerrados IUP",IF(PL[[#This Row],[ESTADO]]="PTE Validar Enel","Pendiente cierre ENEL",IF(ISNUMBER(SEARCH("suministro",PL[[#This Row],[SUPPLIER NOTES]])),"Suministros",IF(PL[[#This Row],[SC]]="SOCIAL","Social",IF(ISNUMBER(SEARCH("monolito",PL[[#This Row],[DESCRIPTION]])),"Monolitos","Varios")))))</f>
        <v>Cerrados IUP</v>
      </c>
      <c r="Q9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8" spans="1:17" s="157" customFormat="1" hidden="1" x14ac:dyDescent="0.2">
      <c r="A938" s="151" t="s">
        <v>1954</v>
      </c>
      <c r="B938" s="154" t="s">
        <v>41</v>
      </c>
      <c r="C938" s="154">
        <v>9</v>
      </c>
      <c r="D938" s="153" t="s">
        <v>3383</v>
      </c>
      <c r="E938" s="154" t="s">
        <v>1955</v>
      </c>
      <c r="F938" s="154" t="s">
        <v>1956</v>
      </c>
      <c r="G938" s="154" t="s">
        <v>49</v>
      </c>
      <c r="H938" s="154"/>
      <c r="I938" s="154"/>
      <c r="J938" s="154" t="s">
        <v>74</v>
      </c>
      <c r="K938" s="154" t="s">
        <v>3394</v>
      </c>
      <c r="L938" s="154"/>
      <c r="M938" s="156"/>
      <c r="N938" s="154" t="str">
        <f>IF(ISNUMBER(PL[[#This Row],[CTO]]),"CTO "&amp;PL[[#This Row],[CTO]],"Otros")</f>
        <v>CTO 9</v>
      </c>
      <c r="O938" s="154" t="str">
        <f>IF(PL[[#This Row],[STATUS IUP]]="CERRADO","CERRADO",IF(ISNUMBER(SEARCH("validacion de enel",PL[[#This Row],[SUPPLIER NOTES]])),"PTE Validar Enel","ABIERTO"))</f>
        <v>CERRADO</v>
      </c>
      <c r="P938" s="154" t="str">
        <f>IF(PL[[#This Row],[ESTADO]]="CERRADO","Cerrados IUP",IF(PL[[#This Row],[ESTADO]]="PTE Validar Enel","Pendiente cierre ENEL",IF(ISNUMBER(SEARCH("suministro",PL[[#This Row],[SUPPLIER NOTES]])),"Suministros",IF(PL[[#This Row],[SC]]="SOCIAL","Social",IF(ISNUMBER(SEARCH("monolito",PL[[#This Row],[DESCRIPTION]])),"Monolitos","Varios")))))</f>
        <v>Cerrados IUP</v>
      </c>
      <c r="Q9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39" spans="1:17" s="157" customFormat="1" hidden="1" x14ac:dyDescent="0.2">
      <c r="A939" s="151" t="s">
        <v>2947</v>
      </c>
      <c r="B939" s="154" t="s">
        <v>41</v>
      </c>
      <c r="C939" s="154">
        <v>9</v>
      </c>
      <c r="D939" s="153" t="s">
        <v>3383</v>
      </c>
      <c r="E939" s="154" t="s">
        <v>1955</v>
      </c>
      <c r="F939" s="154" t="s">
        <v>2948</v>
      </c>
      <c r="G939" s="154" t="s">
        <v>49</v>
      </c>
      <c r="H939" s="154"/>
      <c r="I939" s="154"/>
      <c r="J939" s="154" t="s">
        <v>74</v>
      </c>
      <c r="K939" s="154" t="s">
        <v>3394</v>
      </c>
      <c r="L939" s="154"/>
      <c r="M939" s="156"/>
      <c r="N939" s="154" t="str">
        <f>IF(ISNUMBER(PL[[#This Row],[CTO]]),"CTO "&amp;PL[[#This Row],[CTO]],"Otros")</f>
        <v>CTO 9</v>
      </c>
      <c r="O939" s="154" t="str">
        <f>IF(PL[[#This Row],[STATUS IUP]]="CERRADO","CERRADO",IF(ISNUMBER(SEARCH("validacion de enel",PL[[#This Row],[SUPPLIER NOTES]])),"PTE Validar Enel","ABIERTO"))</f>
        <v>CERRADO</v>
      </c>
      <c r="P939" s="154" t="str">
        <f>IF(PL[[#This Row],[ESTADO]]="CERRADO","Cerrados IUP",IF(PL[[#This Row],[ESTADO]]="PTE Validar Enel","Pendiente cierre ENEL",IF(ISNUMBER(SEARCH("suministro",PL[[#This Row],[SUPPLIER NOTES]])),"Suministros",IF(PL[[#This Row],[SC]]="SOCIAL","Social",IF(ISNUMBER(SEARCH("monolito",PL[[#This Row],[DESCRIPTION]])),"Monolitos","Varios")))))</f>
        <v>Cerrados IUP</v>
      </c>
      <c r="Q9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0" spans="1:17" hidden="1" x14ac:dyDescent="0.2">
      <c r="A940" s="66" t="s">
        <v>2202</v>
      </c>
      <c r="B940" s="67" t="s">
        <v>41</v>
      </c>
      <c r="C940" s="82">
        <v>9</v>
      </c>
      <c r="D940" s="68" t="s">
        <v>3383</v>
      </c>
      <c r="E940" s="67" t="s">
        <v>2203</v>
      </c>
      <c r="F940" s="67" t="s">
        <v>2204</v>
      </c>
      <c r="G940" s="82" t="s">
        <v>1289</v>
      </c>
      <c r="H940" s="90" t="s">
        <v>3463</v>
      </c>
      <c r="I940" s="67"/>
      <c r="J940" s="67" t="s">
        <v>11</v>
      </c>
      <c r="K940" s="67" t="s">
        <v>3393</v>
      </c>
      <c r="L940" s="67"/>
      <c r="M940" s="69"/>
      <c r="N940" s="67" t="str">
        <f>IF(ISNUMBER(PL[[#This Row],[CTO]]),"CTO "&amp;PL[[#This Row],[CTO]],"Otros")</f>
        <v>CTO 9</v>
      </c>
      <c r="O940" s="67" t="str">
        <f>IF(PL[[#This Row],[STATUS IUP]]="CERRADO","CERRADO",IF(ISNUMBER(SEARCH("validacion de enel",PL[[#This Row],[SUPPLIER NOTES]])),"PTE Validar Enel","ABIERTO"))</f>
        <v>ABIERTO</v>
      </c>
      <c r="P940" s="67" t="str">
        <f>IF(PL[[#This Row],[ESTADO]]="CERRADO","Cerrados IUP",IF(PL[[#This Row],[ESTADO]]="PTE Validar Enel","Pendiente cierre ENEL",IF(ISNUMBER(SEARCH("suministro",PL[[#This Row],[SUPPLIER NOTES]])),"Suministros",IF(PL[[#This Row],[SC]]="SOCIAL","Social",IF(ISNUMBER(SEARCH("monolito",PL[[#This Row],[DESCRIPTION]])),"Monolitos","Varios")))))</f>
        <v>Varios</v>
      </c>
      <c r="Q94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1" spans="1:17" hidden="1" x14ac:dyDescent="0.2">
      <c r="A941" s="66" t="s">
        <v>2728</v>
      </c>
      <c r="B941" s="67" t="s">
        <v>8</v>
      </c>
      <c r="C941" s="82">
        <v>9</v>
      </c>
      <c r="D941" s="68" t="s">
        <v>3383</v>
      </c>
      <c r="E941" s="67" t="s">
        <v>2729</v>
      </c>
      <c r="F941" s="67" t="s">
        <v>2730</v>
      </c>
      <c r="G941" s="82" t="s">
        <v>1289</v>
      </c>
      <c r="H941" s="90" t="s">
        <v>2731</v>
      </c>
      <c r="I941" s="67"/>
      <c r="J941" s="67" t="s">
        <v>1369</v>
      </c>
      <c r="K941" s="67" t="s">
        <v>3393</v>
      </c>
      <c r="L941" s="67"/>
      <c r="M941" s="163">
        <v>46153</v>
      </c>
      <c r="N941" s="67" t="str">
        <f>IF(ISNUMBER(PL[[#This Row],[CTO]]),"CTO "&amp;PL[[#This Row],[CTO]],"Otros")</f>
        <v>CTO 9</v>
      </c>
      <c r="O941" s="67" t="str">
        <f>IF(PL[[#This Row],[STATUS IUP]]="CERRADO","CERRADO",IF(ISNUMBER(SEARCH("validacion de enel",PL[[#This Row],[SUPPLIER NOTES]])),"PTE Validar Enel","ABIERTO"))</f>
        <v>ABIERTO</v>
      </c>
      <c r="P941" s="67" t="str">
        <f>IF(PL[[#This Row],[ESTADO]]="CERRADO","Cerrados IUP",IF(PL[[#This Row],[ESTADO]]="PTE Validar Enel","Pendiente cierre ENEL",IF(ISNUMBER(SEARCH("suministro",PL[[#This Row],[SUPPLIER NOTES]])),"Suministros",IF(PL[[#This Row],[SC]]="SOCIAL","Social",IF(ISNUMBER(SEARCH("monolito",PL[[#This Row],[DESCRIPTION]])),"Monolitos","Varios")))))</f>
        <v>Varios</v>
      </c>
      <c r="Q94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2" spans="1:17" hidden="1" x14ac:dyDescent="0.2">
      <c r="A942" s="116" t="s">
        <v>1920</v>
      </c>
      <c r="B942" s="117" t="s">
        <v>8</v>
      </c>
      <c r="C942" s="82">
        <v>9</v>
      </c>
      <c r="D942" s="118" t="s">
        <v>3383</v>
      </c>
      <c r="E942" s="117" t="s">
        <v>1921</v>
      </c>
      <c r="F942" s="117" t="s">
        <v>1922</v>
      </c>
      <c r="G942" s="82" t="s">
        <v>128</v>
      </c>
      <c r="H942" s="90"/>
      <c r="I942" s="67"/>
      <c r="J942" s="67" t="s">
        <v>11</v>
      </c>
      <c r="K942" s="67" t="s">
        <v>3393</v>
      </c>
      <c r="L942" s="67"/>
      <c r="M942" s="69"/>
      <c r="N942" s="67" t="str">
        <f>IF(ISNUMBER(PL[[#This Row],[CTO]]),"CTO "&amp;PL[[#This Row],[CTO]],"Otros")</f>
        <v>CTO 9</v>
      </c>
      <c r="O942" s="67" t="str">
        <f>IF(PL[[#This Row],[STATUS IUP]]="CERRADO","CERRADO",IF(ISNUMBER(SEARCH("validacion de enel",PL[[#This Row],[SUPPLIER NOTES]])),"PTE Validar Enel","ABIERTO"))</f>
        <v>ABIERTO</v>
      </c>
      <c r="P942" s="67" t="str">
        <f>IF(PL[[#This Row],[ESTADO]]="CERRADO","Cerrados IUP",IF(PL[[#This Row],[ESTADO]]="PTE Validar Enel","Pendiente cierre ENEL",IF(ISNUMBER(SEARCH("suministro",PL[[#This Row],[SUPPLIER NOTES]])),"Suministros",IF(PL[[#This Row],[SC]]="SOCIAL","Social",IF(ISNUMBER(SEARCH("monolito",PL[[#This Row],[DESCRIPTION]])),"Monolitos","Varios")))))</f>
        <v>Varios</v>
      </c>
      <c r="Q94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3" spans="1:17" hidden="1" x14ac:dyDescent="0.2">
      <c r="A943" s="116" t="s">
        <v>2868</v>
      </c>
      <c r="B943" s="117" t="s">
        <v>8</v>
      </c>
      <c r="C943" s="82">
        <v>9</v>
      </c>
      <c r="D943" s="118" t="s">
        <v>3383</v>
      </c>
      <c r="E943" s="117" t="s">
        <v>2869</v>
      </c>
      <c r="F943" s="117" t="s">
        <v>2870</v>
      </c>
      <c r="G943" s="82" t="s">
        <v>128</v>
      </c>
      <c r="H943" s="90"/>
      <c r="I943" s="67"/>
      <c r="J943" s="67" t="s">
        <v>11</v>
      </c>
      <c r="K943" s="67" t="s">
        <v>3393</v>
      </c>
      <c r="L943" s="67"/>
      <c r="M943" s="69"/>
      <c r="N943" s="67" t="str">
        <f>IF(ISNUMBER(PL[[#This Row],[CTO]]),"CTO "&amp;PL[[#This Row],[CTO]],"Otros")</f>
        <v>CTO 9</v>
      </c>
      <c r="O943" s="67" t="str">
        <f>IF(PL[[#This Row],[STATUS IUP]]="CERRADO","CERRADO",IF(ISNUMBER(SEARCH("validacion de enel",PL[[#This Row],[SUPPLIER NOTES]])),"PTE Validar Enel","ABIERTO"))</f>
        <v>ABIERTO</v>
      </c>
      <c r="P943" s="67" t="str">
        <f>IF(PL[[#This Row],[ESTADO]]="CERRADO","Cerrados IUP",IF(PL[[#This Row],[ESTADO]]="PTE Validar Enel","Pendiente cierre ENEL",IF(ISNUMBER(SEARCH("suministro",PL[[#This Row],[SUPPLIER NOTES]])),"Suministros",IF(PL[[#This Row],[SC]]="SOCIAL","Social",IF(ISNUMBER(SEARCH("monolito",PL[[#This Row],[DESCRIPTION]])),"Monolitos","Varios")))))</f>
        <v>Varios</v>
      </c>
      <c r="Q94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4" spans="1:17" s="157" customFormat="1" hidden="1" x14ac:dyDescent="0.2">
      <c r="A944" s="151" t="s">
        <v>62</v>
      </c>
      <c r="B944" s="154" t="s">
        <v>47</v>
      </c>
      <c r="C944" s="154">
        <v>9</v>
      </c>
      <c r="D944" s="153" t="s">
        <v>3383</v>
      </c>
      <c r="E944" s="154"/>
      <c r="F944" s="154" t="s">
        <v>63</v>
      </c>
      <c r="G944" s="154" t="s">
        <v>49</v>
      </c>
      <c r="H944" s="154"/>
      <c r="I944" s="154"/>
      <c r="J944" s="154" t="s">
        <v>74</v>
      </c>
      <c r="K944" s="154" t="s">
        <v>3394</v>
      </c>
      <c r="L944" s="154"/>
      <c r="M944" s="156"/>
      <c r="N944" s="154" t="str">
        <f>IF(ISNUMBER(PL[[#This Row],[CTO]]),"CTO "&amp;PL[[#This Row],[CTO]],"Otros")</f>
        <v>CTO 9</v>
      </c>
      <c r="O944" s="154" t="str">
        <f>IF(PL[[#This Row],[STATUS IUP]]="CERRADO","CERRADO",IF(ISNUMBER(SEARCH("validacion de enel",PL[[#This Row],[SUPPLIER NOTES]])),"PTE Validar Enel","ABIERTO"))</f>
        <v>CERRADO</v>
      </c>
      <c r="P944" s="154" t="str">
        <f>IF(PL[[#This Row],[ESTADO]]="CERRADO","Cerrados IUP",IF(PL[[#This Row],[ESTADO]]="PTE Validar Enel","Pendiente cierre ENEL",IF(ISNUMBER(SEARCH("suministro",PL[[#This Row],[SUPPLIER NOTES]])),"Suministros",IF(PL[[#This Row],[SC]]="SOCIAL","Social",IF(ISNUMBER(SEARCH("monolito",PL[[#This Row],[DESCRIPTION]])),"Monolitos","Varios")))))</f>
        <v>Cerrados IUP</v>
      </c>
      <c r="Q9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45" spans="1:17" s="157" customFormat="1" hidden="1" x14ac:dyDescent="0.2">
      <c r="A945" s="151" t="s">
        <v>1133</v>
      </c>
      <c r="B945" s="154" t="s">
        <v>41</v>
      </c>
      <c r="C945" s="154">
        <v>9</v>
      </c>
      <c r="D945" s="154" t="s">
        <v>3383</v>
      </c>
      <c r="E945" s="153" t="s">
        <v>3392</v>
      </c>
      <c r="F945" s="154" t="s">
        <v>1134</v>
      </c>
      <c r="G945" s="154" t="s">
        <v>49</v>
      </c>
      <c r="H945" s="154"/>
      <c r="I945" s="154"/>
      <c r="J945" s="154" t="s">
        <v>74</v>
      </c>
      <c r="K945" s="154" t="s">
        <v>3394</v>
      </c>
      <c r="L945" s="154"/>
      <c r="M945" s="156"/>
      <c r="N945" s="154" t="str">
        <f>IF(ISNUMBER(PL[[#This Row],[CTO]]),"CTO "&amp;PL[[#This Row],[CTO]],"Otros")</f>
        <v>CTO 9</v>
      </c>
      <c r="O945" s="154" t="str">
        <f>IF(PL[[#This Row],[STATUS IUP]]="CERRADO","CERRADO",IF(ISNUMBER(SEARCH("validacion de enel",PL[[#This Row],[SUPPLIER NOTES]])),"PTE Validar Enel","ABIERTO"))</f>
        <v>CERRADO</v>
      </c>
      <c r="P945" s="154" t="str">
        <f>IF(PL[[#This Row],[ESTADO]]="CERRADO","Cerrados IUP",IF(PL[[#This Row],[ESTADO]]="PTE Validar Enel","Pendiente cierre ENEL",IF(ISNUMBER(SEARCH("suministro",PL[[#This Row],[SUPPLIER NOTES]])),"Suministros",IF(PL[[#This Row],[SC]]="SOCIAL","Social",IF(ISNUMBER(SEARCH("monolito",PL[[#This Row],[DESCRIPTION]])),"Monolitos","Varios")))))</f>
        <v>Cerrados IUP</v>
      </c>
      <c r="Q9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46" spans="1:17" hidden="1" x14ac:dyDescent="0.2">
      <c r="A946" s="75" t="s">
        <v>1135</v>
      </c>
      <c r="B946" s="74" t="s">
        <v>41</v>
      </c>
      <c r="C946" s="82">
        <v>9</v>
      </c>
      <c r="D946" s="74" t="s">
        <v>3383</v>
      </c>
      <c r="E946" s="76" t="s">
        <v>3392</v>
      </c>
      <c r="F946" s="74" t="s">
        <v>1136</v>
      </c>
      <c r="G946" s="74" t="s">
        <v>49</v>
      </c>
      <c r="H946" s="74" t="s">
        <v>3462</v>
      </c>
      <c r="I946" s="74"/>
      <c r="J946" s="74" t="s">
        <v>11</v>
      </c>
      <c r="K946" s="74" t="s">
        <v>3393</v>
      </c>
      <c r="L946" s="74"/>
      <c r="M946" s="77"/>
      <c r="N946" s="74" t="str">
        <f>IF(ISNUMBER(PL[[#This Row],[CTO]]),"CTO "&amp;PL[[#This Row],[CTO]],"Otros")</f>
        <v>CTO 9</v>
      </c>
      <c r="O946" s="74" t="str">
        <f>IF(PL[[#This Row],[STATUS IUP]]="CERRADO","CERRADO",IF(ISNUMBER(SEARCH("validacion de enel",PL[[#This Row],[SUPPLIER NOTES]])),"PTE Validar Enel","ABIERTO"))</f>
        <v>ABIERTO</v>
      </c>
      <c r="P946" s="74" t="str">
        <f>IF(PL[[#This Row],[ESTADO]]="CERRADO","Cerrados IUP",IF(PL[[#This Row],[ESTADO]]="PTE Validar Enel","Pendiente cierre ENEL",IF(ISNUMBER(SEARCH("suministro",PL[[#This Row],[SUPPLIER NOTES]])),"Suministros",IF(PL[[#This Row],[SC]]="SOCIAL","Social",IF(ISNUMBER(SEARCH("monolito",PL[[#This Row],[DESCRIPTION]])),"Monolitos","Varios")))))</f>
        <v>Suministros</v>
      </c>
      <c r="Q94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47" spans="1:17" s="157" customFormat="1" hidden="1" x14ac:dyDescent="0.2">
      <c r="A947" s="151" t="s">
        <v>1137</v>
      </c>
      <c r="B947" s="154" t="s">
        <v>41</v>
      </c>
      <c r="C947" s="154">
        <v>9</v>
      </c>
      <c r="D947" s="154" t="s">
        <v>3383</v>
      </c>
      <c r="E947" s="153" t="s">
        <v>3392</v>
      </c>
      <c r="F947" s="154" t="s">
        <v>1138</v>
      </c>
      <c r="G947" s="154" t="s">
        <v>49</v>
      </c>
      <c r="H947" s="154"/>
      <c r="I947" s="154"/>
      <c r="J947" s="154" t="s">
        <v>74</v>
      </c>
      <c r="K947" s="154" t="s">
        <v>3394</v>
      </c>
      <c r="L947" s="154"/>
      <c r="M947" s="156"/>
      <c r="N947" s="154" t="str">
        <f>IF(ISNUMBER(PL[[#This Row],[CTO]]),"CTO "&amp;PL[[#This Row],[CTO]],"Otros")</f>
        <v>CTO 9</v>
      </c>
      <c r="O947" s="154" t="str">
        <f>IF(PL[[#This Row],[STATUS IUP]]="CERRADO","CERRADO",IF(ISNUMBER(SEARCH("validacion de enel",PL[[#This Row],[SUPPLIER NOTES]])),"PTE Validar Enel","ABIERTO"))</f>
        <v>CERRADO</v>
      </c>
      <c r="P947" s="154" t="str">
        <f>IF(PL[[#This Row],[ESTADO]]="CERRADO","Cerrados IUP",IF(PL[[#This Row],[ESTADO]]="PTE Validar Enel","Pendiente cierre ENEL",IF(ISNUMBER(SEARCH("suministro",PL[[#This Row],[SUPPLIER NOTES]])),"Suministros",IF(PL[[#This Row],[SC]]="SOCIAL","Social",IF(ISNUMBER(SEARCH("monolito",PL[[#This Row],[DESCRIPTION]])),"Monolitos","Varios")))))</f>
        <v>Cerrados IUP</v>
      </c>
      <c r="Q9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48" spans="1:17" s="157" customFormat="1" hidden="1" x14ac:dyDescent="0.2">
      <c r="A948" s="151" t="s">
        <v>1139</v>
      </c>
      <c r="B948" s="154" t="s">
        <v>41</v>
      </c>
      <c r="C948" s="154">
        <v>9</v>
      </c>
      <c r="D948" s="154" t="s">
        <v>3383</v>
      </c>
      <c r="E948" s="153" t="s">
        <v>3392</v>
      </c>
      <c r="F948" s="154" t="s">
        <v>1140</v>
      </c>
      <c r="G948" s="154" t="s">
        <v>49</v>
      </c>
      <c r="H948" s="154"/>
      <c r="I948" s="154"/>
      <c r="J948" s="154" t="s">
        <v>74</v>
      </c>
      <c r="K948" s="154" t="s">
        <v>3394</v>
      </c>
      <c r="L948" s="154"/>
      <c r="M948" s="156"/>
      <c r="N948" s="154" t="str">
        <f>IF(ISNUMBER(PL[[#This Row],[CTO]]),"CTO "&amp;PL[[#This Row],[CTO]],"Otros")</f>
        <v>CTO 9</v>
      </c>
      <c r="O948" s="154" t="str">
        <f>IF(PL[[#This Row],[STATUS IUP]]="CERRADO","CERRADO",IF(ISNUMBER(SEARCH("validacion de enel",PL[[#This Row],[SUPPLIER NOTES]])),"PTE Validar Enel","ABIERTO"))</f>
        <v>CERRADO</v>
      </c>
      <c r="P948" s="154" t="str">
        <f>IF(PL[[#This Row],[ESTADO]]="CERRADO","Cerrados IUP",IF(PL[[#This Row],[ESTADO]]="PTE Validar Enel","Pendiente cierre ENEL",IF(ISNUMBER(SEARCH("suministro",PL[[#This Row],[SUPPLIER NOTES]])),"Suministros",IF(PL[[#This Row],[SC]]="SOCIAL","Social",IF(ISNUMBER(SEARCH("monolito",PL[[#This Row],[DESCRIPTION]])),"Monolitos","Varios")))))</f>
        <v>Cerrados IUP</v>
      </c>
      <c r="Q9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49" spans="1:17" s="157" customFormat="1" hidden="1" x14ac:dyDescent="0.2">
      <c r="A949" s="151" t="s">
        <v>1145</v>
      </c>
      <c r="B949" s="154" t="s">
        <v>41</v>
      </c>
      <c r="C949" s="154">
        <v>9</v>
      </c>
      <c r="D949" s="154" t="s">
        <v>3383</v>
      </c>
      <c r="E949" s="154"/>
      <c r="F949" s="154" t="s">
        <v>1146</v>
      </c>
      <c r="G949" s="154" t="s">
        <v>49</v>
      </c>
      <c r="H949" s="154"/>
      <c r="I949" s="154"/>
      <c r="J949" s="154" t="s">
        <v>74</v>
      </c>
      <c r="K949" s="154" t="s">
        <v>3394</v>
      </c>
      <c r="L949" s="154"/>
      <c r="M949" s="156"/>
      <c r="N949" s="154" t="str">
        <f>IF(ISNUMBER(PL[[#This Row],[CTO]]),"CTO "&amp;PL[[#This Row],[CTO]],"Otros")</f>
        <v>CTO 9</v>
      </c>
      <c r="O949" s="154" t="str">
        <f>IF(PL[[#This Row],[STATUS IUP]]="CERRADO","CERRADO",IF(ISNUMBER(SEARCH("validacion de enel",PL[[#This Row],[SUPPLIER NOTES]])),"PTE Validar Enel","ABIERTO"))</f>
        <v>CERRADO</v>
      </c>
      <c r="P949" s="154" t="str">
        <f>IF(PL[[#This Row],[ESTADO]]="CERRADO","Cerrados IUP",IF(PL[[#This Row],[ESTADO]]="PTE Validar Enel","Pendiente cierre ENEL",IF(ISNUMBER(SEARCH("suministro",PL[[#This Row],[SUPPLIER NOTES]])),"Suministros",IF(PL[[#This Row],[SC]]="SOCIAL","Social",IF(ISNUMBER(SEARCH("monolito",PL[[#This Row],[DESCRIPTION]])),"Monolitos","Varios")))))</f>
        <v>Cerrados IUP</v>
      </c>
      <c r="Q9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50" spans="1:17" s="157" customFormat="1" hidden="1" x14ac:dyDescent="0.2">
      <c r="A950" s="151" t="s">
        <v>1147</v>
      </c>
      <c r="B950" s="154" t="s">
        <v>41</v>
      </c>
      <c r="C950" s="154">
        <v>9</v>
      </c>
      <c r="D950" s="154" t="s">
        <v>3383</v>
      </c>
      <c r="E950" s="154"/>
      <c r="F950" s="154" t="s">
        <v>1148</v>
      </c>
      <c r="G950" s="154" t="s">
        <v>49</v>
      </c>
      <c r="H950" s="154"/>
      <c r="I950" s="154"/>
      <c r="J950" s="154" t="s">
        <v>74</v>
      </c>
      <c r="K950" s="154" t="s">
        <v>3394</v>
      </c>
      <c r="L950" s="154"/>
      <c r="M950" s="156"/>
      <c r="N950" s="154" t="str">
        <f>IF(ISNUMBER(PL[[#This Row],[CTO]]),"CTO "&amp;PL[[#This Row],[CTO]],"Otros")</f>
        <v>CTO 9</v>
      </c>
      <c r="O950" s="154" t="str">
        <f>IF(PL[[#This Row],[STATUS IUP]]="CERRADO","CERRADO",IF(ISNUMBER(SEARCH("validacion de enel",PL[[#This Row],[SUPPLIER NOTES]])),"PTE Validar Enel","ABIERTO"))</f>
        <v>CERRADO</v>
      </c>
      <c r="P950" s="154" t="str">
        <f>IF(PL[[#This Row],[ESTADO]]="CERRADO","Cerrados IUP",IF(PL[[#This Row],[ESTADO]]="PTE Validar Enel","Pendiente cierre ENEL",IF(ISNUMBER(SEARCH("suministro",PL[[#This Row],[SUPPLIER NOTES]])),"Suministros",IF(PL[[#This Row],[SC]]="SOCIAL","Social",IF(ISNUMBER(SEARCH("monolito",PL[[#This Row],[DESCRIPTION]])),"Monolitos","Varios")))))</f>
        <v>Cerrados IUP</v>
      </c>
      <c r="Q9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51" spans="1:17" s="157" customFormat="1" hidden="1" x14ac:dyDescent="0.2">
      <c r="A951" s="151" t="s">
        <v>1149</v>
      </c>
      <c r="B951" s="154" t="s">
        <v>41</v>
      </c>
      <c r="C951" s="154">
        <v>9</v>
      </c>
      <c r="D951" s="154" t="s">
        <v>3383</v>
      </c>
      <c r="E951" s="154"/>
      <c r="F951" s="154" t="s">
        <v>1150</v>
      </c>
      <c r="G951" s="154" t="s">
        <v>49</v>
      </c>
      <c r="H951" s="154"/>
      <c r="I951" s="154"/>
      <c r="J951" s="154" t="s">
        <v>74</v>
      </c>
      <c r="K951" s="154" t="s">
        <v>3394</v>
      </c>
      <c r="L951" s="154"/>
      <c r="M951" s="156"/>
      <c r="N951" s="154" t="str">
        <f>IF(ISNUMBER(PL[[#This Row],[CTO]]),"CTO "&amp;PL[[#This Row],[CTO]],"Otros")</f>
        <v>CTO 9</v>
      </c>
      <c r="O951" s="154" t="str">
        <f>IF(PL[[#This Row],[STATUS IUP]]="CERRADO","CERRADO",IF(ISNUMBER(SEARCH("validacion de enel",PL[[#This Row],[SUPPLIER NOTES]])),"PTE Validar Enel","ABIERTO"))</f>
        <v>CERRADO</v>
      </c>
      <c r="P951" s="154" t="str">
        <f>IF(PL[[#This Row],[ESTADO]]="CERRADO","Cerrados IUP",IF(PL[[#This Row],[ESTADO]]="PTE Validar Enel","Pendiente cierre ENEL",IF(ISNUMBER(SEARCH("suministro",PL[[#This Row],[SUPPLIER NOTES]])),"Suministros",IF(PL[[#This Row],[SC]]="SOCIAL","Social",IF(ISNUMBER(SEARCH("monolito",PL[[#This Row],[DESCRIPTION]])),"Monolitos","Varios")))))</f>
        <v>Cerrados IUP</v>
      </c>
      <c r="Q9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52" spans="1:17" s="157" customFormat="1" hidden="1" x14ac:dyDescent="0.2">
      <c r="A952" s="151" t="s">
        <v>1151</v>
      </c>
      <c r="B952" s="154" t="s">
        <v>41</v>
      </c>
      <c r="C952" s="154">
        <v>9</v>
      </c>
      <c r="D952" s="154" t="s">
        <v>3383</v>
      </c>
      <c r="E952" s="154"/>
      <c r="F952" s="154" t="s">
        <v>1152</v>
      </c>
      <c r="G952" s="154" t="s">
        <v>49</v>
      </c>
      <c r="H952" s="154"/>
      <c r="I952" s="154"/>
      <c r="J952" s="154" t="s">
        <v>74</v>
      </c>
      <c r="K952" s="154" t="s">
        <v>3394</v>
      </c>
      <c r="L952" s="154"/>
      <c r="M952" s="156"/>
      <c r="N952" s="154" t="str">
        <f>IF(ISNUMBER(PL[[#This Row],[CTO]]),"CTO "&amp;PL[[#This Row],[CTO]],"Otros")</f>
        <v>CTO 9</v>
      </c>
      <c r="O952" s="154" t="str">
        <f>IF(PL[[#This Row],[STATUS IUP]]="CERRADO","CERRADO",IF(ISNUMBER(SEARCH("validacion de enel",PL[[#This Row],[SUPPLIER NOTES]])),"PTE Validar Enel","ABIERTO"))</f>
        <v>CERRADO</v>
      </c>
      <c r="P952" s="154" t="str">
        <f>IF(PL[[#This Row],[ESTADO]]="CERRADO","Cerrados IUP",IF(PL[[#This Row],[ESTADO]]="PTE Validar Enel","Pendiente cierre ENEL",IF(ISNUMBER(SEARCH("suministro",PL[[#This Row],[SUPPLIER NOTES]])),"Suministros",IF(PL[[#This Row],[SC]]="SOCIAL","Social",IF(ISNUMBER(SEARCH("monolito",PL[[#This Row],[DESCRIPTION]])),"Monolitos","Varios")))))</f>
        <v>Cerrados IUP</v>
      </c>
      <c r="Q9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53" spans="1:17" s="157" customFormat="1" hidden="1" x14ac:dyDescent="0.2">
      <c r="A953" s="151" t="s">
        <v>1153</v>
      </c>
      <c r="B953" s="154" t="s">
        <v>41</v>
      </c>
      <c r="C953" s="154">
        <v>9</v>
      </c>
      <c r="D953" s="154" t="s">
        <v>3383</v>
      </c>
      <c r="E953" s="154"/>
      <c r="F953" s="154" t="s">
        <v>1154</v>
      </c>
      <c r="G953" s="154" t="s">
        <v>49</v>
      </c>
      <c r="H953" s="154"/>
      <c r="I953" s="154"/>
      <c r="J953" s="154" t="s">
        <v>74</v>
      </c>
      <c r="K953" s="154" t="s">
        <v>3394</v>
      </c>
      <c r="L953" s="154"/>
      <c r="M953" s="156"/>
      <c r="N953" s="154" t="str">
        <f>IF(ISNUMBER(PL[[#This Row],[CTO]]),"CTO "&amp;PL[[#This Row],[CTO]],"Otros")</f>
        <v>CTO 9</v>
      </c>
      <c r="O953" s="154" t="str">
        <f>IF(PL[[#This Row],[STATUS IUP]]="CERRADO","CERRADO",IF(ISNUMBER(SEARCH("validacion de enel",PL[[#This Row],[SUPPLIER NOTES]])),"PTE Validar Enel","ABIERTO"))</f>
        <v>CERRADO</v>
      </c>
      <c r="P953" s="154" t="str">
        <f>IF(PL[[#This Row],[ESTADO]]="CERRADO","Cerrados IUP",IF(PL[[#This Row],[ESTADO]]="PTE Validar Enel","Pendiente cierre ENEL",IF(ISNUMBER(SEARCH("suministro",PL[[#This Row],[SUPPLIER NOTES]])),"Suministros",IF(PL[[#This Row],[SC]]="SOCIAL","Social",IF(ISNUMBER(SEARCH("monolito",PL[[#This Row],[DESCRIPTION]])),"Monolitos","Varios")))))</f>
        <v>Cerrados IUP</v>
      </c>
      <c r="Q9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954" spans="1:17" ht="80" x14ac:dyDescent="0.2">
      <c r="A954" s="86" t="s">
        <v>1187</v>
      </c>
      <c r="B954" s="115" t="s">
        <v>8</v>
      </c>
      <c r="C954" s="82">
        <v>9</v>
      </c>
      <c r="D954" s="88" t="s">
        <v>3383</v>
      </c>
      <c r="E954" s="87"/>
      <c r="F954" s="115" t="s">
        <v>1188</v>
      </c>
      <c r="G954" s="87" t="s">
        <v>43</v>
      </c>
      <c r="H954" s="87" t="s">
        <v>3454</v>
      </c>
      <c r="I954" s="87"/>
      <c r="J954" s="87" t="s">
        <v>11</v>
      </c>
      <c r="K954" s="87" t="s">
        <v>3393</v>
      </c>
      <c r="L954" s="87"/>
      <c r="M954" s="89"/>
      <c r="N954" s="87" t="str">
        <f>IF(ISNUMBER(PL[[#This Row],[CTO]]),"CTO "&amp;PL[[#This Row],[CTO]],"Otros")</f>
        <v>CTO 9</v>
      </c>
      <c r="O954" s="87" t="str">
        <f>IF(PL[[#This Row],[STATUS IUP]]="CERRADO","CERRADO",IF(ISNUMBER(SEARCH("validacion de enel",PL[[#This Row],[SUPPLIER NOTES]])),"PTE Validar Enel","ABIERTO"))</f>
        <v>PTE Validar Enel</v>
      </c>
      <c r="P954"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954"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55" spans="1:17" x14ac:dyDescent="0.2">
      <c r="A955" s="75" t="s">
        <v>1208</v>
      </c>
      <c r="B955" s="74" t="s">
        <v>8</v>
      </c>
      <c r="C955" s="82">
        <v>9</v>
      </c>
      <c r="D955" s="76" t="s">
        <v>3383</v>
      </c>
      <c r="E955" s="74"/>
      <c r="F955" s="74" t="s">
        <v>1209</v>
      </c>
      <c r="G955" s="74" t="s">
        <v>43</v>
      </c>
      <c r="H955" s="74" t="s">
        <v>3460</v>
      </c>
      <c r="I955" s="74"/>
      <c r="J955" s="74" t="s">
        <v>11</v>
      </c>
      <c r="K955" s="74" t="s">
        <v>3393</v>
      </c>
      <c r="L955" s="74"/>
      <c r="M955" s="77"/>
      <c r="N955" s="74" t="str">
        <f>IF(ISNUMBER(PL[[#This Row],[CTO]]),"CTO "&amp;PL[[#This Row],[CTO]],"Otros")</f>
        <v>CTO 9</v>
      </c>
      <c r="O955" s="74" t="str">
        <f>IF(PL[[#This Row],[STATUS IUP]]="CERRADO","CERRADO",IF(ISNUMBER(SEARCH("validacion de enel",PL[[#This Row],[SUPPLIER NOTES]])),"PTE Validar Enel","ABIERTO"))</f>
        <v>ABIERTO</v>
      </c>
      <c r="P955" s="74" t="str">
        <f>IF(PL[[#This Row],[ESTADO]]="CERRADO","Cerrados IUP",IF(PL[[#This Row],[ESTADO]]="PTE Validar Enel","Pendiente cierre ENEL",IF(ISNUMBER(SEARCH("suministro",PL[[#This Row],[SUPPLIER NOTES]])),"Suministros",IF(PL[[#This Row],[SC]]="SOCIAL","Social",IF(ISNUMBER(SEARCH("monolito",PL[[#This Row],[DESCRIPTION]])),"Monolitos","Varios")))))</f>
        <v>Suministros</v>
      </c>
      <c r="Q95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956" spans="1:17" s="157" customFormat="1" ht="16" hidden="1" x14ac:dyDescent="0.2">
      <c r="A956" s="151" t="s">
        <v>2798</v>
      </c>
      <c r="B956" s="152" t="s">
        <v>41</v>
      </c>
      <c r="C956" s="152">
        <v>10</v>
      </c>
      <c r="D956" s="153" t="s">
        <v>3384</v>
      </c>
      <c r="E956" s="154" t="s">
        <v>2670</v>
      </c>
      <c r="F956" s="152" t="s">
        <v>2799</v>
      </c>
      <c r="G956" s="154" t="s">
        <v>1290</v>
      </c>
      <c r="H956" s="154" t="s">
        <v>3454</v>
      </c>
      <c r="I956" s="154"/>
      <c r="J956" s="154" t="s">
        <v>74</v>
      </c>
      <c r="K956" s="154" t="s">
        <v>3394</v>
      </c>
      <c r="L956" s="155">
        <v>46300</v>
      </c>
      <c r="M956" s="156"/>
      <c r="N956" s="154" t="str">
        <f>IF(ISNUMBER(PL[[#This Row],[CTO]]),"CTO "&amp;PL[[#This Row],[CTO]],"Otros")</f>
        <v>CTO 10</v>
      </c>
      <c r="O956" s="154" t="str">
        <f>IF(PL[[#This Row],[STATUS IUP]]="CERRADO","CERRADO",IF(ISNUMBER(SEARCH("validacion de enel",PL[[#This Row],[SUPPLIER NOTES]])),"PTE Validar Enel","ABIERTO"))</f>
        <v>CERRADO</v>
      </c>
      <c r="P956" s="154" t="str">
        <f>IF(PL[[#This Row],[ESTADO]]="CERRADO","Cerrados IUP",IF(PL[[#This Row],[ESTADO]]="PTE Validar Enel","Pendiente cierre ENEL",IF(ISNUMBER(SEARCH("suministro",PL[[#This Row],[SUPPLIER NOTES]])),"Suministros",IF(PL[[#This Row],[SC]]="SOCIAL","Social",IF(ISNUMBER(SEARCH("monolito",PL[[#This Row],[DESCRIPTION]])),"Monolitos","Varios")))))</f>
        <v>Cerrados IUP</v>
      </c>
      <c r="Q9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57" spans="1:17" s="157" customFormat="1" ht="32" hidden="1" x14ac:dyDescent="0.2">
      <c r="A957" s="151" t="s">
        <v>2434</v>
      </c>
      <c r="B957" s="152" t="s">
        <v>1314</v>
      </c>
      <c r="C957" s="152">
        <v>10</v>
      </c>
      <c r="D957" s="153" t="s">
        <v>3384</v>
      </c>
      <c r="E957" s="154" t="s">
        <v>2435</v>
      </c>
      <c r="F957" s="152" t="s">
        <v>2436</v>
      </c>
      <c r="G957" s="154" t="s">
        <v>1290</v>
      </c>
      <c r="H957" s="154" t="s">
        <v>3454</v>
      </c>
      <c r="I957" s="154"/>
      <c r="J957" s="154" t="s">
        <v>74</v>
      </c>
      <c r="K957" s="154" t="s">
        <v>3394</v>
      </c>
      <c r="L957" s="155">
        <v>46293</v>
      </c>
      <c r="M957" s="156"/>
      <c r="N957" s="154" t="str">
        <f>IF(ISNUMBER(PL[[#This Row],[CTO]]),"CTO "&amp;PL[[#This Row],[CTO]],"Otros")</f>
        <v>CTO 10</v>
      </c>
      <c r="O957" s="154" t="str">
        <f>IF(PL[[#This Row],[STATUS IUP]]="CERRADO","CERRADO",IF(ISNUMBER(SEARCH("validacion de enel",PL[[#This Row],[SUPPLIER NOTES]])),"PTE Validar Enel","ABIERTO"))</f>
        <v>CERRADO</v>
      </c>
      <c r="P957" s="154" t="str">
        <f>IF(PL[[#This Row],[ESTADO]]="CERRADO","Cerrados IUP",IF(PL[[#This Row],[ESTADO]]="PTE Validar Enel","Pendiente cierre ENEL",IF(ISNUMBER(SEARCH("suministro",PL[[#This Row],[SUPPLIER NOTES]])),"Suministros",IF(PL[[#This Row],[SC]]="SOCIAL","Social",IF(ISNUMBER(SEARCH("monolito",PL[[#This Row],[DESCRIPTION]])),"Monolitos","Varios")))))</f>
        <v>Cerrados IUP</v>
      </c>
      <c r="Q9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58" spans="1:17" s="157" customFormat="1" ht="32" hidden="1" x14ac:dyDescent="0.2">
      <c r="A958" s="151" t="s">
        <v>1804</v>
      </c>
      <c r="B958" s="152" t="s">
        <v>8</v>
      </c>
      <c r="C958" s="152">
        <v>10</v>
      </c>
      <c r="D958" s="153" t="s">
        <v>3384</v>
      </c>
      <c r="E958" s="154" t="s">
        <v>1805</v>
      </c>
      <c r="F958" s="152" t="s">
        <v>1806</v>
      </c>
      <c r="G958" s="154" t="s">
        <v>1290</v>
      </c>
      <c r="H958" s="154" t="s">
        <v>3454</v>
      </c>
      <c r="I958" s="154"/>
      <c r="J958" s="154" t="s">
        <v>74</v>
      </c>
      <c r="K958" s="154" t="s">
        <v>3394</v>
      </c>
      <c r="L958" s="155">
        <v>46293</v>
      </c>
      <c r="M958" s="156"/>
      <c r="N958" s="154" t="str">
        <f>IF(ISNUMBER(PL[[#This Row],[CTO]]),"CTO "&amp;PL[[#This Row],[CTO]],"Otros")</f>
        <v>CTO 10</v>
      </c>
      <c r="O958" s="154" t="str">
        <f>IF(PL[[#This Row],[STATUS IUP]]="CERRADO","CERRADO",IF(ISNUMBER(SEARCH("validacion de enel",PL[[#This Row],[SUPPLIER NOTES]])),"PTE Validar Enel","ABIERTO"))</f>
        <v>CERRADO</v>
      </c>
      <c r="P958" s="154" t="str">
        <f>IF(PL[[#This Row],[ESTADO]]="CERRADO","Cerrados IUP",IF(PL[[#This Row],[ESTADO]]="PTE Validar Enel","Pendiente cierre ENEL",IF(ISNUMBER(SEARCH("suministro",PL[[#This Row],[SUPPLIER NOTES]])),"Suministros",IF(PL[[#This Row],[SC]]="SOCIAL","Social",IF(ISNUMBER(SEARCH("monolito",PL[[#This Row],[DESCRIPTION]])),"Monolitos","Varios")))))</f>
        <v>Cerrados IUP</v>
      </c>
      <c r="Q9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59" spans="1:17" s="157" customFormat="1" ht="16" hidden="1" x14ac:dyDescent="0.2">
      <c r="A959" s="151" t="s">
        <v>2428</v>
      </c>
      <c r="B959" s="152" t="s">
        <v>8</v>
      </c>
      <c r="C959" s="152">
        <v>10</v>
      </c>
      <c r="D959" s="153" t="s">
        <v>3384</v>
      </c>
      <c r="E959" s="154" t="s">
        <v>2429</v>
      </c>
      <c r="F959" s="152" t="s">
        <v>2430</v>
      </c>
      <c r="G959" s="154" t="s">
        <v>1290</v>
      </c>
      <c r="H959" s="154" t="s">
        <v>3454</v>
      </c>
      <c r="I959" s="154"/>
      <c r="J959" s="154" t="s">
        <v>74</v>
      </c>
      <c r="K959" s="154" t="s">
        <v>3394</v>
      </c>
      <c r="L959" s="155">
        <v>46293</v>
      </c>
      <c r="M959" s="156"/>
      <c r="N959" s="154" t="str">
        <f>IF(ISNUMBER(PL[[#This Row],[CTO]]),"CTO "&amp;PL[[#This Row],[CTO]],"Otros")</f>
        <v>CTO 10</v>
      </c>
      <c r="O959" s="154" t="str">
        <f>IF(PL[[#This Row],[STATUS IUP]]="CERRADO","CERRADO",IF(ISNUMBER(SEARCH("validacion de enel",PL[[#This Row],[SUPPLIER NOTES]])),"PTE Validar Enel","ABIERTO"))</f>
        <v>CERRADO</v>
      </c>
      <c r="P959" s="154" t="str">
        <f>IF(PL[[#This Row],[ESTADO]]="CERRADO","Cerrados IUP",IF(PL[[#This Row],[ESTADO]]="PTE Validar Enel","Pendiente cierre ENEL",IF(ISNUMBER(SEARCH("suministro",PL[[#This Row],[SUPPLIER NOTES]])),"Suministros",IF(PL[[#This Row],[SC]]="SOCIAL","Social",IF(ISNUMBER(SEARCH("monolito",PL[[#This Row],[DESCRIPTION]])),"Monolitos","Varios")))))</f>
        <v>Cerrados IUP</v>
      </c>
      <c r="Q9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0" spans="1:17" s="157" customFormat="1" hidden="1" x14ac:dyDescent="0.2">
      <c r="A960" s="151" t="s">
        <v>1352</v>
      </c>
      <c r="B960" s="154" t="s">
        <v>1295</v>
      </c>
      <c r="C960" s="152">
        <v>10</v>
      </c>
      <c r="D960" s="153" t="s">
        <v>3384</v>
      </c>
      <c r="E960" s="154" t="s">
        <v>1353</v>
      </c>
      <c r="F960" s="154" t="s">
        <v>1354</v>
      </c>
      <c r="G960" s="154" t="s">
        <v>1289</v>
      </c>
      <c r="H960" s="154" t="s">
        <v>3463</v>
      </c>
      <c r="I960" s="154"/>
      <c r="J960" s="154" t="s">
        <v>74</v>
      </c>
      <c r="K960" s="154" t="s">
        <v>3394</v>
      </c>
      <c r="L960" s="155">
        <v>46304</v>
      </c>
      <c r="M960" s="156"/>
      <c r="N960" s="154" t="str">
        <f>IF(ISNUMBER(PL[[#This Row],[CTO]]),"CTO "&amp;PL[[#This Row],[CTO]],"Otros")</f>
        <v>CTO 10</v>
      </c>
      <c r="O960" s="154" t="str">
        <f>IF(PL[[#This Row],[STATUS IUP]]="CERRADO","CERRADO",IF(ISNUMBER(SEARCH("validacion de enel",PL[[#This Row],[SUPPLIER NOTES]])),"PTE Validar Enel","ABIERTO"))</f>
        <v>CERRADO</v>
      </c>
      <c r="P960" s="154" t="str">
        <f>IF(PL[[#This Row],[ESTADO]]="CERRADO","Cerrados IUP",IF(PL[[#This Row],[ESTADO]]="PTE Validar Enel","Pendiente cierre ENEL",IF(ISNUMBER(SEARCH("suministro",PL[[#This Row],[SUPPLIER NOTES]])),"Suministros",IF(PL[[#This Row],[SC]]="SOCIAL","Social",IF(ISNUMBER(SEARCH("monolito",PL[[#This Row],[DESCRIPTION]])),"Monolitos","Varios")))))</f>
        <v>Cerrados IUP</v>
      </c>
      <c r="Q9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1" spans="1:17" s="157" customFormat="1" hidden="1" x14ac:dyDescent="0.2">
      <c r="A961" s="151" t="s">
        <v>2422</v>
      </c>
      <c r="B961" s="154" t="s">
        <v>41</v>
      </c>
      <c r="C961" s="152">
        <v>10</v>
      </c>
      <c r="D961" s="153" t="s">
        <v>3384</v>
      </c>
      <c r="E961" s="154" t="s">
        <v>2010</v>
      </c>
      <c r="F961" s="154" t="s">
        <v>2423</v>
      </c>
      <c r="G961" s="154" t="s">
        <v>49</v>
      </c>
      <c r="H961" s="154"/>
      <c r="I961" s="154"/>
      <c r="J961" s="154" t="s">
        <v>74</v>
      </c>
      <c r="K961" s="154" t="s">
        <v>3394</v>
      </c>
      <c r="L961" s="154"/>
      <c r="M961" s="156"/>
      <c r="N961" s="154" t="str">
        <f>IF(ISNUMBER(PL[[#This Row],[CTO]]),"CTO "&amp;PL[[#This Row],[CTO]],"Otros")</f>
        <v>CTO 10</v>
      </c>
      <c r="O961" s="154" t="str">
        <f>IF(PL[[#This Row],[STATUS IUP]]="CERRADO","CERRADO",IF(ISNUMBER(SEARCH("validacion de enel",PL[[#This Row],[SUPPLIER NOTES]])),"PTE Validar Enel","ABIERTO"))</f>
        <v>CERRADO</v>
      </c>
      <c r="P961" s="154" t="str">
        <f>IF(PL[[#This Row],[ESTADO]]="CERRADO","Cerrados IUP",IF(PL[[#This Row],[ESTADO]]="PTE Validar Enel","Pendiente cierre ENEL",IF(ISNUMBER(SEARCH("suministro",PL[[#This Row],[SUPPLIER NOTES]])),"Suministros",IF(PL[[#This Row],[SC]]="SOCIAL","Social",IF(ISNUMBER(SEARCH("monolito",PL[[#This Row],[DESCRIPTION]])),"Monolitos","Varios")))))</f>
        <v>Cerrados IUP</v>
      </c>
      <c r="Q9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2" spans="1:17" s="157" customFormat="1" hidden="1" x14ac:dyDescent="0.2">
      <c r="A962" s="151" t="s">
        <v>2009</v>
      </c>
      <c r="B962" s="154" t="s">
        <v>41</v>
      </c>
      <c r="C962" s="152">
        <v>10</v>
      </c>
      <c r="D962" s="153" t="s">
        <v>3384</v>
      </c>
      <c r="E962" s="154" t="s">
        <v>2010</v>
      </c>
      <c r="F962" s="154" t="s">
        <v>2011</v>
      </c>
      <c r="G962" s="154" t="s">
        <v>49</v>
      </c>
      <c r="H962" s="154"/>
      <c r="I962" s="154"/>
      <c r="J962" s="154" t="s">
        <v>74</v>
      </c>
      <c r="K962" s="154" t="s">
        <v>3394</v>
      </c>
      <c r="L962" s="154"/>
      <c r="M962" s="156"/>
      <c r="N962" s="154" t="str">
        <f>IF(ISNUMBER(PL[[#This Row],[CTO]]),"CTO "&amp;PL[[#This Row],[CTO]],"Otros")</f>
        <v>CTO 10</v>
      </c>
      <c r="O962" s="154" t="str">
        <f>IF(PL[[#This Row],[STATUS IUP]]="CERRADO","CERRADO",IF(ISNUMBER(SEARCH("validacion de enel",PL[[#This Row],[SUPPLIER NOTES]])),"PTE Validar Enel","ABIERTO"))</f>
        <v>CERRADO</v>
      </c>
      <c r="P962" s="154" t="str">
        <f>IF(PL[[#This Row],[ESTADO]]="CERRADO","Cerrados IUP",IF(PL[[#This Row],[ESTADO]]="PTE Validar Enel","Pendiente cierre ENEL",IF(ISNUMBER(SEARCH("suministro",PL[[#This Row],[SUPPLIER NOTES]])),"Suministros",IF(PL[[#This Row],[SC]]="SOCIAL","Social",IF(ISNUMBER(SEARCH("monolito",PL[[#This Row],[DESCRIPTION]])),"Monolitos","Varios")))))</f>
        <v>Cerrados IUP</v>
      </c>
      <c r="Q9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3" spans="1:17" s="157" customFormat="1" hidden="1" x14ac:dyDescent="0.2">
      <c r="A963" s="151" t="s">
        <v>2420</v>
      </c>
      <c r="B963" s="154" t="s">
        <v>41</v>
      </c>
      <c r="C963" s="152">
        <v>10</v>
      </c>
      <c r="D963" s="153" t="s">
        <v>3384</v>
      </c>
      <c r="E963" s="154" t="s">
        <v>2010</v>
      </c>
      <c r="F963" s="154" t="s">
        <v>2421</v>
      </c>
      <c r="G963" s="154" t="s">
        <v>49</v>
      </c>
      <c r="H963" s="154"/>
      <c r="I963" s="154"/>
      <c r="J963" s="154" t="s">
        <v>74</v>
      </c>
      <c r="K963" s="154" t="s">
        <v>3394</v>
      </c>
      <c r="L963" s="154"/>
      <c r="M963" s="156"/>
      <c r="N963" s="154" t="str">
        <f>IF(ISNUMBER(PL[[#This Row],[CTO]]),"CTO "&amp;PL[[#This Row],[CTO]],"Otros")</f>
        <v>CTO 10</v>
      </c>
      <c r="O963" s="154" t="str">
        <f>IF(PL[[#This Row],[STATUS IUP]]="CERRADO","CERRADO",IF(ISNUMBER(SEARCH("validacion de enel",PL[[#This Row],[SUPPLIER NOTES]])),"PTE Validar Enel","ABIERTO"))</f>
        <v>CERRADO</v>
      </c>
      <c r="P963" s="154" t="str">
        <f>IF(PL[[#This Row],[ESTADO]]="CERRADO","Cerrados IUP",IF(PL[[#This Row],[ESTADO]]="PTE Validar Enel","Pendiente cierre ENEL",IF(ISNUMBER(SEARCH("suministro",PL[[#This Row],[SUPPLIER NOTES]])),"Suministros",IF(PL[[#This Row],[SC]]="SOCIAL","Social",IF(ISNUMBER(SEARCH("monolito",PL[[#This Row],[DESCRIPTION]])),"Monolitos","Varios")))))</f>
        <v>Cerrados IUP</v>
      </c>
      <c r="Q9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4" spans="1:17" s="157" customFormat="1" hidden="1" x14ac:dyDescent="0.2">
      <c r="A964" s="151" t="s">
        <v>2656</v>
      </c>
      <c r="B964" s="154" t="s">
        <v>41</v>
      </c>
      <c r="C964" s="152">
        <v>10</v>
      </c>
      <c r="D964" s="153" t="s">
        <v>3384</v>
      </c>
      <c r="E964" s="154" t="s">
        <v>2010</v>
      </c>
      <c r="F964" s="154" t="s">
        <v>2657</v>
      </c>
      <c r="G964" s="154" t="s">
        <v>49</v>
      </c>
      <c r="H964" s="154"/>
      <c r="I964" s="154"/>
      <c r="J964" s="154" t="s">
        <v>74</v>
      </c>
      <c r="K964" s="154" t="s">
        <v>3394</v>
      </c>
      <c r="L964" s="154"/>
      <c r="M964" s="156"/>
      <c r="N964" s="154" t="str">
        <f>IF(ISNUMBER(PL[[#This Row],[CTO]]),"CTO "&amp;PL[[#This Row],[CTO]],"Otros")</f>
        <v>CTO 10</v>
      </c>
      <c r="O964" s="154" t="str">
        <f>IF(PL[[#This Row],[STATUS IUP]]="CERRADO","CERRADO",IF(ISNUMBER(SEARCH("validacion de enel",PL[[#This Row],[SUPPLIER NOTES]])),"PTE Validar Enel","ABIERTO"))</f>
        <v>CERRADO</v>
      </c>
      <c r="P964" s="154" t="str">
        <f>IF(PL[[#This Row],[ESTADO]]="CERRADO","Cerrados IUP",IF(PL[[#This Row],[ESTADO]]="PTE Validar Enel","Pendiente cierre ENEL",IF(ISNUMBER(SEARCH("suministro",PL[[#This Row],[SUPPLIER NOTES]])),"Suministros",IF(PL[[#This Row],[SC]]="SOCIAL","Social",IF(ISNUMBER(SEARCH("monolito",PL[[#This Row],[DESCRIPTION]])),"Monolitos","Varios")))))</f>
        <v>Cerrados IUP</v>
      </c>
      <c r="Q9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5" spans="1:17" s="157" customFormat="1" hidden="1" x14ac:dyDescent="0.2">
      <c r="A965" s="151" t="s">
        <v>2615</v>
      </c>
      <c r="B965" s="154" t="s">
        <v>1314</v>
      </c>
      <c r="C965" s="152">
        <v>10</v>
      </c>
      <c r="D965" s="153" t="s">
        <v>3384</v>
      </c>
      <c r="E965" s="154" t="s">
        <v>2616</v>
      </c>
      <c r="F965" s="154" t="s">
        <v>2617</v>
      </c>
      <c r="G965" s="154" t="s">
        <v>1290</v>
      </c>
      <c r="H965" s="154"/>
      <c r="I965" s="154"/>
      <c r="J965" s="154" t="s">
        <v>74</v>
      </c>
      <c r="K965" s="154" t="s">
        <v>3394</v>
      </c>
      <c r="L965" s="154"/>
      <c r="M965" s="156"/>
      <c r="N965" s="154" t="str">
        <f>IF(ISNUMBER(PL[[#This Row],[CTO]]),"CTO "&amp;PL[[#This Row],[CTO]],"Otros")</f>
        <v>CTO 10</v>
      </c>
      <c r="O965" s="154" t="str">
        <f>IF(PL[[#This Row],[STATUS IUP]]="CERRADO","CERRADO",IF(ISNUMBER(SEARCH("validacion de enel",PL[[#This Row],[SUPPLIER NOTES]])),"PTE Validar Enel","ABIERTO"))</f>
        <v>CERRADO</v>
      </c>
      <c r="P965" s="154" t="str">
        <f>IF(PL[[#This Row],[ESTADO]]="CERRADO","Cerrados IUP",IF(PL[[#This Row],[ESTADO]]="PTE Validar Enel","Pendiente cierre ENEL",IF(ISNUMBER(SEARCH("suministro",PL[[#This Row],[SUPPLIER NOTES]])),"Suministros",IF(PL[[#This Row],[SC]]="SOCIAL","Social",IF(ISNUMBER(SEARCH("monolito",PL[[#This Row],[DESCRIPTION]])),"Monolitos","Varios")))))</f>
        <v>Cerrados IUP</v>
      </c>
      <c r="Q9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6" spans="1:17" s="157" customFormat="1" hidden="1" x14ac:dyDescent="0.2">
      <c r="A966" s="151" t="s">
        <v>2612</v>
      </c>
      <c r="B966" s="154" t="s">
        <v>8</v>
      </c>
      <c r="C966" s="152">
        <v>10</v>
      </c>
      <c r="D966" s="153" t="s">
        <v>3384</v>
      </c>
      <c r="E966" s="154" t="s">
        <v>2613</v>
      </c>
      <c r="F966" s="154" t="s">
        <v>2614</v>
      </c>
      <c r="G966" s="154" t="s">
        <v>216</v>
      </c>
      <c r="H966" s="154" t="s">
        <v>163</v>
      </c>
      <c r="I966" s="154" t="s">
        <v>163</v>
      </c>
      <c r="J966" s="154" t="s">
        <v>74</v>
      </c>
      <c r="K966" s="154" t="s">
        <v>3394</v>
      </c>
      <c r="L966" s="161">
        <v>46231</v>
      </c>
      <c r="M966" s="160">
        <v>46231</v>
      </c>
      <c r="N966" s="154" t="str">
        <f>IF(ISNUMBER(PL[[#This Row],[CTO]]),"CTO "&amp;PL[[#This Row],[CTO]],"Otros")</f>
        <v>CTO 10</v>
      </c>
      <c r="O966" s="154" t="str">
        <f>IF(PL[[#This Row],[STATUS IUP]]="CERRADO","CERRADO",IF(ISNUMBER(SEARCH("validacion de enel",PL[[#This Row],[SUPPLIER NOTES]])),"PTE Validar Enel","ABIERTO"))</f>
        <v>CERRADO</v>
      </c>
      <c r="P966" s="154" t="str">
        <f>IF(PL[[#This Row],[ESTADO]]="CERRADO","Cerrados IUP",IF(PL[[#This Row],[ESTADO]]="PTE Validar Enel","Pendiente cierre ENEL",IF(ISNUMBER(SEARCH("suministro",PL[[#This Row],[SUPPLIER NOTES]])),"Suministros",IF(PL[[#This Row],[SC]]="SOCIAL","Social",IF(ISNUMBER(SEARCH("monolito",PL[[#This Row],[DESCRIPTION]])),"Monolitos","Varios")))))</f>
        <v>Cerrados IUP</v>
      </c>
      <c r="Q9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7" spans="1:17" s="157" customFormat="1" hidden="1" x14ac:dyDescent="0.2">
      <c r="A967" s="151" t="s">
        <v>2940</v>
      </c>
      <c r="B967" s="154" t="s">
        <v>1291</v>
      </c>
      <c r="C967" s="152">
        <v>10</v>
      </c>
      <c r="D967" s="153" t="s">
        <v>3384</v>
      </c>
      <c r="E967" s="154" t="s">
        <v>2941</v>
      </c>
      <c r="F967" s="154" t="s">
        <v>2942</v>
      </c>
      <c r="G967" s="154" t="s">
        <v>216</v>
      </c>
      <c r="H967" s="154"/>
      <c r="I967" s="154"/>
      <c r="J967" s="154" t="s">
        <v>74</v>
      </c>
      <c r="K967" s="154" t="s">
        <v>3394</v>
      </c>
      <c r="L967" s="154"/>
      <c r="M967" s="156"/>
      <c r="N967" s="154" t="str">
        <f>IF(ISNUMBER(PL[[#This Row],[CTO]]),"CTO "&amp;PL[[#This Row],[CTO]],"Otros")</f>
        <v>CTO 10</v>
      </c>
      <c r="O967" s="154" t="str">
        <f>IF(PL[[#This Row],[STATUS IUP]]="CERRADO","CERRADO",IF(ISNUMBER(SEARCH("validacion de enel",PL[[#This Row],[SUPPLIER NOTES]])),"PTE Validar Enel","ABIERTO"))</f>
        <v>CERRADO</v>
      </c>
      <c r="P967" s="154" t="str">
        <f>IF(PL[[#This Row],[ESTADO]]="CERRADO","Cerrados IUP",IF(PL[[#This Row],[ESTADO]]="PTE Validar Enel","Pendiente cierre ENEL",IF(ISNUMBER(SEARCH("suministro",PL[[#This Row],[SUPPLIER NOTES]])),"Suministros",IF(PL[[#This Row],[SC]]="SOCIAL","Social",IF(ISNUMBER(SEARCH("monolito",PL[[#This Row],[DESCRIPTION]])),"Monolitos","Varios")))))</f>
        <v>Cerrados IUP</v>
      </c>
      <c r="Q9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8" spans="1:17" s="157" customFormat="1" hidden="1" x14ac:dyDescent="0.2">
      <c r="A968" s="151" t="s">
        <v>2672</v>
      </c>
      <c r="B968" s="154" t="s">
        <v>1266</v>
      </c>
      <c r="C968" s="152">
        <v>10</v>
      </c>
      <c r="D968" s="153" t="s">
        <v>3384</v>
      </c>
      <c r="E968" s="154" t="s">
        <v>2673</v>
      </c>
      <c r="F968" s="154" t="s">
        <v>2674</v>
      </c>
      <c r="G968" s="154" t="s">
        <v>216</v>
      </c>
      <c r="H968" s="154"/>
      <c r="I968" s="154"/>
      <c r="J968" s="154" t="s">
        <v>74</v>
      </c>
      <c r="K968" s="154" t="s">
        <v>3394</v>
      </c>
      <c r="L968" s="154"/>
      <c r="M968" s="156"/>
      <c r="N968" s="154" t="str">
        <f>IF(ISNUMBER(PL[[#This Row],[CTO]]),"CTO "&amp;PL[[#This Row],[CTO]],"Otros")</f>
        <v>CTO 10</v>
      </c>
      <c r="O968" s="154" t="str">
        <f>IF(PL[[#This Row],[STATUS IUP]]="CERRADO","CERRADO",IF(ISNUMBER(SEARCH("validacion de enel",PL[[#This Row],[SUPPLIER NOTES]])),"PTE Validar Enel","ABIERTO"))</f>
        <v>CERRADO</v>
      </c>
      <c r="P968" s="154" t="str">
        <f>IF(PL[[#This Row],[ESTADO]]="CERRADO","Cerrados IUP",IF(PL[[#This Row],[ESTADO]]="PTE Validar Enel","Pendiente cierre ENEL",IF(ISNUMBER(SEARCH("suministro",PL[[#This Row],[SUPPLIER NOTES]])),"Suministros",IF(PL[[#This Row],[SC]]="SOCIAL","Social",IF(ISNUMBER(SEARCH("monolito",PL[[#This Row],[DESCRIPTION]])),"Monolitos","Varios")))))</f>
        <v>Cerrados IUP</v>
      </c>
      <c r="Q9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69" spans="1:17" s="157" customFormat="1" hidden="1" x14ac:dyDescent="0.2">
      <c r="A969" s="151" t="s">
        <v>1994</v>
      </c>
      <c r="B969" s="154" t="s">
        <v>1266</v>
      </c>
      <c r="C969" s="152">
        <v>10</v>
      </c>
      <c r="D969" s="153" t="s">
        <v>3384</v>
      </c>
      <c r="E969" s="154" t="s">
        <v>1995</v>
      </c>
      <c r="F969" s="154" t="s">
        <v>1996</v>
      </c>
      <c r="G969" s="154" t="s">
        <v>1290</v>
      </c>
      <c r="H969" s="154"/>
      <c r="I969" s="154"/>
      <c r="J969" s="154" t="s">
        <v>74</v>
      </c>
      <c r="K969" s="154" t="s">
        <v>3394</v>
      </c>
      <c r="L969" s="154"/>
      <c r="M969" s="156"/>
      <c r="N969" s="154" t="str">
        <f>IF(ISNUMBER(PL[[#This Row],[CTO]]),"CTO "&amp;PL[[#This Row],[CTO]],"Otros")</f>
        <v>CTO 10</v>
      </c>
      <c r="O969" s="154" t="str">
        <f>IF(PL[[#This Row],[STATUS IUP]]="CERRADO","CERRADO",IF(ISNUMBER(SEARCH("validacion de enel",PL[[#This Row],[SUPPLIER NOTES]])),"PTE Validar Enel","ABIERTO"))</f>
        <v>CERRADO</v>
      </c>
      <c r="P969" s="154" t="str">
        <f>IF(PL[[#This Row],[ESTADO]]="CERRADO","Cerrados IUP",IF(PL[[#This Row],[ESTADO]]="PTE Validar Enel","Pendiente cierre ENEL",IF(ISNUMBER(SEARCH("suministro",PL[[#This Row],[SUPPLIER NOTES]])),"Suministros",IF(PL[[#This Row],[SC]]="SOCIAL","Social",IF(ISNUMBER(SEARCH("monolito",PL[[#This Row],[DESCRIPTION]])),"Monolitos","Varios")))))</f>
        <v>Cerrados IUP</v>
      </c>
      <c r="Q9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0" spans="1:17" s="157" customFormat="1" hidden="1" x14ac:dyDescent="0.2">
      <c r="A970" s="151" t="s">
        <v>2015</v>
      </c>
      <c r="B970" s="154" t="s">
        <v>1297</v>
      </c>
      <c r="C970" s="152">
        <v>10</v>
      </c>
      <c r="D970" s="153" t="s">
        <v>3384</v>
      </c>
      <c r="E970" s="154" t="s">
        <v>2016</v>
      </c>
      <c r="F970" s="154" t="s">
        <v>2017</v>
      </c>
      <c r="G970" s="154" t="s">
        <v>1290</v>
      </c>
      <c r="H970" s="154"/>
      <c r="I970" s="154"/>
      <c r="J970" s="154" t="s">
        <v>74</v>
      </c>
      <c r="K970" s="154" t="s">
        <v>3394</v>
      </c>
      <c r="L970" s="154"/>
      <c r="M970" s="156"/>
      <c r="N970" s="154" t="str">
        <f>IF(ISNUMBER(PL[[#This Row],[CTO]]),"CTO "&amp;PL[[#This Row],[CTO]],"Otros")</f>
        <v>CTO 10</v>
      </c>
      <c r="O970" s="154" t="str">
        <f>IF(PL[[#This Row],[STATUS IUP]]="CERRADO","CERRADO",IF(ISNUMBER(SEARCH("validacion de enel",PL[[#This Row],[SUPPLIER NOTES]])),"PTE Validar Enel","ABIERTO"))</f>
        <v>CERRADO</v>
      </c>
      <c r="P970" s="154" t="str">
        <f>IF(PL[[#This Row],[ESTADO]]="CERRADO","Cerrados IUP",IF(PL[[#This Row],[ESTADO]]="PTE Validar Enel","Pendiente cierre ENEL",IF(ISNUMBER(SEARCH("suministro",PL[[#This Row],[SUPPLIER NOTES]])),"Suministros",IF(PL[[#This Row],[SC]]="SOCIAL","Social",IF(ISNUMBER(SEARCH("monolito",PL[[#This Row],[DESCRIPTION]])),"Monolitos","Varios")))))</f>
        <v>Cerrados IUP</v>
      </c>
      <c r="Q9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1" spans="1:17" s="157" customFormat="1" hidden="1" x14ac:dyDescent="0.2">
      <c r="A971" s="151" t="s">
        <v>1693</v>
      </c>
      <c r="B971" s="154" t="s">
        <v>1371</v>
      </c>
      <c r="C971" s="152">
        <v>10</v>
      </c>
      <c r="D971" s="153" t="s">
        <v>3384</v>
      </c>
      <c r="E971" s="154" t="s">
        <v>1694</v>
      </c>
      <c r="F971" s="154" t="s">
        <v>1695</v>
      </c>
      <c r="G971" s="154" t="s">
        <v>1290</v>
      </c>
      <c r="H971" s="154"/>
      <c r="I971" s="154"/>
      <c r="J971" s="154" t="s">
        <v>74</v>
      </c>
      <c r="K971" s="154" t="s">
        <v>3394</v>
      </c>
      <c r="L971" s="154"/>
      <c r="M971" s="156"/>
      <c r="N971" s="154" t="str">
        <f>IF(ISNUMBER(PL[[#This Row],[CTO]]),"CTO "&amp;PL[[#This Row],[CTO]],"Otros")</f>
        <v>CTO 10</v>
      </c>
      <c r="O971" s="154" t="str">
        <f>IF(PL[[#This Row],[STATUS IUP]]="CERRADO","CERRADO",IF(ISNUMBER(SEARCH("validacion de enel",PL[[#This Row],[SUPPLIER NOTES]])),"PTE Validar Enel","ABIERTO"))</f>
        <v>CERRADO</v>
      </c>
      <c r="P971" s="154" t="str">
        <f>IF(PL[[#This Row],[ESTADO]]="CERRADO","Cerrados IUP",IF(PL[[#This Row],[ESTADO]]="PTE Validar Enel","Pendiente cierre ENEL",IF(ISNUMBER(SEARCH("suministro",PL[[#This Row],[SUPPLIER NOTES]])),"Suministros",IF(PL[[#This Row],[SC]]="SOCIAL","Social",IF(ISNUMBER(SEARCH("monolito",PL[[#This Row],[DESCRIPTION]])),"Monolitos","Varios")))))</f>
        <v>Cerrados IUP</v>
      </c>
      <c r="Q9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2" spans="1:17" s="157" customFormat="1" hidden="1" x14ac:dyDescent="0.2">
      <c r="A972" s="151" t="s">
        <v>2768</v>
      </c>
      <c r="B972" s="154" t="s">
        <v>1314</v>
      </c>
      <c r="C972" s="152">
        <v>10</v>
      </c>
      <c r="D972" s="153" t="s">
        <v>3384</v>
      </c>
      <c r="E972" s="154" t="s">
        <v>2769</v>
      </c>
      <c r="F972" s="154" t="s">
        <v>2770</v>
      </c>
      <c r="G972" s="154" t="s">
        <v>1290</v>
      </c>
      <c r="H972" s="154"/>
      <c r="I972" s="154"/>
      <c r="J972" s="154" t="s">
        <v>74</v>
      </c>
      <c r="K972" s="154" t="s">
        <v>3394</v>
      </c>
      <c r="L972" s="154"/>
      <c r="M972" s="156"/>
      <c r="N972" s="154" t="str">
        <f>IF(ISNUMBER(PL[[#This Row],[CTO]]),"CTO "&amp;PL[[#This Row],[CTO]],"Otros")</f>
        <v>CTO 10</v>
      </c>
      <c r="O972" s="154" t="str">
        <f>IF(PL[[#This Row],[STATUS IUP]]="CERRADO","CERRADO",IF(ISNUMBER(SEARCH("validacion de enel",PL[[#This Row],[SUPPLIER NOTES]])),"PTE Validar Enel","ABIERTO"))</f>
        <v>CERRADO</v>
      </c>
      <c r="P972" s="154" t="str">
        <f>IF(PL[[#This Row],[ESTADO]]="CERRADO","Cerrados IUP",IF(PL[[#This Row],[ESTADO]]="PTE Validar Enel","Pendiente cierre ENEL",IF(ISNUMBER(SEARCH("suministro",PL[[#This Row],[SUPPLIER NOTES]])),"Suministros",IF(PL[[#This Row],[SC]]="SOCIAL","Social",IF(ISNUMBER(SEARCH("monolito",PL[[#This Row],[DESCRIPTION]])),"Monolitos","Varios")))))</f>
        <v>Cerrados IUP</v>
      </c>
      <c r="Q9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3" spans="1:17" s="157" customFormat="1" hidden="1" x14ac:dyDescent="0.2">
      <c r="A973" s="151" t="s">
        <v>2012</v>
      </c>
      <c r="B973" s="154" t="s">
        <v>1314</v>
      </c>
      <c r="C973" s="152">
        <v>10</v>
      </c>
      <c r="D973" s="153" t="s">
        <v>3384</v>
      </c>
      <c r="E973" s="154" t="s">
        <v>2013</v>
      </c>
      <c r="F973" s="154" t="s">
        <v>2014</v>
      </c>
      <c r="G973" s="154" t="s">
        <v>1290</v>
      </c>
      <c r="H973" s="154"/>
      <c r="I973" s="154"/>
      <c r="J973" s="154" t="s">
        <v>74</v>
      </c>
      <c r="K973" s="154" t="s">
        <v>3394</v>
      </c>
      <c r="L973" s="154"/>
      <c r="M973" s="156"/>
      <c r="N973" s="154" t="str">
        <f>IF(ISNUMBER(PL[[#This Row],[CTO]]),"CTO "&amp;PL[[#This Row],[CTO]],"Otros")</f>
        <v>CTO 10</v>
      </c>
      <c r="O973" s="154" t="str">
        <f>IF(PL[[#This Row],[STATUS IUP]]="CERRADO","CERRADO",IF(ISNUMBER(SEARCH("validacion de enel",PL[[#This Row],[SUPPLIER NOTES]])),"PTE Validar Enel","ABIERTO"))</f>
        <v>CERRADO</v>
      </c>
      <c r="P973" s="154" t="str">
        <f>IF(PL[[#This Row],[ESTADO]]="CERRADO","Cerrados IUP",IF(PL[[#This Row],[ESTADO]]="PTE Validar Enel","Pendiente cierre ENEL",IF(ISNUMBER(SEARCH("suministro",PL[[#This Row],[SUPPLIER NOTES]])),"Suministros",IF(PL[[#This Row],[SC]]="SOCIAL","Social",IF(ISNUMBER(SEARCH("monolito",PL[[#This Row],[DESCRIPTION]])),"Monolitos","Varios")))))</f>
        <v>Cerrados IUP</v>
      </c>
      <c r="Q9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4" spans="1:17" s="157" customFormat="1" hidden="1" x14ac:dyDescent="0.2">
      <c r="A974" s="151" t="s">
        <v>2437</v>
      </c>
      <c r="B974" s="154" t="s">
        <v>1314</v>
      </c>
      <c r="C974" s="152">
        <v>10</v>
      </c>
      <c r="D974" s="153" t="s">
        <v>3384</v>
      </c>
      <c r="E974" s="154" t="s">
        <v>2438</v>
      </c>
      <c r="F974" s="154" t="s">
        <v>2439</v>
      </c>
      <c r="G974" s="154" t="s">
        <v>1290</v>
      </c>
      <c r="H974" s="154"/>
      <c r="I974" s="154"/>
      <c r="J974" s="154" t="s">
        <v>74</v>
      </c>
      <c r="K974" s="154" t="s">
        <v>3394</v>
      </c>
      <c r="L974" s="154"/>
      <c r="M974" s="156"/>
      <c r="N974" s="154" t="str">
        <f>IF(ISNUMBER(PL[[#This Row],[CTO]]),"CTO "&amp;PL[[#This Row],[CTO]],"Otros")</f>
        <v>CTO 10</v>
      </c>
      <c r="O974" s="154" t="str">
        <f>IF(PL[[#This Row],[STATUS IUP]]="CERRADO","CERRADO",IF(ISNUMBER(SEARCH("validacion de enel",PL[[#This Row],[SUPPLIER NOTES]])),"PTE Validar Enel","ABIERTO"))</f>
        <v>CERRADO</v>
      </c>
      <c r="P974" s="154" t="str">
        <f>IF(PL[[#This Row],[ESTADO]]="CERRADO","Cerrados IUP",IF(PL[[#This Row],[ESTADO]]="PTE Validar Enel","Pendiente cierre ENEL",IF(ISNUMBER(SEARCH("suministro",PL[[#This Row],[SUPPLIER NOTES]])),"Suministros",IF(PL[[#This Row],[SC]]="SOCIAL","Social",IF(ISNUMBER(SEARCH("monolito",PL[[#This Row],[DESCRIPTION]])),"Monolitos","Varios")))))</f>
        <v>Cerrados IUP</v>
      </c>
      <c r="Q9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5" spans="1:17" s="157" customFormat="1" hidden="1" x14ac:dyDescent="0.2">
      <c r="A975" s="151" t="s">
        <v>2774</v>
      </c>
      <c r="B975" s="154" t="s">
        <v>1314</v>
      </c>
      <c r="C975" s="152">
        <v>10</v>
      </c>
      <c r="D975" s="153" t="s">
        <v>3384</v>
      </c>
      <c r="E975" s="154" t="s">
        <v>2775</v>
      </c>
      <c r="F975" s="154" t="s">
        <v>2776</v>
      </c>
      <c r="G975" s="154" t="s">
        <v>1290</v>
      </c>
      <c r="H975" s="154"/>
      <c r="I975" s="154"/>
      <c r="J975" s="154" t="s">
        <v>74</v>
      </c>
      <c r="K975" s="154" t="s">
        <v>3394</v>
      </c>
      <c r="L975" s="154"/>
      <c r="M975" s="156"/>
      <c r="N975" s="154" t="str">
        <f>IF(ISNUMBER(PL[[#This Row],[CTO]]),"CTO "&amp;PL[[#This Row],[CTO]],"Otros")</f>
        <v>CTO 10</v>
      </c>
      <c r="O975" s="154" t="str">
        <f>IF(PL[[#This Row],[STATUS IUP]]="CERRADO","CERRADO",IF(ISNUMBER(SEARCH("validacion de enel",PL[[#This Row],[SUPPLIER NOTES]])),"PTE Validar Enel","ABIERTO"))</f>
        <v>CERRADO</v>
      </c>
      <c r="P975" s="154" t="str">
        <f>IF(PL[[#This Row],[ESTADO]]="CERRADO","Cerrados IUP",IF(PL[[#This Row],[ESTADO]]="PTE Validar Enel","Pendiente cierre ENEL",IF(ISNUMBER(SEARCH("suministro",PL[[#This Row],[SUPPLIER NOTES]])),"Suministros",IF(PL[[#This Row],[SC]]="SOCIAL","Social",IF(ISNUMBER(SEARCH("monolito",PL[[#This Row],[DESCRIPTION]])),"Monolitos","Varios")))))</f>
        <v>Cerrados IUP</v>
      </c>
      <c r="Q9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6" spans="1:17" s="157" customFormat="1" hidden="1" x14ac:dyDescent="0.2">
      <c r="A976" s="151" t="s">
        <v>1991</v>
      </c>
      <c r="B976" s="154" t="s">
        <v>1314</v>
      </c>
      <c r="C976" s="152">
        <v>10</v>
      </c>
      <c r="D976" s="153" t="s">
        <v>3384</v>
      </c>
      <c r="E976" s="154" t="s">
        <v>1992</v>
      </c>
      <c r="F976" s="154" t="s">
        <v>1993</v>
      </c>
      <c r="G976" s="154" t="s">
        <v>1290</v>
      </c>
      <c r="H976" s="154"/>
      <c r="I976" s="154"/>
      <c r="J976" s="154" t="s">
        <v>74</v>
      </c>
      <c r="K976" s="154" t="s">
        <v>3394</v>
      </c>
      <c r="L976" s="154"/>
      <c r="M976" s="156"/>
      <c r="N976" s="154" t="str">
        <f>IF(ISNUMBER(PL[[#This Row],[CTO]]),"CTO "&amp;PL[[#This Row],[CTO]],"Otros")</f>
        <v>CTO 10</v>
      </c>
      <c r="O976" s="154" t="str">
        <f>IF(PL[[#This Row],[STATUS IUP]]="CERRADO","CERRADO",IF(ISNUMBER(SEARCH("validacion de enel",PL[[#This Row],[SUPPLIER NOTES]])),"PTE Validar Enel","ABIERTO"))</f>
        <v>CERRADO</v>
      </c>
      <c r="P976" s="154" t="str">
        <f>IF(PL[[#This Row],[ESTADO]]="CERRADO","Cerrados IUP",IF(PL[[#This Row],[ESTADO]]="PTE Validar Enel","Pendiente cierre ENEL",IF(ISNUMBER(SEARCH("suministro",PL[[#This Row],[SUPPLIER NOTES]])),"Suministros",IF(PL[[#This Row],[SC]]="SOCIAL","Social",IF(ISNUMBER(SEARCH("monolito",PL[[#This Row],[DESCRIPTION]])),"Monolitos","Varios")))))</f>
        <v>Cerrados IUP</v>
      </c>
      <c r="Q9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7" spans="1:17" s="157" customFormat="1" hidden="1" x14ac:dyDescent="0.2">
      <c r="A977" s="151" t="s">
        <v>2780</v>
      </c>
      <c r="B977" s="154" t="s">
        <v>41</v>
      </c>
      <c r="C977" s="152">
        <v>10</v>
      </c>
      <c r="D977" s="153" t="s">
        <v>3384</v>
      </c>
      <c r="E977" s="154" t="s">
        <v>2781</v>
      </c>
      <c r="F977" s="154" t="s">
        <v>2782</v>
      </c>
      <c r="G977" s="154" t="s">
        <v>1290</v>
      </c>
      <c r="H977" s="154"/>
      <c r="I977" s="154"/>
      <c r="J977" s="154" t="s">
        <v>74</v>
      </c>
      <c r="K977" s="154" t="s">
        <v>3394</v>
      </c>
      <c r="L977" s="154"/>
      <c r="M977" s="156"/>
      <c r="N977" s="154" t="str">
        <f>IF(ISNUMBER(PL[[#This Row],[CTO]]),"CTO "&amp;PL[[#This Row],[CTO]],"Otros")</f>
        <v>CTO 10</v>
      </c>
      <c r="O977" s="154" t="str">
        <f>IF(PL[[#This Row],[STATUS IUP]]="CERRADO","CERRADO",IF(ISNUMBER(SEARCH("validacion de enel",PL[[#This Row],[SUPPLIER NOTES]])),"PTE Validar Enel","ABIERTO"))</f>
        <v>CERRADO</v>
      </c>
      <c r="P977" s="154" t="str">
        <f>IF(PL[[#This Row],[ESTADO]]="CERRADO","Cerrados IUP",IF(PL[[#This Row],[ESTADO]]="PTE Validar Enel","Pendiente cierre ENEL",IF(ISNUMBER(SEARCH("suministro",PL[[#This Row],[SUPPLIER NOTES]])),"Suministros",IF(PL[[#This Row],[SC]]="SOCIAL","Social",IF(ISNUMBER(SEARCH("monolito",PL[[#This Row],[DESCRIPTION]])),"Monolitos","Varios")))))</f>
        <v>Cerrados IUP</v>
      </c>
      <c r="Q9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8" spans="1:17" s="157" customFormat="1" hidden="1" x14ac:dyDescent="0.2">
      <c r="A978" s="151" t="s">
        <v>2609</v>
      </c>
      <c r="B978" s="154" t="s">
        <v>41</v>
      </c>
      <c r="C978" s="152">
        <v>10</v>
      </c>
      <c r="D978" s="153" t="s">
        <v>3384</v>
      </c>
      <c r="E978" s="154" t="s">
        <v>2610</v>
      </c>
      <c r="F978" s="154" t="s">
        <v>2611</v>
      </c>
      <c r="G978" s="154" t="s">
        <v>1290</v>
      </c>
      <c r="H978" s="154"/>
      <c r="I978" s="154"/>
      <c r="J978" s="154" t="s">
        <v>74</v>
      </c>
      <c r="K978" s="154" t="s">
        <v>3394</v>
      </c>
      <c r="L978" s="154"/>
      <c r="M978" s="156"/>
      <c r="N978" s="154" t="str">
        <f>IF(ISNUMBER(PL[[#This Row],[CTO]]),"CTO "&amp;PL[[#This Row],[CTO]],"Otros")</f>
        <v>CTO 10</v>
      </c>
      <c r="O978" s="154" t="str">
        <f>IF(PL[[#This Row],[STATUS IUP]]="CERRADO","CERRADO",IF(ISNUMBER(SEARCH("validacion de enel",PL[[#This Row],[SUPPLIER NOTES]])),"PTE Validar Enel","ABIERTO"))</f>
        <v>CERRADO</v>
      </c>
      <c r="P978" s="154" t="str">
        <f>IF(PL[[#This Row],[ESTADO]]="CERRADO","Cerrados IUP",IF(PL[[#This Row],[ESTADO]]="PTE Validar Enel","Pendiente cierre ENEL",IF(ISNUMBER(SEARCH("suministro",PL[[#This Row],[SUPPLIER NOTES]])),"Suministros",IF(PL[[#This Row],[SC]]="SOCIAL","Social",IF(ISNUMBER(SEARCH("monolito",PL[[#This Row],[DESCRIPTION]])),"Monolitos","Varios")))))</f>
        <v>Cerrados IUP</v>
      </c>
      <c r="Q9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79" spans="1:17" s="157" customFormat="1" hidden="1" x14ac:dyDescent="0.2">
      <c r="A979" s="151" t="s">
        <v>2943</v>
      </c>
      <c r="B979" s="154" t="s">
        <v>41</v>
      </c>
      <c r="C979" s="152">
        <v>10</v>
      </c>
      <c r="D979" s="153" t="s">
        <v>3384</v>
      </c>
      <c r="E979" s="154" t="s">
        <v>2944</v>
      </c>
      <c r="F979" s="154" t="s">
        <v>2945</v>
      </c>
      <c r="G979" s="154" t="s">
        <v>1290</v>
      </c>
      <c r="H979" s="154"/>
      <c r="I979" s="154"/>
      <c r="J979" s="154" t="s">
        <v>74</v>
      </c>
      <c r="K979" s="154" t="s">
        <v>3394</v>
      </c>
      <c r="L979" s="154"/>
      <c r="M979" s="156"/>
      <c r="N979" s="154" t="str">
        <f>IF(ISNUMBER(PL[[#This Row],[CTO]]),"CTO "&amp;PL[[#This Row],[CTO]],"Otros")</f>
        <v>CTO 10</v>
      </c>
      <c r="O979" s="154" t="str">
        <f>IF(PL[[#This Row],[STATUS IUP]]="CERRADO","CERRADO",IF(ISNUMBER(SEARCH("validacion de enel",PL[[#This Row],[SUPPLIER NOTES]])),"PTE Validar Enel","ABIERTO"))</f>
        <v>CERRADO</v>
      </c>
      <c r="P979" s="154" t="str">
        <f>IF(PL[[#This Row],[ESTADO]]="CERRADO","Cerrados IUP",IF(PL[[#This Row],[ESTADO]]="PTE Validar Enel","Pendiente cierre ENEL",IF(ISNUMBER(SEARCH("suministro",PL[[#This Row],[SUPPLIER NOTES]])),"Suministros",IF(PL[[#This Row],[SC]]="SOCIAL","Social",IF(ISNUMBER(SEARCH("monolito",PL[[#This Row],[DESCRIPTION]])),"Monolitos","Varios")))))</f>
        <v>Cerrados IUP</v>
      </c>
      <c r="Q9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0" spans="1:17" s="157" customFormat="1" hidden="1" x14ac:dyDescent="0.2">
      <c r="A980" s="151" t="s">
        <v>2669</v>
      </c>
      <c r="B980" s="154" t="s">
        <v>1291</v>
      </c>
      <c r="C980" s="152">
        <v>10</v>
      </c>
      <c r="D980" s="153" t="s">
        <v>3384</v>
      </c>
      <c r="E980" s="154" t="s">
        <v>2670</v>
      </c>
      <c r="F980" s="154" t="s">
        <v>2671</v>
      </c>
      <c r="G980" s="154" t="s">
        <v>1290</v>
      </c>
      <c r="H980" s="154" t="s">
        <v>163</v>
      </c>
      <c r="I980" s="154" t="s">
        <v>163</v>
      </c>
      <c r="J980" s="154" t="s">
        <v>74</v>
      </c>
      <c r="K980" s="154" t="s">
        <v>3394</v>
      </c>
      <c r="L980" s="161">
        <v>46231</v>
      </c>
      <c r="M980" s="160">
        <v>46231</v>
      </c>
      <c r="N980" s="154" t="str">
        <f>IF(ISNUMBER(PL[[#This Row],[CTO]]),"CTO "&amp;PL[[#This Row],[CTO]],"Otros")</f>
        <v>CTO 10</v>
      </c>
      <c r="O980" s="154" t="str">
        <f>IF(PL[[#This Row],[STATUS IUP]]="CERRADO","CERRADO",IF(ISNUMBER(SEARCH("validacion de enel",PL[[#This Row],[SUPPLIER NOTES]])),"PTE Validar Enel","ABIERTO"))</f>
        <v>CERRADO</v>
      </c>
      <c r="P980" s="154" t="str">
        <f>IF(PL[[#This Row],[ESTADO]]="CERRADO","Cerrados IUP",IF(PL[[#This Row],[ESTADO]]="PTE Validar Enel","Pendiente cierre ENEL",IF(ISNUMBER(SEARCH("suministro",PL[[#This Row],[SUPPLIER NOTES]])),"Suministros",IF(PL[[#This Row],[SC]]="SOCIAL","Social",IF(ISNUMBER(SEARCH("monolito",PL[[#This Row],[DESCRIPTION]])),"Monolitos","Varios")))))</f>
        <v>Cerrados IUP</v>
      </c>
      <c r="Q9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1" spans="1:17" s="157" customFormat="1" hidden="1" x14ac:dyDescent="0.2">
      <c r="A981" s="151" t="s">
        <v>1571</v>
      </c>
      <c r="B981" s="154" t="s">
        <v>41</v>
      </c>
      <c r="C981" s="152">
        <v>10</v>
      </c>
      <c r="D981" s="153" t="s">
        <v>3384</v>
      </c>
      <c r="E981" s="154" t="s">
        <v>1572</v>
      </c>
      <c r="F981" s="154" t="s">
        <v>1573</v>
      </c>
      <c r="G981" s="154" t="s">
        <v>1289</v>
      </c>
      <c r="H981" s="154"/>
      <c r="I981" s="154"/>
      <c r="J981" s="154" t="s">
        <v>74</v>
      </c>
      <c r="K981" s="154" t="s">
        <v>3394</v>
      </c>
      <c r="L981" s="154"/>
      <c r="M981" s="156"/>
      <c r="N981" s="154" t="str">
        <f>IF(ISNUMBER(PL[[#This Row],[CTO]]),"CTO "&amp;PL[[#This Row],[CTO]],"Otros")</f>
        <v>CTO 10</v>
      </c>
      <c r="O981" s="154" t="str">
        <f>IF(PL[[#This Row],[STATUS IUP]]="CERRADO","CERRADO",IF(ISNUMBER(SEARCH("validacion de enel",PL[[#This Row],[SUPPLIER NOTES]])),"PTE Validar Enel","ABIERTO"))</f>
        <v>CERRADO</v>
      </c>
      <c r="P981" s="154" t="str">
        <f>IF(PL[[#This Row],[ESTADO]]="CERRADO","Cerrados IUP",IF(PL[[#This Row],[ESTADO]]="PTE Validar Enel","Pendiente cierre ENEL",IF(ISNUMBER(SEARCH("suministro",PL[[#This Row],[SUPPLIER NOTES]])),"Suministros",IF(PL[[#This Row],[SC]]="SOCIAL","Social",IF(ISNUMBER(SEARCH("monolito",PL[[#This Row],[DESCRIPTION]])),"Monolitos","Varios")))))</f>
        <v>Cerrados IUP</v>
      </c>
      <c r="Q9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2" spans="1:17" s="157" customFormat="1" hidden="1" x14ac:dyDescent="0.2">
      <c r="A982" s="151" t="s">
        <v>2606</v>
      </c>
      <c r="B982" s="154" t="s">
        <v>1291</v>
      </c>
      <c r="C982" s="152">
        <v>10</v>
      </c>
      <c r="D982" s="153" t="s">
        <v>3384</v>
      </c>
      <c r="E982" s="154" t="s">
        <v>2607</v>
      </c>
      <c r="F982" s="154" t="s">
        <v>2608</v>
      </c>
      <c r="G982" s="154" t="s">
        <v>1290</v>
      </c>
      <c r="H982" s="154"/>
      <c r="I982" s="154"/>
      <c r="J982" s="154" t="s">
        <v>74</v>
      </c>
      <c r="K982" s="154" t="s">
        <v>3394</v>
      </c>
      <c r="L982" s="154"/>
      <c r="M982" s="156"/>
      <c r="N982" s="154" t="str">
        <f>IF(ISNUMBER(PL[[#This Row],[CTO]]),"CTO "&amp;PL[[#This Row],[CTO]],"Otros")</f>
        <v>CTO 10</v>
      </c>
      <c r="O982" s="154" t="str">
        <f>IF(PL[[#This Row],[STATUS IUP]]="CERRADO","CERRADO",IF(ISNUMBER(SEARCH("validacion de enel",PL[[#This Row],[SUPPLIER NOTES]])),"PTE Validar Enel","ABIERTO"))</f>
        <v>CERRADO</v>
      </c>
      <c r="P982" s="154" t="str">
        <f>IF(PL[[#This Row],[ESTADO]]="CERRADO","Cerrados IUP",IF(PL[[#This Row],[ESTADO]]="PTE Validar Enel","Pendiente cierre ENEL",IF(ISNUMBER(SEARCH("suministro",PL[[#This Row],[SUPPLIER NOTES]])),"Suministros",IF(PL[[#This Row],[SC]]="SOCIAL","Social",IF(ISNUMBER(SEARCH("monolito",PL[[#This Row],[DESCRIPTION]])),"Monolitos","Varios")))))</f>
        <v>Cerrados IUP</v>
      </c>
      <c r="Q9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3" spans="1:17" s="157" customFormat="1" hidden="1" x14ac:dyDescent="0.2">
      <c r="A983" s="151" t="s">
        <v>1579</v>
      </c>
      <c r="B983" s="154" t="s">
        <v>929</v>
      </c>
      <c r="C983" s="152">
        <v>10</v>
      </c>
      <c r="D983" s="153" t="s">
        <v>3384</v>
      </c>
      <c r="E983" s="154" t="s">
        <v>1580</v>
      </c>
      <c r="F983" s="154" t="s">
        <v>1581</v>
      </c>
      <c r="G983" s="154" t="s">
        <v>1290</v>
      </c>
      <c r="H983" s="154"/>
      <c r="I983" s="154"/>
      <c r="J983" s="154" t="s">
        <v>74</v>
      </c>
      <c r="K983" s="154" t="s">
        <v>3394</v>
      </c>
      <c r="L983" s="154"/>
      <c r="M983" s="156"/>
      <c r="N983" s="154" t="str">
        <f>IF(ISNUMBER(PL[[#This Row],[CTO]]),"CTO "&amp;PL[[#This Row],[CTO]],"Otros")</f>
        <v>CTO 10</v>
      </c>
      <c r="O983" s="154" t="str">
        <f>IF(PL[[#This Row],[STATUS IUP]]="CERRADO","CERRADO",IF(ISNUMBER(SEARCH("validacion de enel",PL[[#This Row],[SUPPLIER NOTES]])),"PTE Validar Enel","ABIERTO"))</f>
        <v>CERRADO</v>
      </c>
      <c r="P983" s="154" t="str">
        <f>IF(PL[[#This Row],[ESTADO]]="CERRADO","Cerrados IUP",IF(PL[[#This Row],[ESTADO]]="PTE Validar Enel","Pendiente cierre ENEL",IF(ISNUMBER(SEARCH("suministro",PL[[#This Row],[SUPPLIER NOTES]])),"Suministros",IF(PL[[#This Row],[SC]]="SOCIAL","Social",IF(ISNUMBER(SEARCH("monolito",PL[[#This Row],[DESCRIPTION]])),"Monolitos","Varios")))))</f>
        <v>Cerrados IUP</v>
      </c>
      <c r="Q9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4" spans="1:17" s="157" customFormat="1" hidden="1" x14ac:dyDescent="0.2">
      <c r="A984" s="151" t="s">
        <v>1687</v>
      </c>
      <c r="B984" s="154" t="s">
        <v>8</v>
      </c>
      <c r="C984" s="152">
        <v>10</v>
      </c>
      <c r="D984" s="153" t="s">
        <v>3384</v>
      </c>
      <c r="E984" s="154" t="s">
        <v>1688</v>
      </c>
      <c r="F984" s="154" t="s">
        <v>1689</v>
      </c>
      <c r="G984" s="154" t="s">
        <v>1290</v>
      </c>
      <c r="H984" s="154"/>
      <c r="I984" s="154"/>
      <c r="J984" s="154" t="s">
        <v>74</v>
      </c>
      <c r="K984" s="154" t="s">
        <v>3394</v>
      </c>
      <c r="L984" s="154"/>
      <c r="M984" s="156"/>
      <c r="N984" s="154" t="str">
        <f>IF(ISNUMBER(PL[[#This Row],[CTO]]),"CTO "&amp;PL[[#This Row],[CTO]],"Otros")</f>
        <v>CTO 10</v>
      </c>
      <c r="O984" s="154" t="str">
        <f>IF(PL[[#This Row],[STATUS IUP]]="CERRADO","CERRADO",IF(ISNUMBER(SEARCH("validacion de enel",PL[[#This Row],[SUPPLIER NOTES]])),"PTE Validar Enel","ABIERTO"))</f>
        <v>CERRADO</v>
      </c>
      <c r="P984" s="154" t="str">
        <f>IF(PL[[#This Row],[ESTADO]]="CERRADO","Cerrados IUP",IF(PL[[#This Row],[ESTADO]]="PTE Validar Enel","Pendiente cierre ENEL",IF(ISNUMBER(SEARCH("suministro",PL[[#This Row],[SUPPLIER NOTES]])),"Suministros",IF(PL[[#This Row],[SC]]="SOCIAL","Social",IF(ISNUMBER(SEARCH("monolito",PL[[#This Row],[DESCRIPTION]])),"Monolitos","Varios")))))</f>
        <v>Cerrados IUP</v>
      </c>
      <c r="Q9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5" spans="1:17" s="157" customFormat="1" hidden="1" x14ac:dyDescent="0.2">
      <c r="A985" s="151" t="s">
        <v>2061</v>
      </c>
      <c r="B985" s="154" t="s">
        <v>1314</v>
      </c>
      <c r="C985" s="152">
        <v>10</v>
      </c>
      <c r="D985" s="153" t="s">
        <v>3384</v>
      </c>
      <c r="E985" s="154" t="s">
        <v>2062</v>
      </c>
      <c r="F985" s="154" t="s">
        <v>2063</v>
      </c>
      <c r="G985" s="154" t="s">
        <v>1290</v>
      </c>
      <c r="H985" s="154"/>
      <c r="I985" s="154"/>
      <c r="J985" s="154" t="s">
        <v>74</v>
      </c>
      <c r="K985" s="154" t="s">
        <v>3394</v>
      </c>
      <c r="L985" s="154"/>
      <c r="M985" s="156"/>
      <c r="N985" s="154" t="str">
        <f>IF(ISNUMBER(PL[[#This Row],[CTO]]),"CTO "&amp;PL[[#This Row],[CTO]],"Otros")</f>
        <v>CTO 10</v>
      </c>
      <c r="O985" s="154" t="str">
        <f>IF(PL[[#This Row],[STATUS IUP]]="CERRADO","CERRADO",IF(ISNUMBER(SEARCH("validacion de enel",PL[[#This Row],[SUPPLIER NOTES]])),"PTE Validar Enel","ABIERTO"))</f>
        <v>CERRADO</v>
      </c>
      <c r="P985" s="154" t="str">
        <f>IF(PL[[#This Row],[ESTADO]]="CERRADO","Cerrados IUP",IF(PL[[#This Row],[ESTADO]]="PTE Validar Enel","Pendiente cierre ENEL",IF(ISNUMBER(SEARCH("suministro",PL[[#This Row],[SUPPLIER NOTES]])),"Suministros",IF(PL[[#This Row],[SC]]="SOCIAL","Social",IF(ISNUMBER(SEARCH("monolito",PL[[#This Row],[DESCRIPTION]])),"Monolitos","Varios")))))</f>
        <v>Cerrados IUP</v>
      </c>
      <c r="Q9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6" spans="1:17" s="157" customFormat="1" hidden="1" x14ac:dyDescent="0.2">
      <c r="A986" s="151" t="s">
        <v>2298</v>
      </c>
      <c r="B986" s="154" t="s">
        <v>1314</v>
      </c>
      <c r="C986" s="152">
        <v>10</v>
      </c>
      <c r="D986" s="153" t="s">
        <v>3384</v>
      </c>
      <c r="E986" s="154" t="s">
        <v>2299</v>
      </c>
      <c r="F986" s="154" t="s">
        <v>2300</v>
      </c>
      <c r="G986" s="154" t="s">
        <v>1290</v>
      </c>
      <c r="H986" s="154"/>
      <c r="I986" s="154"/>
      <c r="J986" s="154" t="s">
        <v>74</v>
      </c>
      <c r="K986" s="154" t="s">
        <v>3394</v>
      </c>
      <c r="L986" s="154"/>
      <c r="M986" s="156"/>
      <c r="N986" s="154" t="str">
        <f>IF(ISNUMBER(PL[[#This Row],[CTO]]),"CTO "&amp;PL[[#This Row],[CTO]],"Otros")</f>
        <v>CTO 10</v>
      </c>
      <c r="O986" s="154" t="str">
        <f>IF(PL[[#This Row],[STATUS IUP]]="CERRADO","CERRADO",IF(ISNUMBER(SEARCH("validacion de enel",PL[[#This Row],[SUPPLIER NOTES]])),"PTE Validar Enel","ABIERTO"))</f>
        <v>CERRADO</v>
      </c>
      <c r="P986" s="154" t="str">
        <f>IF(PL[[#This Row],[ESTADO]]="CERRADO","Cerrados IUP",IF(PL[[#This Row],[ESTADO]]="PTE Validar Enel","Pendiente cierre ENEL",IF(ISNUMBER(SEARCH("suministro",PL[[#This Row],[SUPPLIER NOTES]])),"Suministros",IF(PL[[#This Row],[SC]]="SOCIAL","Social",IF(ISNUMBER(SEARCH("monolito",PL[[#This Row],[DESCRIPTION]])),"Monolitos","Varios")))))</f>
        <v>Cerrados IUP</v>
      </c>
      <c r="Q9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7" spans="1:17" s="157" customFormat="1" hidden="1" x14ac:dyDescent="0.2">
      <c r="A987" s="151" t="s">
        <v>1841</v>
      </c>
      <c r="B987" s="154" t="s">
        <v>1314</v>
      </c>
      <c r="C987" s="152">
        <v>10</v>
      </c>
      <c r="D987" s="153" t="s">
        <v>3384</v>
      </c>
      <c r="E987" s="154" t="s">
        <v>1842</v>
      </c>
      <c r="F987" s="154" t="s">
        <v>1843</v>
      </c>
      <c r="G987" s="154" t="s">
        <v>1290</v>
      </c>
      <c r="H987" s="154"/>
      <c r="I987" s="154"/>
      <c r="J987" s="154" t="s">
        <v>74</v>
      </c>
      <c r="K987" s="154" t="s">
        <v>3394</v>
      </c>
      <c r="L987" s="154"/>
      <c r="M987" s="156"/>
      <c r="N987" s="154" t="str">
        <f>IF(ISNUMBER(PL[[#This Row],[CTO]]),"CTO "&amp;PL[[#This Row],[CTO]],"Otros")</f>
        <v>CTO 10</v>
      </c>
      <c r="O987" s="154" t="str">
        <f>IF(PL[[#This Row],[STATUS IUP]]="CERRADO","CERRADO",IF(ISNUMBER(SEARCH("validacion de enel",PL[[#This Row],[SUPPLIER NOTES]])),"PTE Validar Enel","ABIERTO"))</f>
        <v>CERRADO</v>
      </c>
      <c r="P987" s="154" t="str">
        <f>IF(PL[[#This Row],[ESTADO]]="CERRADO","Cerrados IUP",IF(PL[[#This Row],[ESTADO]]="PTE Validar Enel","Pendiente cierre ENEL",IF(ISNUMBER(SEARCH("suministro",PL[[#This Row],[SUPPLIER NOTES]])),"Suministros",IF(PL[[#This Row],[SC]]="SOCIAL","Social",IF(ISNUMBER(SEARCH("monolito",PL[[#This Row],[DESCRIPTION]])),"Monolitos","Varios")))))</f>
        <v>Cerrados IUP</v>
      </c>
      <c r="Q9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8" spans="1:17" s="157" customFormat="1" hidden="1" x14ac:dyDescent="0.2">
      <c r="A988" s="151" t="s">
        <v>1988</v>
      </c>
      <c r="B988" s="154" t="s">
        <v>41</v>
      </c>
      <c r="C988" s="152">
        <v>10</v>
      </c>
      <c r="D988" s="153" t="s">
        <v>3384</v>
      </c>
      <c r="E988" s="154" t="s">
        <v>1989</v>
      </c>
      <c r="F988" s="154" t="s">
        <v>1990</v>
      </c>
      <c r="G988" s="154" t="s">
        <v>1290</v>
      </c>
      <c r="H988" s="154"/>
      <c r="I988" s="154"/>
      <c r="J988" s="154" t="s">
        <v>74</v>
      </c>
      <c r="K988" s="154" t="s">
        <v>3394</v>
      </c>
      <c r="L988" s="154"/>
      <c r="M988" s="156"/>
      <c r="N988" s="154" t="str">
        <f>IF(ISNUMBER(PL[[#This Row],[CTO]]),"CTO "&amp;PL[[#This Row],[CTO]],"Otros")</f>
        <v>CTO 10</v>
      </c>
      <c r="O988" s="154" t="str">
        <f>IF(PL[[#This Row],[STATUS IUP]]="CERRADO","CERRADO",IF(ISNUMBER(SEARCH("validacion de enel",PL[[#This Row],[SUPPLIER NOTES]])),"PTE Validar Enel","ABIERTO"))</f>
        <v>CERRADO</v>
      </c>
      <c r="P988" s="154" t="str">
        <f>IF(PL[[#This Row],[ESTADO]]="CERRADO","Cerrados IUP",IF(PL[[#This Row],[ESTADO]]="PTE Validar Enel","Pendiente cierre ENEL",IF(ISNUMBER(SEARCH("suministro",PL[[#This Row],[SUPPLIER NOTES]])),"Suministros",IF(PL[[#This Row],[SC]]="SOCIAL","Social",IF(ISNUMBER(SEARCH("monolito",PL[[#This Row],[DESCRIPTION]])),"Monolitos","Varios")))))</f>
        <v>Cerrados IUP</v>
      </c>
      <c r="Q9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89" spans="1:17" s="157" customFormat="1" hidden="1" x14ac:dyDescent="0.2">
      <c r="A989" s="151" t="s">
        <v>1811</v>
      </c>
      <c r="B989" s="154" t="s">
        <v>41</v>
      </c>
      <c r="C989" s="152">
        <v>10</v>
      </c>
      <c r="D989" s="153" t="s">
        <v>3384</v>
      </c>
      <c r="E989" s="154" t="s">
        <v>1812</v>
      </c>
      <c r="F989" s="154" t="s">
        <v>1813</v>
      </c>
      <c r="G989" s="154" t="s">
        <v>1290</v>
      </c>
      <c r="H989" s="154" t="s">
        <v>163</v>
      </c>
      <c r="I989" s="154" t="s">
        <v>163</v>
      </c>
      <c r="J989" s="154" t="s">
        <v>74</v>
      </c>
      <c r="K989" s="154" t="s">
        <v>3394</v>
      </c>
      <c r="L989" s="161">
        <v>46231</v>
      </c>
      <c r="M989" s="160">
        <v>46231</v>
      </c>
      <c r="N989" s="154" t="str">
        <f>IF(ISNUMBER(PL[[#This Row],[CTO]]),"CTO "&amp;PL[[#This Row],[CTO]],"Otros")</f>
        <v>CTO 10</v>
      </c>
      <c r="O989" s="154" t="str">
        <f>IF(PL[[#This Row],[STATUS IUP]]="CERRADO","CERRADO",IF(ISNUMBER(SEARCH("validacion de enel",PL[[#This Row],[SUPPLIER NOTES]])),"PTE Validar Enel","ABIERTO"))</f>
        <v>CERRADO</v>
      </c>
      <c r="P989" s="154" t="str">
        <f>IF(PL[[#This Row],[ESTADO]]="CERRADO","Cerrados IUP",IF(PL[[#This Row],[ESTADO]]="PTE Validar Enel","Pendiente cierre ENEL",IF(ISNUMBER(SEARCH("suministro",PL[[#This Row],[SUPPLIER NOTES]])),"Suministros",IF(PL[[#This Row],[SC]]="SOCIAL","Social",IF(ISNUMBER(SEARCH("monolito",PL[[#This Row],[DESCRIPTION]])),"Monolitos","Varios")))))</f>
        <v>Cerrados IUP</v>
      </c>
      <c r="Q9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0" spans="1:17" s="157" customFormat="1" hidden="1" x14ac:dyDescent="0.2">
      <c r="A990" s="151" t="s">
        <v>1838</v>
      </c>
      <c r="B990" s="154" t="s">
        <v>1291</v>
      </c>
      <c r="C990" s="152">
        <v>10</v>
      </c>
      <c r="D990" s="153" t="s">
        <v>3384</v>
      </c>
      <c r="E990" s="154" t="s">
        <v>1839</v>
      </c>
      <c r="F990" s="154" t="s">
        <v>1840</v>
      </c>
      <c r="G990" s="154" t="s">
        <v>1290</v>
      </c>
      <c r="H990" s="154" t="s">
        <v>163</v>
      </c>
      <c r="I990" s="154" t="s">
        <v>163</v>
      </c>
      <c r="J990" s="154" t="s">
        <v>74</v>
      </c>
      <c r="K990" s="154" t="s">
        <v>3394</v>
      </c>
      <c r="L990" s="161">
        <v>46231</v>
      </c>
      <c r="M990" s="160">
        <v>46231</v>
      </c>
      <c r="N990" s="154" t="str">
        <f>IF(ISNUMBER(PL[[#This Row],[CTO]]),"CTO "&amp;PL[[#This Row],[CTO]],"Otros")</f>
        <v>CTO 10</v>
      </c>
      <c r="O990" s="154" t="str">
        <f>IF(PL[[#This Row],[STATUS IUP]]="CERRADO","CERRADO",IF(ISNUMBER(SEARCH("validacion de enel",PL[[#This Row],[SUPPLIER NOTES]])),"PTE Validar Enel","ABIERTO"))</f>
        <v>CERRADO</v>
      </c>
      <c r="P990" s="154" t="str">
        <f>IF(PL[[#This Row],[ESTADO]]="CERRADO","Cerrados IUP",IF(PL[[#This Row],[ESTADO]]="PTE Validar Enel","Pendiente cierre ENEL",IF(ISNUMBER(SEARCH("suministro",PL[[#This Row],[SUPPLIER NOTES]])),"Suministros",IF(PL[[#This Row],[SC]]="SOCIAL","Social",IF(ISNUMBER(SEARCH("monolito",PL[[#This Row],[DESCRIPTION]])),"Monolitos","Varios")))))</f>
        <v>Cerrados IUP</v>
      </c>
      <c r="Q9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1" spans="1:17" s="157" customFormat="1" hidden="1" x14ac:dyDescent="0.2">
      <c r="A991" s="151" t="s">
        <v>1835</v>
      </c>
      <c r="B991" s="154" t="s">
        <v>8</v>
      </c>
      <c r="C991" s="152">
        <v>10</v>
      </c>
      <c r="D991" s="153" t="s">
        <v>3384</v>
      </c>
      <c r="E991" s="154" t="s">
        <v>1836</v>
      </c>
      <c r="F991" s="154" t="s">
        <v>1837</v>
      </c>
      <c r="G991" s="154" t="s">
        <v>1290</v>
      </c>
      <c r="H991" s="154"/>
      <c r="I991" s="154"/>
      <c r="J991" s="154" t="s">
        <v>74</v>
      </c>
      <c r="K991" s="154" t="s">
        <v>3394</v>
      </c>
      <c r="L991" s="154"/>
      <c r="M991" s="156"/>
      <c r="N991" s="154" t="str">
        <f>IF(ISNUMBER(PL[[#This Row],[CTO]]),"CTO "&amp;PL[[#This Row],[CTO]],"Otros")</f>
        <v>CTO 10</v>
      </c>
      <c r="O991" s="154" t="str">
        <f>IF(PL[[#This Row],[STATUS IUP]]="CERRADO","CERRADO",IF(ISNUMBER(SEARCH("validacion de enel",PL[[#This Row],[SUPPLIER NOTES]])),"PTE Validar Enel","ABIERTO"))</f>
        <v>CERRADO</v>
      </c>
      <c r="P991" s="154" t="str">
        <f>IF(PL[[#This Row],[ESTADO]]="CERRADO","Cerrados IUP",IF(PL[[#This Row],[ESTADO]]="PTE Validar Enel","Pendiente cierre ENEL",IF(ISNUMBER(SEARCH("suministro",PL[[#This Row],[SUPPLIER NOTES]])),"Suministros",IF(PL[[#This Row],[SC]]="SOCIAL","Social",IF(ISNUMBER(SEARCH("monolito",PL[[#This Row],[DESCRIPTION]])),"Monolitos","Varios")))))</f>
        <v>Cerrados IUP</v>
      </c>
      <c r="Q9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2" spans="1:17" s="157" customFormat="1" hidden="1" x14ac:dyDescent="0.2">
      <c r="A992" s="151" t="s">
        <v>2825</v>
      </c>
      <c r="B992" s="154" t="s">
        <v>8</v>
      </c>
      <c r="C992" s="152">
        <v>10</v>
      </c>
      <c r="D992" s="153" t="s">
        <v>3384</v>
      </c>
      <c r="E992" s="154" t="s">
        <v>2826</v>
      </c>
      <c r="F992" s="154" t="s">
        <v>2827</v>
      </c>
      <c r="G992" s="154" t="s">
        <v>1290</v>
      </c>
      <c r="H992" s="154"/>
      <c r="I992" s="154"/>
      <c r="J992" s="154" t="s">
        <v>74</v>
      </c>
      <c r="K992" s="154" t="s">
        <v>3394</v>
      </c>
      <c r="L992" s="154"/>
      <c r="M992" s="156"/>
      <c r="N992" s="154" t="str">
        <f>IF(ISNUMBER(PL[[#This Row],[CTO]]),"CTO "&amp;PL[[#This Row],[CTO]],"Otros")</f>
        <v>CTO 10</v>
      </c>
      <c r="O992" s="154" t="str">
        <f>IF(PL[[#This Row],[STATUS IUP]]="CERRADO","CERRADO",IF(ISNUMBER(SEARCH("validacion de enel",PL[[#This Row],[SUPPLIER NOTES]])),"PTE Validar Enel","ABIERTO"))</f>
        <v>CERRADO</v>
      </c>
      <c r="P992" s="154" t="str">
        <f>IF(PL[[#This Row],[ESTADO]]="CERRADO","Cerrados IUP",IF(PL[[#This Row],[ESTADO]]="PTE Validar Enel","Pendiente cierre ENEL",IF(ISNUMBER(SEARCH("suministro",PL[[#This Row],[SUPPLIER NOTES]])),"Suministros",IF(PL[[#This Row],[SC]]="SOCIAL","Social",IF(ISNUMBER(SEARCH("monolito",PL[[#This Row],[DESCRIPTION]])),"Monolitos","Varios")))))</f>
        <v>Cerrados IUP</v>
      </c>
      <c r="Q9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3" spans="1:17" s="157" customFormat="1" hidden="1" x14ac:dyDescent="0.2">
      <c r="A993" s="151" t="s">
        <v>1985</v>
      </c>
      <c r="B993" s="154" t="s">
        <v>8</v>
      </c>
      <c r="C993" s="152">
        <v>10</v>
      </c>
      <c r="D993" s="153" t="s">
        <v>3384</v>
      </c>
      <c r="E993" s="154" t="s">
        <v>1986</v>
      </c>
      <c r="F993" s="154" t="s">
        <v>1987</v>
      </c>
      <c r="G993" s="154" t="s">
        <v>1290</v>
      </c>
      <c r="H993" s="154"/>
      <c r="I993" s="154"/>
      <c r="J993" s="154" t="s">
        <v>74</v>
      </c>
      <c r="K993" s="154" t="s">
        <v>3394</v>
      </c>
      <c r="L993" s="154"/>
      <c r="M993" s="156"/>
      <c r="N993" s="154" t="str">
        <f>IF(ISNUMBER(PL[[#This Row],[CTO]]),"CTO "&amp;PL[[#This Row],[CTO]],"Otros")</f>
        <v>CTO 10</v>
      </c>
      <c r="O993" s="154" t="str">
        <f>IF(PL[[#This Row],[STATUS IUP]]="CERRADO","CERRADO",IF(ISNUMBER(SEARCH("validacion de enel",PL[[#This Row],[SUPPLIER NOTES]])),"PTE Validar Enel","ABIERTO"))</f>
        <v>CERRADO</v>
      </c>
      <c r="P993" s="154" t="str">
        <f>IF(PL[[#This Row],[ESTADO]]="CERRADO","Cerrados IUP",IF(PL[[#This Row],[ESTADO]]="PTE Validar Enel","Pendiente cierre ENEL",IF(ISNUMBER(SEARCH("suministro",PL[[#This Row],[SUPPLIER NOTES]])),"Suministros",IF(PL[[#This Row],[SC]]="SOCIAL","Social",IF(ISNUMBER(SEARCH("monolito",PL[[#This Row],[DESCRIPTION]])),"Monolitos","Varios")))))</f>
        <v>Cerrados IUP</v>
      </c>
      <c r="Q9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4" spans="1:17" s="157" customFormat="1" hidden="1" x14ac:dyDescent="0.2">
      <c r="A994" s="151" t="s">
        <v>1979</v>
      </c>
      <c r="B994" s="154" t="s">
        <v>8</v>
      </c>
      <c r="C994" s="152">
        <v>10</v>
      </c>
      <c r="D994" s="153" t="s">
        <v>3384</v>
      </c>
      <c r="E994" s="154" t="s">
        <v>1980</v>
      </c>
      <c r="F994" s="154" t="s">
        <v>1981</v>
      </c>
      <c r="G994" s="154" t="s">
        <v>1290</v>
      </c>
      <c r="H994" s="154"/>
      <c r="I994" s="154"/>
      <c r="J994" s="154" t="s">
        <v>74</v>
      </c>
      <c r="K994" s="154" t="s">
        <v>3394</v>
      </c>
      <c r="L994" s="154"/>
      <c r="M994" s="156"/>
      <c r="N994" s="154" t="str">
        <f>IF(ISNUMBER(PL[[#This Row],[CTO]]),"CTO "&amp;PL[[#This Row],[CTO]],"Otros")</f>
        <v>CTO 10</v>
      </c>
      <c r="O994" s="154" t="str">
        <f>IF(PL[[#This Row],[STATUS IUP]]="CERRADO","CERRADO",IF(ISNUMBER(SEARCH("validacion de enel",PL[[#This Row],[SUPPLIER NOTES]])),"PTE Validar Enel","ABIERTO"))</f>
        <v>CERRADO</v>
      </c>
      <c r="P994" s="154" t="str">
        <f>IF(PL[[#This Row],[ESTADO]]="CERRADO","Cerrados IUP",IF(PL[[#This Row],[ESTADO]]="PTE Validar Enel","Pendiente cierre ENEL",IF(ISNUMBER(SEARCH("suministro",PL[[#This Row],[SUPPLIER NOTES]])),"Suministros",IF(PL[[#This Row],[SC]]="SOCIAL","Social",IF(ISNUMBER(SEARCH("monolito",PL[[#This Row],[DESCRIPTION]])),"Monolitos","Varios")))))</f>
        <v>Cerrados IUP</v>
      </c>
      <c r="Q9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5" spans="1:17" s="157" customFormat="1" hidden="1" x14ac:dyDescent="0.2">
      <c r="A995" s="151" t="s">
        <v>1684</v>
      </c>
      <c r="B995" s="154" t="s">
        <v>8</v>
      </c>
      <c r="C995" s="152">
        <v>10</v>
      </c>
      <c r="D995" s="153" t="s">
        <v>3384</v>
      </c>
      <c r="E995" s="154" t="s">
        <v>1685</v>
      </c>
      <c r="F995" s="154" t="s">
        <v>1686</v>
      </c>
      <c r="G995" s="154" t="s">
        <v>1290</v>
      </c>
      <c r="H995" s="154"/>
      <c r="I995" s="154" t="s">
        <v>3475</v>
      </c>
      <c r="J995" s="154" t="s">
        <v>74</v>
      </c>
      <c r="K995" s="154" t="s">
        <v>3394</v>
      </c>
      <c r="L995" s="155">
        <v>46288</v>
      </c>
      <c r="M995" s="156"/>
      <c r="N995" s="154" t="str">
        <f>IF(ISNUMBER(PL[[#This Row],[CTO]]),"CTO "&amp;PL[[#This Row],[CTO]],"Otros")</f>
        <v>CTO 10</v>
      </c>
      <c r="O995" s="154" t="str">
        <f>IF(PL[[#This Row],[STATUS IUP]]="CERRADO","CERRADO",IF(ISNUMBER(SEARCH("validacion de enel",PL[[#This Row],[SUPPLIER NOTES]])),"PTE Validar Enel","ABIERTO"))</f>
        <v>CERRADO</v>
      </c>
      <c r="P995" s="154" t="str">
        <f>IF(PL[[#This Row],[ESTADO]]="CERRADO","Cerrados IUP",IF(PL[[#This Row],[ESTADO]]="PTE Validar Enel","Pendiente cierre ENEL",IF(ISNUMBER(SEARCH("suministro",PL[[#This Row],[SUPPLIER NOTES]])),"Suministros",IF(PL[[#This Row],[SC]]="SOCIAL","Social",IF(ISNUMBER(SEARCH("monolito",PL[[#This Row],[DESCRIPTION]])),"Monolitos","Varios")))))</f>
        <v>Cerrados IUP</v>
      </c>
      <c r="Q9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6" spans="1:17" s="157" customFormat="1" hidden="1" x14ac:dyDescent="0.2">
      <c r="A996" s="151" t="s">
        <v>1682</v>
      </c>
      <c r="B996" s="154" t="s">
        <v>8</v>
      </c>
      <c r="C996" s="152">
        <v>10</v>
      </c>
      <c r="D996" s="153" t="s">
        <v>3384</v>
      </c>
      <c r="E996" s="154" t="s">
        <v>1683</v>
      </c>
      <c r="F996" s="154" t="s">
        <v>808</v>
      </c>
      <c r="G996" s="154" t="s">
        <v>1290</v>
      </c>
      <c r="H996" s="154"/>
      <c r="I996" s="154"/>
      <c r="J996" s="154" t="s">
        <v>74</v>
      </c>
      <c r="K996" s="154" t="s">
        <v>3394</v>
      </c>
      <c r="L996" s="154"/>
      <c r="M996" s="156"/>
      <c r="N996" s="154" t="str">
        <f>IF(ISNUMBER(PL[[#This Row],[CTO]]),"CTO "&amp;PL[[#This Row],[CTO]],"Otros")</f>
        <v>CTO 10</v>
      </c>
      <c r="O996" s="154" t="str">
        <f>IF(PL[[#This Row],[STATUS IUP]]="CERRADO","CERRADO",IF(ISNUMBER(SEARCH("validacion de enel",PL[[#This Row],[SUPPLIER NOTES]])),"PTE Validar Enel","ABIERTO"))</f>
        <v>CERRADO</v>
      </c>
      <c r="P996" s="154" t="str">
        <f>IF(PL[[#This Row],[ESTADO]]="CERRADO","Cerrados IUP",IF(PL[[#This Row],[ESTADO]]="PTE Validar Enel","Pendiente cierre ENEL",IF(ISNUMBER(SEARCH("suministro",PL[[#This Row],[SUPPLIER NOTES]])),"Suministros",IF(PL[[#This Row],[SC]]="SOCIAL","Social",IF(ISNUMBER(SEARCH("monolito",PL[[#This Row],[DESCRIPTION]])),"Monolitos","Varios")))))</f>
        <v>Cerrados IUP</v>
      </c>
      <c r="Q9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7" spans="1:17" s="157" customFormat="1" hidden="1" x14ac:dyDescent="0.2">
      <c r="A997" s="151" t="s">
        <v>1676</v>
      </c>
      <c r="B997" s="154" t="s">
        <v>8</v>
      </c>
      <c r="C997" s="152">
        <v>10</v>
      </c>
      <c r="D997" s="153" t="s">
        <v>3384</v>
      </c>
      <c r="E997" s="154" t="s">
        <v>1677</v>
      </c>
      <c r="F997" s="154" t="s">
        <v>1678</v>
      </c>
      <c r="G997" s="154" t="s">
        <v>1290</v>
      </c>
      <c r="H997" s="154"/>
      <c r="I997" s="154"/>
      <c r="J997" s="154" t="s">
        <v>74</v>
      </c>
      <c r="K997" s="154" t="s">
        <v>3394</v>
      </c>
      <c r="L997" s="154"/>
      <c r="M997" s="156"/>
      <c r="N997" s="154" t="str">
        <f>IF(ISNUMBER(PL[[#This Row],[CTO]]),"CTO "&amp;PL[[#This Row],[CTO]],"Otros")</f>
        <v>CTO 10</v>
      </c>
      <c r="O997" s="154" t="str">
        <f>IF(PL[[#This Row],[STATUS IUP]]="CERRADO","CERRADO",IF(ISNUMBER(SEARCH("validacion de enel",PL[[#This Row],[SUPPLIER NOTES]])),"PTE Validar Enel","ABIERTO"))</f>
        <v>CERRADO</v>
      </c>
      <c r="P997" s="154" t="str">
        <f>IF(PL[[#This Row],[ESTADO]]="CERRADO","Cerrados IUP",IF(PL[[#This Row],[ESTADO]]="PTE Validar Enel","Pendiente cierre ENEL",IF(ISNUMBER(SEARCH("suministro",PL[[#This Row],[SUPPLIER NOTES]])),"Suministros",IF(PL[[#This Row],[SC]]="SOCIAL","Social",IF(ISNUMBER(SEARCH("monolito",PL[[#This Row],[DESCRIPTION]])),"Monolitos","Varios")))))</f>
        <v>Cerrados IUP</v>
      </c>
      <c r="Q9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8" spans="1:17" s="157" customFormat="1" hidden="1" x14ac:dyDescent="0.2">
      <c r="A998" s="151" t="s">
        <v>2551</v>
      </c>
      <c r="B998" s="154" t="s">
        <v>8</v>
      </c>
      <c r="C998" s="152">
        <v>10</v>
      </c>
      <c r="D998" s="153" t="s">
        <v>3384</v>
      </c>
      <c r="E998" s="154" t="s">
        <v>2552</v>
      </c>
      <c r="F998" s="154" t="s">
        <v>2553</v>
      </c>
      <c r="G998" s="154" t="s">
        <v>1290</v>
      </c>
      <c r="H998" s="154"/>
      <c r="I998" s="154"/>
      <c r="J998" s="154" t="s">
        <v>74</v>
      </c>
      <c r="K998" s="154" t="s">
        <v>3394</v>
      </c>
      <c r="L998" s="154"/>
      <c r="M998" s="156"/>
      <c r="N998" s="154" t="str">
        <f>IF(ISNUMBER(PL[[#This Row],[CTO]]),"CTO "&amp;PL[[#This Row],[CTO]],"Otros")</f>
        <v>CTO 10</v>
      </c>
      <c r="O998" s="154" t="str">
        <f>IF(PL[[#This Row],[STATUS IUP]]="CERRADO","CERRADO",IF(ISNUMBER(SEARCH("validacion de enel",PL[[#This Row],[SUPPLIER NOTES]])),"PTE Validar Enel","ABIERTO"))</f>
        <v>CERRADO</v>
      </c>
      <c r="P998" s="154" t="str">
        <f>IF(PL[[#This Row],[ESTADO]]="CERRADO","Cerrados IUP",IF(PL[[#This Row],[ESTADO]]="PTE Validar Enel","Pendiente cierre ENEL",IF(ISNUMBER(SEARCH("suministro",PL[[#This Row],[SUPPLIER NOTES]])),"Suministros",IF(PL[[#This Row],[SC]]="SOCIAL","Social",IF(ISNUMBER(SEARCH("monolito",PL[[#This Row],[DESCRIPTION]])),"Monolitos","Varios")))))</f>
        <v>Cerrados IUP</v>
      </c>
      <c r="Q9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999" spans="1:17" s="157" customFormat="1" hidden="1" x14ac:dyDescent="0.2">
      <c r="A999" s="151" t="s">
        <v>2577</v>
      </c>
      <c r="B999" s="154" t="s">
        <v>8</v>
      </c>
      <c r="C999" s="152">
        <v>10</v>
      </c>
      <c r="D999" s="153" t="s">
        <v>3384</v>
      </c>
      <c r="E999" s="154" t="s">
        <v>2578</v>
      </c>
      <c r="F999" s="154" t="s">
        <v>2579</v>
      </c>
      <c r="G999" s="154" t="s">
        <v>1290</v>
      </c>
      <c r="H999" s="154"/>
      <c r="I999" s="154"/>
      <c r="J999" s="154" t="s">
        <v>74</v>
      </c>
      <c r="K999" s="154" t="s">
        <v>3394</v>
      </c>
      <c r="L999" s="154"/>
      <c r="M999" s="156"/>
      <c r="N999" s="154" t="str">
        <f>IF(ISNUMBER(PL[[#This Row],[CTO]]),"CTO "&amp;PL[[#This Row],[CTO]],"Otros")</f>
        <v>CTO 10</v>
      </c>
      <c r="O999" s="154" t="str">
        <f>IF(PL[[#This Row],[STATUS IUP]]="CERRADO","CERRADO",IF(ISNUMBER(SEARCH("validacion de enel",PL[[#This Row],[SUPPLIER NOTES]])),"PTE Validar Enel","ABIERTO"))</f>
        <v>CERRADO</v>
      </c>
      <c r="P999" s="154" t="str">
        <f>IF(PL[[#This Row],[ESTADO]]="CERRADO","Cerrados IUP",IF(PL[[#This Row],[ESTADO]]="PTE Validar Enel","Pendiente cierre ENEL",IF(ISNUMBER(SEARCH("suministro",PL[[#This Row],[SUPPLIER NOTES]])),"Suministros",IF(PL[[#This Row],[SC]]="SOCIAL","Social",IF(ISNUMBER(SEARCH("monolito",PL[[#This Row],[DESCRIPTION]])),"Monolitos","Varios")))))</f>
        <v>Cerrados IUP</v>
      </c>
      <c r="Q9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0" spans="1:17" s="157" customFormat="1" hidden="1" x14ac:dyDescent="0.2">
      <c r="A1000" s="151" t="s">
        <v>1807</v>
      </c>
      <c r="B1000" s="154" t="s">
        <v>8</v>
      </c>
      <c r="C1000" s="152">
        <v>10</v>
      </c>
      <c r="D1000" s="153" t="s">
        <v>3384</v>
      </c>
      <c r="E1000" s="154" t="s">
        <v>1808</v>
      </c>
      <c r="F1000" s="154" t="s">
        <v>1809</v>
      </c>
      <c r="G1000" s="154" t="s">
        <v>1290</v>
      </c>
      <c r="H1000" s="154" t="s">
        <v>1810</v>
      </c>
      <c r="I1000" s="154" t="s">
        <v>1810</v>
      </c>
      <c r="J1000" s="154" t="s">
        <v>74</v>
      </c>
      <c r="K1000" s="154" t="s">
        <v>3394</v>
      </c>
      <c r="L1000" s="161">
        <v>46220</v>
      </c>
      <c r="M1000" s="160">
        <v>46220</v>
      </c>
      <c r="N1000" s="154" t="str">
        <f>IF(ISNUMBER(PL[[#This Row],[CTO]]),"CTO "&amp;PL[[#This Row],[CTO]],"Otros")</f>
        <v>CTO 10</v>
      </c>
      <c r="O1000" s="154" t="str">
        <f>IF(PL[[#This Row],[STATUS IUP]]="CERRADO","CERRADO",IF(ISNUMBER(SEARCH("validacion de enel",PL[[#This Row],[SUPPLIER NOTES]])),"PTE Validar Enel","ABIERTO"))</f>
        <v>CERRADO</v>
      </c>
      <c r="P1000" s="154" t="str">
        <f>IF(PL[[#This Row],[ESTADO]]="CERRADO","Cerrados IUP",IF(PL[[#This Row],[ESTADO]]="PTE Validar Enel","Pendiente cierre ENEL",IF(ISNUMBER(SEARCH("suministro",PL[[#This Row],[SUPPLIER NOTES]])),"Suministros",IF(PL[[#This Row],[SC]]="SOCIAL","Social",IF(ISNUMBER(SEARCH("monolito",PL[[#This Row],[DESCRIPTION]])),"Monolitos","Varios")))))</f>
        <v>Cerrados IUP</v>
      </c>
      <c r="Q10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1" spans="1:17" s="157" customFormat="1" hidden="1" x14ac:dyDescent="0.2">
      <c r="A1001" s="151" t="s">
        <v>1679</v>
      </c>
      <c r="B1001" s="154" t="s">
        <v>8</v>
      </c>
      <c r="C1001" s="152">
        <v>10</v>
      </c>
      <c r="D1001" s="153" t="s">
        <v>3384</v>
      </c>
      <c r="E1001" s="154" t="s">
        <v>1680</v>
      </c>
      <c r="F1001" s="154" t="s">
        <v>263</v>
      </c>
      <c r="G1001" s="154" t="s">
        <v>128</v>
      </c>
      <c r="H1001" s="154" t="s">
        <v>163</v>
      </c>
      <c r="I1001" s="154" t="s">
        <v>163</v>
      </c>
      <c r="J1001" s="154" t="s">
        <v>74</v>
      </c>
      <c r="K1001" s="154" t="s">
        <v>3394</v>
      </c>
      <c r="L1001" s="161">
        <v>46197</v>
      </c>
      <c r="M1001" s="160">
        <v>46197</v>
      </c>
      <c r="N1001" s="154" t="str">
        <f>IF(ISNUMBER(PL[[#This Row],[CTO]]),"CTO "&amp;PL[[#This Row],[CTO]],"Otros")</f>
        <v>CTO 10</v>
      </c>
      <c r="O1001" s="154" t="str">
        <f>IF(PL[[#This Row],[STATUS IUP]]="CERRADO","CERRADO",IF(ISNUMBER(SEARCH("validacion de enel",PL[[#This Row],[SUPPLIER NOTES]])),"PTE Validar Enel","ABIERTO"))</f>
        <v>CERRADO</v>
      </c>
      <c r="P1001" s="154" t="str">
        <f>IF(PL[[#This Row],[ESTADO]]="CERRADO","Cerrados IUP",IF(PL[[#This Row],[ESTADO]]="PTE Validar Enel","Pendiente cierre ENEL",IF(ISNUMBER(SEARCH("suministro",PL[[#This Row],[SUPPLIER NOTES]])),"Suministros",IF(PL[[#This Row],[SC]]="SOCIAL","Social",IF(ISNUMBER(SEARCH("monolito",PL[[#This Row],[DESCRIPTION]])),"Monolitos","Varios")))))</f>
        <v>Cerrados IUP</v>
      </c>
      <c r="Q10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2" spans="1:17" s="157" customFormat="1" hidden="1" x14ac:dyDescent="0.2">
      <c r="A1002" s="151" t="s">
        <v>1814</v>
      </c>
      <c r="B1002" s="154" t="s">
        <v>8</v>
      </c>
      <c r="C1002" s="152">
        <v>10</v>
      </c>
      <c r="D1002" s="153" t="s">
        <v>3384</v>
      </c>
      <c r="E1002" s="154" t="s">
        <v>1815</v>
      </c>
      <c r="F1002" s="154" t="s">
        <v>263</v>
      </c>
      <c r="G1002" s="154" t="s">
        <v>128</v>
      </c>
      <c r="H1002" s="154" t="s">
        <v>163</v>
      </c>
      <c r="I1002" s="154" t="s">
        <v>163</v>
      </c>
      <c r="J1002" s="154" t="s">
        <v>74</v>
      </c>
      <c r="K1002" s="154" t="s">
        <v>3394</v>
      </c>
      <c r="L1002" s="161">
        <v>46197</v>
      </c>
      <c r="M1002" s="160">
        <v>46197</v>
      </c>
      <c r="N1002" s="154" t="str">
        <f>IF(ISNUMBER(PL[[#This Row],[CTO]]),"CTO "&amp;PL[[#This Row],[CTO]],"Otros")</f>
        <v>CTO 10</v>
      </c>
      <c r="O1002" s="154" t="str">
        <f>IF(PL[[#This Row],[STATUS IUP]]="CERRADO","CERRADO",IF(ISNUMBER(SEARCH("validacion de enel",PL[[#This Row],[SUPPLIER NOTES]])),"PTE Validar Enel","ABIERTO"))</f>
        <v>CERRADO</v>
      </c>
      <c r="P1002" s="154" t="str">
        <f>IF(PL[[#This Row],[ESTADO]]="CERRADO","Cerrados IUP",IF(PL[[#This Row],[ESTADO]]="PTE Validar Enel","Pendiente cierre ENEL",IF(ISNUMBER(SEARCH("suministro",PL[[#This Row],[SUPPLIER NOTES]])),"Suministros",IF(PL[[#This Row],[SC]]="SOCIAL","Social",IF(ISNUMBER(SEARCH("monolito",PL[[#This Row],[DESCRIPTION]])),"Monolitos","Varios")))))</f>
        <v>Cerrados IUP</v>
      </c>
      <c r="Q10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3" spans="1:17" s="157" customFormat="1" hidden="1" x14ac:dyDescent="0.2">
      <c r="A1003" s="151" t="s">
        <v>2301</v>
      </c>
      <c r="B1003" s="154" t="s">
        <v>8</v>
      </c>
      <c r="C1003" s="152">
        <v>10</v>
      </c>
      <c r="D1003" s="153" t="s">
        <v>3384</v>
      </c>
      <c r="E1003" s="154" t="s">
        <v>2302</v>
      </c>
      <c r="F1003" s="154" t="s">
        <v>2303</v>
      </c>
      <c r="G1003" s="154" t="s">
        <v>128</v>
      </c>
      <c r="H1003" s="154" t="s">
        <v>3455</v>
      </c>
      <c r="I1003" s="154" t="s">
        <v>3475</v>
      </c>
      <c r="J1003" s="154" t="s">
        <v>74</v>
      </c>
      <c r="K1003" s="154" t="s">
        <v>3394</v>
      </c>
      <c r="L1003" s="155">
        <v>46282</v>
      </c>
      <c r="M1003" s="156"/>
      <c r="N1003" s="154" t="str">
        <f>IF(ISNUMBER(PL[[#This Row],[CTO]]),"CTO "&amp;PL[[#This Row],[CTO]],"Otros")</f>
        <v>CTO 10</v>
      </c>
      <c r="O1003" s="154" t="str">
        <f>IF(PL[[#This Row],[STATUS IUP]]="CERRADO","CERRADO",IF(ISNUMBER(SEARCH("validacion de enel",PL[[#This Row],[SUPPLIER NOTES]])),"PTE Validar Enel","ABIERTO"))</f>
        <v>CERRADO</v>
      </c>
      <c r="P1003" s="154" t="str">
        <f>IF(PL[[#This Row],[ESTADO]]="CERRADO","Cerrados IUP",IF(PL[[#This Row],[ESTADO]]="PTE Validar Enel","Pendiente cierre ENEL",IF(ISNUMBER(SEARCH("suministro",PL[[#This Row],[SUPPLIER NOTES]])),"Suministros",IF(PL[[#This Row],[SC]]="SOCIAL","Social",IF(ISNUMBER(SEARCH("monolito",PL[[#This Row],[DESCRIPTION]])),"Monolitos","Varios")))))</f>
        <v>Cerrados IUP</v>
      </c>
      <c r="Q10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4" spans="1:17" s="157" customFormat="1" hidden="1" x14ac:dyDescent="0.2">
      <c r="A1004" s="151" t="s">
        <v>1897</v>
      </c>
      <c r="B1004" s="154" t="s">
        <v>8</v>
      </c>
      <c r="C1004" s="152">
        <v>10</v>
      </c>
      <c r="D1004" s="153" t="s">
        <v>3384</v>
      </c>
      <c r="E1004" s="154" t="s">
        <v>1898</v>
      </c>
      <c r="F1004" s="154" t="s">
        <v>263</v>
      </c>
      <c r="G1004" s="154" t="s">
        <v>128</v>
      </c>
      <c r="H1004" s="154" t="s">
        <v>163</v>
      </c>
      <c r="I1004" s="154" t="s">
        <v>163</v>
      </c>
      <c r="J1004" s="154" t="s">
        <v>74</v>
      </c>
      <c r="K1004" s="154" t="s">
        <v>3394</v>
      </c>
      <c r="L1004" s="161">
        <v>46197</v>
      </c>
      <c r="M1004" s="160">
        <v>46197</v>
      </c>
      <c r="N1004" s="154" t="str">
        <f>IF(ISNUMBER(PL[[#This Row],[CTO]]),"CTO "&amp;PL[[#This Row],[CTO]],"Otros")</f>
        <v>CTO 10</v>
      </c>
      <c r="O1004" s="154" t="str">
        <f>IF(PL[[#This Row],[STATUS IUP]]="CERRADO","CERRADO",IF(ISNUMBER(SEARCH("validacion de enel",PL[[#This Row],[SUPPLIER NOTES]])),"PTE Validar Enel","ABIERTO"))</f>
        <v>CERRADO</v>
      </c>
      <c r="P1004" s="154" t="str">
        <f>IF(PL[[#This Row],[ESTADO]]="CERRADO","Cerrados IUP",IF(PL[[#This Row],[ESTADO]]="PTE Validar Enel","Pendiente cierre ENEL",IF(ISNUMBER(SEARCH("suministro",PL[[#This Row],[SUPPLIER NOTES]])),"Suministros",IF(PL[[#This Row],[SC]]="SOCIAL","Social",IF(ISNUMBER(SEARCH("monolito",PL[[#This Row],[DESCRIPTION]])),"Monolitos","Varios")))))</f>
        <v>Cerrados IUP</v>
      </c>
      <c r="Q10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5" spans="1:17" s="157" customFormat="1" hidden="1" x14ac:dyDescent="0.2">
      <c r="A1005" s="151" t="s">
        <v>1832</v>
      </c>
      <c r="B1005" s="154" t="s">
        <v>8</v>
      </c>
      <c r="C1005" s="152">
        <v>10</v>
      </c>
      <c r="D1005" s="153" t="s">
        <v>3384</v>
      </c>
      <c r="E1005" s="154" t="s">
        <v>1833</v>
      </c>
      <c r="F1005" s="154" t="s">
        <v>1834</v>
      </c>
      <c r="G1005" s="154" t="s">
        <v>128</v>
      </c>
      <c r="H1005" s="154" t="s">
        <v>3455</v>
      </c>
      <c r="I1005" s="154" t="s">
        <v>3475</v>
      </c>
      <c r="J1005" s="154" t="s">
        <v>74</v>
      </c>
      <c r="K1005" s="154" t="s">
        <v>3394</v>
      </c>
      <c r="L1005" s="155">
        <v>46282</v>
      </c>
      <c r="M1005" s="156"/>
      <c r="N1005" s="154" t="str">
        <f>IF(ISNUMBER(PL[[#This Row],[CTO]]),"CTO "&amp;PL[[#This Row],[CTO]],"Otros")</f>
        <v>CTO 10</v>
      </c>
      <c r="O1005" s="154" t="str">
        <f>IF(PL[[#This Row],[STATUS IUP]]="CERRADO","CERRADO",IF(ISNUMBER(SEARCH("validacion de enel",PL[[#This Row],[SUPPLIER NOTES]])),"PTE Validar Enel","ABIERTO"))</f>
        <v>CERRADO</v>
      </c>
      <c r="P1005" s="154" t="str">
        <f>IF(PL[[#This Row],[ESTADO]]="CERRADO","Cerrados IUP",IF(PL[[#This Row],[ESTADO]]="PTE Validar Enel","Pendiente cierre ENEL",IF(ISNUMBER(SEARCH("suministro",PL[[#This Row],[SUPPLIER NOTES]])),"Suministros",IF(PL[[#This Row],[SC]]="SOCIAL","Social",IF(ISNUMBER(SEARCH("monolito",PL[[#This Row],[DESCRIPTION]])),"Monolitos","Varios")))))</f>
        <v>Cerrados IUP</v>
      </c>
      <c r="Q10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6" spans="1:17" s="157" customFormat="1" hidden="1" x14ac:dyDescent="0.2">
      <c r="A1006" s="151" t="s">
        <v>1894</v>
      </c>
      <c r="B1006" s="154" t="s">
        <v>8</v>
      </c>
      <c r="C1006" s="152">
        <v>10</v>
      </c>
      <c r="D1006" s="153" t="s">
        <v>3384</v>
      </c>
      <c r="E1006" s="154" t="s">
        <v>1895</v>
      </c>
      <c r="F1006" s="154" t="s">
        <v>263</v>
      </c>
      <c r="G1006" s="154" t="s">
        <v>128</v>
      </c>
      <c r="H1006" s="154" t="s">
        <v>163</v>
      </c>
      <c r="I1006" s="154" t="s">
        <v>163</v>
      </c>
      <c r="J1006" s="154" t="s">
        <v>74</v>
      </c>
      <c r="K1006" s="154" t="s">
        <v>3394</v>
      </c>
      <c r="L1006" s="161">
        <v>46197</v>
      </c>
      <c r="M1006" s="160">
        <v>46197</v>
      </c>
      <c r="N1006" s="154" t="str">
        <f>IF(ISNUMBER(PL[[#This Row],[CTO]]),"CTO "&amp;PL[[#This Row],[CTO]],"Otros")</f>
        <v>CTO 10</v>
      </c>
      <c r="O1006" s="154" t="str">
        <f>IF(PL[[#This Row],[STATUS IUP]]="CERRADO","CERRADO",IF(ISNUMBER(SEARCH("validacion de enel",PL[[#This Row],[SUPPLIER NOTES]])),"PTE Validar Enel","ABIERTO"))</f>
        <v>CERRADO</v>
      </c>
      <c r="P1006" s="154" t="str">
        <f>IF(PL[[#This Row],[ESTADO]]="CERRADO","Cerrados IUP",IF(PL[[#This Row],[ESTADO]]="PTE Validar Enel","Pendiente cierre ENEL",IF(ISNUMBER(SEARCH("suministro",PL[[#This Row],[SUPPLIER NOTES]])),"Suministros",IF(PL[[#This Row],[SC]]="SOCIAL","Social",IF(ISNUMBER(SEARCH("monolito",PL[[#This Row],[DESCRIPTION]])),"Monolitos","Varios")))))</f>
        <v>Cerrados IUP</v>
      </c>
      <c r="Q10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7" spans="1:17" s="157" customFormat="1" hidden="1" x14ac:dyDescent="0.2">
      <c r="A1007" s="151" t="s">
        <v>2493</v>
      </c>
      <c r="B1007" s="154" t="s">
        <v>8</v>
      </c>
      <c r="C1007" s="152">
        <v>10</v>
      </c>
      <c r="D1007" s="153" t="s">
        <v>3384</v>
      </c>
      <c r="E1007" s="154" t="s">
        <v>2494</v>
      </c>
      <c r="F1007" s="154" t="s">
        <v>2495</v>
      </c>
      <c r="G1007" s="154" t="s">
        <v>128</v>
      </c>
      <c r="H1007" s="154" t="s">
        <v>294</v>
      </c>
      <c r="I1007" s="154" t="s">
        <v>294</v>
      </c>
      <c r="J1007" s="154" t="s">
        <v>74</v>
      </c>
      <c r="K1007" s="154" t="s">
        <v>3394</v>
      </c>
      <c r="L1007" s="161">
        <v>46210</v>
      </c>
      <c r="M1007" s="160">
        <v>46210</v>
      </c>
      <c r="N1007" s="154" t="str">
        <f>IF(ISNUMBER(PL[[#This Row],[CTO]]),"CTO "&amp;PL[[#This Row],[CTO]],"Otros")</f>
        <v>CTO 10</v>
      </c>
      <c r="O1007" s="154" t="str">
        <f>IF(PL[[#This Row],[STATUS IUP]]="CERRADO","CERRADO",IF(ISNUMBER(SEARCH("validacion de enel",PL[[#This Row],[SUPPLIER NOTES]])),"PTE Validar Enel","ABIERTO"))</f>
        <v>CERRADO</v>
      </c>
      <c r="P1007" s="154" t="str">
        <f>IF(PL[[#This Row],[ESTADO]]="CERRADO","Cerrados IUP",IF(PL[[#This Row],[ESTADO]]="PTE Validar Enel","Pendiente cierre ENEL",IF(ISNUMBER(SEARCH("suministro",PL[[#This Row],[SUPPLIER NOTES]])),"Suministros",IF(PL[[#This Row],[SC]]="SOCIAL","Social",IF(ISNUMBER(SEARCH("monolito",PL[[#This Row],[DESCRIPTION]])),"Monolitos","Varios")))))</f>
        <v>Cerrados IUP</v>
      </c>
      <c r="Q10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8" spans="1:17" s="157" customFormat="1" hidden="1" x14ac:dyDescent="0.2">
      <c r="A1008" s="151" t="s">
        <v>2372</v>
      </c>
      <c r="B1008" s="154" t="s">
        <v>8</v>
      </c>
      <c r="C1008" s="152">
        <v>10</v>
      </c>
      <c r="D1008" s="153" t="s">
        <v>3384</v>
      </c>
      <c r="E1008" s="154" t="s">
        <v>2373</v>
      </c>
      <c r="F1008" s="154" t="s">
        <v>2374</v>
      </c>
      <c r="G1008" s="154" t="s">
        <v>128</v>
      </c>
      <c r="H1008" s="154" t="s">
        <v>2375</v>
      </c>
      <c r="I1008" s="154" t="s">
        <v>2375</v>
      </c>
      <c r="J1008" s="154" t="s">
        <v>74</v>
      </c>
      <c r="K1008" s="154" t="s">
        <v>3394</v>
      </c>
      <c r="L1008" s="161">
        <v>46210</v>
      </c>
      <c r="M1008" s="160">
        <v>46210</v>
      </c>
      <c r="N1008" s="154" t="str">
        <f>IF(ISNUMBER(PL[[#This Row],[CTO]]),"CTO "&amp;PL[[#This Row],[CTO]],"Otros")</f>
        <v>CTO 10</v>
      </c>
      <c r="O1008" s="154" t="str">
        <f>IF(PL[[#This Row],[STATUS IUP]]="CERRADO","CERRADO",IF(ISNUMBER(SEARCH("validacion de enel",PL[[#This Row],[SUPPLIER NOTES]])),"PTE Validar Enel","ABIERTO"))</f>
        <v>CERRADO</v>
      </c>
      <c r="P1008" s="154" t="str">
        <f>IF(PL[[#This Row],[ESTADO]]="CERRADO","Cerrados IUP",IF(PL[[#This Row],[ESTADO]]="PTE Validar Enel","Pendiente cierre ENEL",IF(ISNUMBER(SEARCH("suministro",PL[[#This Row],[SUPPLIER NOTES]])),"Suministros",IF(PL[[#This Row],[SC]]="SOCIAL","Social",IF(ISNUMBER(SEARCH("monolito",PL[[#This Row],[DESCRIPTION]])),"Monolitos","Varios")))))</f>
        <v>Cerrados IUP</v>
      </c>
      <c r="Q10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09" spans="1:17" s="157" customFormat="1" hidden="1" x14ac:dyDescent="0.2">
      <c r="A1009" s="151" t="s">
        <v>3020</v>
      </c>
      <c r="B1009" s="154" t="s">
        <v>8</v>
      </c>
      <c r="C1009" s="152">
        <v>10</v>
      </c>
      <c r="D1009" s="153" t="s">
        <v>3384</v>
      </c>
      <c r="E1009" s="154" t="s">
        <v>3021</v>
      </c>
      <c r="F1009" s="154" t="s">
        <v>2617</v>
      </c>
      <c r="G1009" s="154" t="s">
        <v>291</v>
      </c>
      <c r="H1009" s="154" t="s">
        <v>163</v>
      </c>
      <c r="I1009" s="154" t="s">
        <v>163</v>
      </c>
      <c r="J1009" s="154" t="s">
        <v>74</v>
      </c>
      <c r="K1009" s="154" t="s">
        <v>3394</v>
      </c>
      <c r="L1009" s="161">
        <v>46155</v>
      </c>
      <c r="M1009" s="160">
        <v>46155</v>
      </c>
      <c r="N1009" s="154" t="str">
        <f>IF(ISNUMBER(PL[[#This Row],[CTO]]),"CTO "&amp;PL[[#This Row],[CTO]],"Otros")</f>
        <v>CTO 10</v>
      </c>
      <c r="O1009" s="154" t="str">
        <f>IF(PL[[#This Row],[STATUS IUP]]="CERRADO","CERRADO",IF(ISNUMBER(SEARCH("validacion de enel",PL[[#This Row],[SUPPLIER NOTES]])),"PTE Validar Enel","ABIERTO"))</f>
        <v>CERRADO</v>
      </c>
      <c r="P1009" s="154" t="str">
        <f>IF(PL[[#This Row],[ESTADO]]="CERRADO","Cerrados IUP",IF(PL[[#This Row],[ESTADO]]="PTE Validar Enel","Pendiente cierre ENEL",IF(ISNUMBER(SEARCH("suministro",PL[[#This Row],[SUPPLIER NOTES]])),"Suministros",IF(PL[[#This Row],[SC]]="SOCIAL","Social",IF(ISNUMBER(SEARCH("monolito",PL[[#This Row],[DESCRIPTION]])),"Monolitos","Varios")))))</f>
        <v>Cerrados IUP</v>
      </c>
      <c r="Q10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0" spans="1:17" s="157" customFormat="1" hidden="1" x14ac:dyDescent="0.2">
      <c r="A1010" s="151" t="s">
        <v>3022</v>
      </c>
      <c r="B1010" s="154" t="s">
        <v>8</v>
      </c>
      <c r="C1010" s="152">
        <v>10</v>
      </c>
      <c r="D1010" s="153" t="s">
        <v>3384</v>
      </c>
      <c r="E1010" s="154" t="s">
        <v>3023</v>
      </c>
      <c r="F1010" s="154" t="s">
        <v>3024</v>
      </c>
      <c r="G1010" s="154" t="s">
        <v>291</v>
      </c>
      <c r="H1010" s="154" t="s">
        <v>163</v>
      </c>
      <c r="I1010" s="154" t="s">
        <v>163</v>
      </c>
      <c r="J1010" s="154" t="s">
        <v>74</v>
      </c>
      <c r="K1010" s="154" t="s">
        <v>3394</v>
      </c>
      <c r="L1010" s="161">
        <v>46155</v>
      </c>
      <c r="M1010" s="160">
        <v>46155</v>
      </c>
      <c r="N1010" s="154" t="str">
        <f>IF(ISNUMBER(PL[[#This Row],[CTO]]),"CTO "&amp;PL[[#This Row],[CTO]],"Otros")</f>
        <v>CTO 10</v>
      </c>
      <c r="O1010" s="154" t="str">
        <f>IF(PL[[#This Row],[STATUS IUP]]="CERRADO","CERRADO",IF(ISNUMBER(SEARCH("validacion de enel",PL[[#This Row],[SUPPLIER NOTES]])),"PTE Validar Enel","ABIERTO"))</f>
        <v>CERRADO</v>
      </c>
      <c r="P1010" s="154" t="str">
        <f>IF(PL[[#This Row],[ESTADO]]="CERRADO","Cerrados IUP",IF(PL[[#This Row],[ESTADO]]="PTE Validar Enel","Pendiente cierre ENEL",IF(ISNUMBER(SEARCH("suministro",PL[[#This Row],[SUPPLIER NOTES]])),"Suministros",IF(PL[[#This Row],[SC]]="SOCIAL","Social",IF(ISNUMBER(SEARCH("monolito",PL[[#This Row],[DESCRIPTION]])),"Monolitos","Varios")))))</f>
        <v>Cerrados IUP</v>
      </c>
      <c r="Q10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1" spans="1:17" s="157" customFormat="1" hidden="1" x14ac:dyDescent="0.2">
      <c r="A1011" s="151" t="s">
        <v>3025</v>
      </c>
      <c r="B1011" s="154" t="s">
        <v>8</v>
      </c>
      <c r="C1011" s="152">
        <v>10</v>
      </c>
      <c r="D1011" s="153" t="s">
        <v>3384</v>
      </c>
      <c r="E1011" s="154" t="s">
        <v>3026</v>
      </c>
      <c r="F1011" s="154" t="s">
        <v>2614</v>
      </c>
      <c r="G1011" s="154" t="s">
        <v>291</v>
      </c>
      <c r="H1011" s="154" t="s">
        <v>163</v>
      </c>
      <c r="I1011" s="154" t="s">
        <v>163</v>
      </c>
      <c r="J1011" s="154" t="s">
        <v>74</v>
      </c>
      <c r="K1011" s="154" t="s">
        <v>3394</v>
      </c>
      <c r="L1011" s="161">
        <v>46155</v>
      </c>
      <c r="M1011" s="160">
        <v>46155</v>
      </c>
      <c r="N1011" s="154" t="str">
        <f>IF(ISNUMBER(PL[[#This Row],[CTO]]),"CTO "&amp;PL[[#This Row],[CTO]],"Otros")</f>
        <v>CTO 10</v>
      </c>
      <c r="O1011" s="154" t="str">
        <f>IF(PL[[#This Row],[STATUS IUP]]="CERRADO","CERRADO",IF(ISNUMBER(SEARCH("validacion de enel",PL[[#This Row],[SUPPLIER NOTES]])),"PTE Validar Enel","ABIERTO"))</f>
        <v>CERRADO</v>
      </c>
      <c r="P1011" s="154" t="str">
        <f>IF(PL[[#This Row],[ESTADO]]="CERRADO","Cerrados IUP",IF(PL[[#This Row],[ESTADO]]="PTE Validar Enel","Pendiente cierre ENEL",IF(ISNUMBER(SEARCH("suministro",PL[[#This Row],[SUPPLIER NOTES]])),"Suministros",IF(PL[[#This Row],[SC]]="SOCIAL","Social",IF(ISNUMBER(SEARCH("monolito",PL[[#This Row],[DESCRIPTION]])),"Monolitos","Varios")))))</f>
        <v>Cerrados IUP</v>
      </c>
      <c r="Q10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2" spans="1:17" s="157" customFormat="1" hidden="1" x14ac:dyDescent="0.2">
      <c r="A1012" s="151" t="s">
        <v>3027</v>
      </c>
      <c r="B1012" s="154" t="s">
        <v>8</v>
      </c>
      <c r="C1012" s="152">
        <v>10</v>
      </c>
      <c r="D1012" s="153" t="s">
        <v>3384</v>
      </c>
      <c r="E1012" s="154" t="s">
        <v>3028</v>
      </c>
      <c r="F1012" s="154" t="s">
        <v>2942</v>
      </c>
      <c r="G1012" s="154" t="s">
        <v>291</v>
      </c>
      <c r="H1012" s="154" t="s">
        <v>163</v>
      </c>
      <c r="I1012" s="154" t="s">
        <v>163</v>
      </c>
      <c r="J1012" s="154" t="s">
        <v>74</v>
      </c>
      <c r="K1012" s="154" t="s">
        <v>3394</v>
      </c>
      <c r="L1012" s="161">
        <v>46155</v>
      </c>
      <c r="M1012" s="160">
        <v>46155</v>
      </c>
      <c r="N1012" s="154" t="str">
        <f>IF(ISNUMBER(PL[[#This Row],[CTO]]),"CTO "&amp;PL[[#This Row],[CTO]],"Otros")</f>
        <v>CTO 10</v>
      </c>
      <c r="O1012" s="154" t="str">
        <f>IF(PL[[#This Row],[STATUS IUP]]="CERRADO","CERRADO",IF(ISNUMBER(SEARCH("validacion de enel",PL[[#This Row],[SUPPLIER NOTES]])),"PTE Validar Enel","ABIERTO"))</f>
        <v>CERRADO</v>
      </c>
      <c r="P1012" s="154" t="str">
        <f>IF(PL[[#This Row],[ESTADO]]="CERRADO","Cerrados IUP",IF(PL[[#This Row],[ESTADO]]="PTE Validar Enel","Pendiente cierre ENEL",IF(ISNUMBER(SEARCH("suministro",PL[[#This Row],[SUPPLIER NOTES]])),"Suministros",IF(PL[[#This Row],[SC]]="SOCIAL","Social",IF(ISNUMBER(SEARCH("monolito",PL[[#This Row],[DESCRIPTION]])),"Monolitos","Varios")))))</f>
        <v>Cerrados IUP</v>
      </c>
      <c r="Q10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3" spans="1:17" s="157" customFormat="1" hidden="1" x14ac:dyDescent="0.2">
      <c r="A1013" s="151" t="s">
        <v>3029</v>
      </c>
      <c r="B1013" s="154" t="s">
        <v>8</v>
      </c>
      <c r="C1013" s="152">
        <v>10</v>
      </c>
      <c r="D1013" s="153" t="s">
        <v>3384</v>
      </c>
      <c r="E1013" s="154" t="s">
        <v>3030</v>
      </c>
      <c r="F1013" s="154" t="s">
        <v>2674</v>
      </c>
      <c r="G1013" s="154" t="s">
        <v>291</v>
      </c>
      <c r="H1013" s="154" t="s">
        <v>163</v>
      </c>
      <c r="I1013" s="154" t="s">
        <v>163</v>
      </c>
      <c r="J1013" s="154" t="s">
        <v>74</v>
      </c>
      <c r="K1013" s="154" t="s">
        <v>3394</v>
      </c>
      <c r="L1013" s="161">
        <v>46155</v>
      </c>
      <c r="M1013" s="160">
        <v>46155</v>
      </c>
      <c r="N1013" s="154" t="str">
        <f>IF(ISNUMBER(PL[[#This Row],[CTO]]),"CTO "&amp;PL[[#This Row],[CTO]],"Otros")</f>
        <v>CTO 10</v>
      </c>
      <c r="O1013" s="154" t="str">
        <f>IF(PL[[#This Row],[STATUS IUP]]="CERRADO","CERRADO",IF(ISNUMBER(SEARCH("validacion de enel",PL[[#This Row],[SUPPLIER NOTES]])),"PTE Validar Enel","ABIERTO"))</f>
        <v>CERRADO</v>
      </c>
      <c r="P1013" s="154" t="str">
        <f>IF(PL[[#This Row],[ESTADO]]="CERRADO","Cerrados IUP",IF(PL[[#This Row],[ESTADO]]="PTE Validar Enel","Pendiente cierre ENEL",IF(ISNUMBER(SEARCH("suministro",PL[[#This Row],[SUPPLIER NOTES]])),"Suministros",IF(PL[[#This Row],[SC]]="SOCIAL","Social",IF(ISNUMBER(SEARCH("monolito",PL[[#This Row],[DESCRIPTION]])),"Monolitos","Varios")))))</f>
        <v>Cerrados IUP</v>
      </c>
      <c r="Q10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4" spans="1:17" s="157" customFormat="1" hidden="1" x14ac:dyDescent="0.2">
      <c r="A1014" s="151" t="s">
        <v>3031</v>
      </c>
      <c r="B1014" s="154" t="s">
        <v>8</v>
      </c>
      <c r="C1014" s="152">
        <v>10</v>
      </c>
      <c r="D1014" s="153" t="s">
        <v>3384</v>
      </c>
      <c r="E1014" s="154" t="s">
        <v>3032</v>
      </c>
      <c r="F1014" s="154" t="s">
        <v>1996</v>
      </c>
      <c r="G1014" s="154" t="s">
        <v>291</v>
      </c>
      <c r="H1014" s="154" t="s">
        <v>163</v>
      </c>
      <c r="I1014" s="154" t="s">
        <v>163</v>
      </c>
      <c r="J1014" s="154" t="s">
        <v>74</v>
      </c>
      <c r="K1014" s="154" t="s">
        <v>3394</v>
      </c>
      <c r="L1014" s="161">
        <v>46155</v>
      </c>
      <c r="M1014" s="160">
        <v>46155</v>
      </c>
      <c r="N1014" s="154" t="str">
        <f>IF(ISNUMBER(PL[[#This Row],[CTO]]),"CTO "&amp;PL[[#This Row],[CTO]],"Otros")</f>
        <v>CTO 10</v>
      </c>
      <c r="O1014" s="154" t="str">
        <f>IF(PL[[#This Row],[STATUS IUP]]="CERRADO","CERRADO",IF(ISNUMBER(SEARCH("validacion de enel",PL[[#This Row],[SUPPLIER NOTES]])),"PTE Validar Enel","ABIERTO"))</f>
        <v>CERRADO</v>
      </c>
      <c r="P1014" s="154" t="str">
        <f>IF(PL[[#This Row],[ESTADO]]="CERRADO","Cerrados IUP",IF(PL[[#This Row],[ESTADO]]="PTE Validar Enel","Pendiente cierre ENEL",IF(ISNUMBER(SEARCH("suministro",PL[[#This Row],[SUPPLIER NOTES]])),"Suministros",IF(PL[[#This Row],[SC]]="SOCIAL","Social",IF(ISNUMBER(SEARCH("monolito",PL[[#This Row],[DESCRIPTION]])),"Monolitos","Varios")))))</f>
        <v>Cerrados IUP</v>
      </c>
      <c r="Q10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5" spans="1:17" s="157" customFormat="1" hidden="1" x14ac:dyDescent="0.2">
      <c r="A1015" s="151" t="s">
        <v>3033</v>
      </c>
      <c r="B1015" s="154" t="s">
        <v>8</v>
      </c>
      <c r="C1015" s="152">
        <v>10</v>
      </c>
      <c r="D1015" s="153" t="s">
        <v>3384</v>
      </c>
      <c r="E1015" s="154" t="s">
        <v>3034</v>
      </c>
      <c r="F1015" s="154" t="s">
        <v>2017</v>
      </c>
      <c r="G1015" s="154" t="s">
        <v>291</v>
      </c>
      <c r="H1015" s="154" t="s">
        <v>163</v>
      </c>
      <c r="I1015" s="154" t="s">
        <v>163</v>
      </c>
      <c r="J1015" s="154" t="s">
        <v>74</v>
      </c>
      <c r="K1015" s="154" t="s">
        <v>3394</v>
      </c>
      <c r="L1015" s="161">
        <v>46155</v>
      </c>
      <c r="M1015" s="160">
        <v>46155</v>
      </c>
      <c r="N1015" s="154" t="str">
        <f>IF(ISNUMBER(PL[[#This Row],[CTO]]),"CTO "&amp;PL[[#This Row],[CTO]],"Otros")</f>
        <v>CTO 10</v>
      </c>
      <c r="O1015" s="154" t="str">
        <f>IF(PL[[#This Row],[STATUS IUP]]="CERRADO","CERRADO",IF(ISNUMBER(SEARCH("validacion de enel",PL[[#This Row],[SUPPLIER NOTES]])),"PTE Validar Enel","ABIERTO"))</f>
        <v>CERRADO</v>
      </c>
      <c r="P1015" s="154" t="str">
        <f>IF(PL[[#This Row],[ESTADO]]="CERRADO","Cerrados IUP",IF(PL[[#This Row],[ESTADO]]="PTE Validar Enel","Pendiente cierre ENEL",IF(ISNUMBER(SEARCH("suministro",PL[[#This Row],[SUPPLIER NOTES]])),"Suministros",IF(PL[[#This Row],[SC]]="SOCIAL","Social",IF(ISNUMBER(SEARCH("monolito",PL[[#This Row],[DESCRIPTION]])),"Monolitos","Varios")))))</f>
        <v>Cerrados IUP</v>
      </c>
      <c r="Q10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6" spans="1:17" s="157" customFormat="1" hidden="1" x14ac:dyDescent="0.2">
      <c r="A1016" s="151" t="s">
        <v>3035</v>
      </c>
      <c r="B1016" s="154" t="s">
        <v>8</v>
      </c>
      <c r="C1016" s="152">
        <v>10</v>
      </c>
      <c r="D1016" s="153" t="s">
        <v>3384</v>
      </c>
      <c r="E1016" s="154" t="s">
        <v>3036</v>
      </c>
      <c r="F1016" s="154" t="s">
        <v>1695</v>
      </c>
      <c r="G1016" s="154" t="s">
        <v>291</v>
      </c>
      <c r="H1016" s="154" t="s">
        <v>163</v>
      </c>
      <c r="I1016" s="154" t="s">
        <v>163</v>
      </c>
      <c r="J1016" s="154" t="s">
        <v>74</v>
      </c>
      <c r="K1016" s="154" t="s">
        <v>3394</v>
      </c>
      <c r="L1016" s="161">
        <v>46155</v>
      </c>
      <c r="M1016" s="160">
        <v>46155</v>
      </c>
      <c r="N1016" s="154" t="str">
        <f>IF(ISNUMBER(PL[[#This Row],[CTO]]),"CTO "&amp;PL[[#This Row],[CTO]],"Otros")</f>
        <v>CTO 10</v>
      </c>
      <c r="O1016" s="154" t="str">
        <f>IF(PL[[#This Row],[STATUS IUP]]="CERRADO","CERRADO",IF(ISNUMBER(SEARCH("validacion de enel",PL[[#This Row],[SUPPLIER NOTES]])),"PTE Validar Enel","ABIERTO"))</f>
        <v>CERRADO</v>
      </c>
      <c r="P1016" s="154" t="str">
        <f>IF(PL[[#This Row],[ESTADO]]="CERRADO","Cerrados IUP",IF(PL[[#This Row],[ESTADO]]="PTE Validar Enel","Pendiente cierre ENEL",IF(ISNUMBER(SEARCH("suministro",PL[[#This Row],[SUPPLIER NOTES]])),"Suministros",IF(PL[[#This Row],[SC]]="SOCIAL","Social",IF(ISNUMBER(SEARCH("monolito",PL[[#This Row],[DESCRIPTION]])),"Monolitos","Varios")))))</f>
        <v>Cerrados IUP</v>
      </c>
      <c r="Q10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7" spans="1:17" s="157" customFormat="1" hidden="1" x14ac:dyDescent="0.2">
      <c r="A1017" s="151" t="s">
        <v>3037</v>
      </c>
      <c r="B1017" s="154" t="s">
        <v>8</v>
      </c>
      <c r="C1017" s="152">
        <v>10</v>
      </c>
      <c r="D1017" s="153" t="s">
        <v>3384</v>
      </c>
      <c r="E1017" s="154" t="s">
        <v>3038</v>
      </c>
      <c r="F1017" s="154" t="s">
        <v>2770</v>
      </c>
      <c r="G1017" s="154" t="s">
        <v>291</v>
      </c>
      <c r="H1017" s="154" t="s">
        <v>163</v>
      </c>
      <c r="I1017" s="154" t="s">
        <v>163</v>
      </c>
      <c r="J1017" s="154" t="s">
        <v>74</v>
      </c>
      <c r="K1017" s="154" t="s">
        <v>3394</v>
      </c>
      <c r="L1017" s="161">
        <v>46155</v>
      </c>
      <c r="M1017" s="160">
        <v>46155</v>
      </c>
      <c r="N1017" s="154" t="str">
        <f>IF(ISNUMBER(PL[[#This Row],[CTO]]),"CTO "&amp;PL[[#This Row],[CTO]],"Otros")</f>
        <v>CTO 10</v>
      </c>
      <c r="O1017" s="154" t="str">
        <f>IF(PL[[#This Row],[STATUS IUP]]="CERRADO","CERRADO",IF(ISNUMBER(SEARCH("validacion de enel",PL[[#This Row],[SUPPLIER NOTES]])),"PTE Validar Enel","ABIERTO"))</f>
        <v>CERRADO</v>
      </c>
      <c r="P1017" s="154" t="str">
        <f>IF(PL[[#This Row],[ESTADO]]="CERRADO","Cerrados IUP",IF(PL[[#This Row],[ESTADO]]="PTE Validar Enel","Pendiente cierre ENEL",IF(ISNUMBER(SEARCH("suministro",PL[[#This Row],[SUPPLIER NOTES]])),"Suministros",IF(PL[[#This Row],[SC]]="SOCIAL","Social",IF(ISNUMBER(SEARCH("monolito",PL[[#This Row],[DESCRIPTION]])),"Monolitos","Varios")))))</f>
        <v>Cerrados IUP</v>
      </c>
      <c r="Q10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8" spans="1:17" s="157" customFormat="1" hidden="1" x14ac:dyDescent="0.2">
      <c r="A1018" s="151" t="s">
        <v>3039</v>
      </c>
      <c r="B1018" s="154" t="s">
        <v>8</v>
      </c>
      <c r="C1018" s="152">
        <v>10</v>
      </c>
      <c r="D1018" s="153" t="s">
        <v>3384</v>
      </c>
      <c r="E1018" s="154" t="s">
        <v>3040</v>
      </c>
      <c r="F1018" s="154" t="s">
        <v>2014</v>
      </c>
      <c r="G1018" s="154" t="s">
        <v>291</v>
      </c>
      <c r="H1018" s="154" t="s">
        <v>163</v>
      </c>
      <c r="I1018" s="154" t="s">
        <v>163</v>
      </c>
      <c r="J1018" s="154" t="s">
        <v>74</v>
      </c>
      <c r="K1018" s="154" t="s">
        <v>3394</v>
      </c>
      <c r="L1018" s="161">
        <v>46155</v>
      </c>
      <c r="M1018" s="160">
        <v>46155</v>
      </c>
      <c r="N1018" s="154" t="str">
        <f>IF(ISNUMBER(PL[[#This Row],[CTO]]),"CTO "&amp;PL[[#This Row],[CTO]],"Otros")</f>
        <v>CTO 10</v>
      </c>
      <c r="O1018" s="154" t="str">
        <f>IF(PL[[#This Row],[STATUS IUP]]="CERRADO","CERRADO",IF(ISNUMBER(SEARCH("validacion de enel",PL[[#This Row],[SUPPLIER NOTES]])),"PTE Validar Enel","ABIERTO"))</f>
        <v>CERRADO</v>
      </c>
      <c r="P1018" s="154" t="str">
        <f>IF(PL[[#This Row],[ESTADO]]="CERRADO","Cerrados IUP",IF(PL[[#This Row],[ESTADO]]="PTE Validar Enel","Pendiente cierre ENEL",IF(ISNUMBER(SEARCH("suministro",PL[[#This Row],[SUPPLIER NOTES]])),"Suministros",IF(PL[[#This Row],[SC]]="SOCIAL","Social",IF(ISNUMBER(SEARCH("monolito",PL[[#This Row],[DESCRIPTION]])),"Monolitos","Varios")))))</f>
        <v>Cerrados IUP</v>
      </c>
      <c r="Q10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19" spans="1:17" s="157" customFormat="1" hidden="1" x14ac:dyDescent="0.2">
      <c r="A1019" s="151" t="s">
        <v>3041</v>
      </c>
      <c r="B1019" s="154" t="s">
        <v>8</v>
      </c>
      <c r="C1019" s="152">
        <v>10</v>
      </c>
      <c r="D1019" s="153" t="s">
        <v>3384</v>
      </c>
      <c r="E1019" s="154" t="s">
        <v>3042</v>
      </c>
      <c r="F1019" s="154" t="s">
        <v>2439</v>
      </c>
      <c r="G1019" s="154" t="s">
        <v>291</v>
      </c>
      <c r="H1019" s="154" t="s">
        <v>163</v>
      </c>
      <c r="I1019" s="154" t="s">
        <v>163</v>
      </c>
      <c r="J1019" s="154" t="s">
        <v>74</v>
      </c>
      <c r="K1019" s="154" t="s">
        <v>3394</v>
      </c>
      <c r="L1019" s="161">
        <v>46155</v>
      </c>
      <c r="M1019" s="160">
        <v>46155</v>
      </c>
      <c r="N1019" s="154" t="str">
        <f>IF(ISNUMBER(PL[[#This Row],[CTO]]),"CTO "&amp;PL[[#This Row],[CTO]],"Otros")</f>
        <v>CTO 10</v>
      </c>
      <c r="O1019" s="154" t="str">
        <f>IF(PL[[#This Row],[STATUS IUP]]="CERRADO","CERRADO",IF(ISNUMBER(SEARCH("validacion de enel",PL[[#This Row],[SUPPLIER NOTES]])),"PTE Validar Enel","ABIERTO"))</f>
        <v>CERRADO</v>
      </c>
      <c r="P1019" s="154" t="str">
        <f>IF(PL[[#This Row],[ESTADO]]="CERRADO","Cerrados IUP",IF(PL[[#This Row],[ESTADO]]="PTE Validar Enel","Pendiente cierre ENEL",IF(ISNUMBER(SEARCH("suministro",PL[[#This Row],[SUPPLIER NOTES]])),"Suministros",IF(PL[[#This Row],[SC]]="SOCIAL","Social",IF(ISNUMBER(SEARCH("monolito",PL[[#This Row],[DESCRIPTION]])),"Monolitos","Varios")))))</f>
        <v>Cerrados IUP</v>
      </c>
      <c r="Q10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0" spans="1:17" s="157" customFormat="1" hidden="1" x14ac:dyDescent="0.2">
      <c r="A1020" s="151" t="s">
        <v>3043</v>
      </c>
      <c r="B1020" s="154" t="s">
        <v>8</v>
      </c>
      <c r="C1020" s="152">
        <v>10</v>
      </c>
      <c r="D1020" s="153" t="s">
        <v>3384</v>
      </c>
      <c r="E1020" s="154" t="s">
        <v>3044</v>
      </c>
      <c r="F1020" s="154" t="s">
        <v>2776</v>
      </c>
      <c r="G1020" s="154" t="s">
        <v>291</v>
      </c>
      <c r="H1020" s="154" t="s">
        <v>163</v>
      </c>
      <c r="I1020" s="154" t="s">
        <v>163</v>
      </c>
      <c r="J1020" s="154" t="s">
        <v>74</v>
      </c>
      <c r="K1020" s="154" t="s">
        <v>3394</v>
      </c>
      <c r="L1020" s="161">
        <v>46155</v>
      </c>
      <c r="M1020" s="160">
        <v>46155</v>
      </c>
      <c r="N1020" s="154" t="str">
        <f>IF(ISNUMBER(PL[[#This Row],[CTO]]),"CTO "&amp;PL[[#This Row],[CTO]],"Otros")</f>
        <v>CTO 10</v>
      </c>
      <c r="O1020" s="154" t="str">
        <f>IF(PL[[#This Row],[STATUS IUP]]="CERRADO","CERRADO",IF(ISNUMBER(SEARCH("validacion de enel",PL[[#This Row],[SUPPLIER NOTES]])),"PTE Validar Enel","ABIERTO"))</f>
        <v>CERRADO</v>
      </c>
      <c r="P1020" s="154" t="str">
        <f>IF(PL[[#This Row],[ESTADO]]="CERRADO","Cerrados IUP",IF(PL[[#This Row],[ESTADO]]="PTE Validar Enel","Pendiente cierre ENEL",IF(ISNUMBER(SEARCH("suministro",PL[[#This Row],[SUPPLIER NOTES]])),"Suministros",IF(PL[[#This Row],[SC]]="SOCIAL","Social",IF(ISNUMBER(SEARCH("monolito",PL[[#This Row],[DESCRIPTION]])),"Monolitos","Varios")))))</f>
        <v>Cerrados IUP</v>
      </c>
      <c r="Q10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1" spans="1:17" s="157" customFormat="1" hidden="1" x14ac:dyDescent="0.2">
      <c r="A1021" s="151" t="s">
        <v>3045</v>
      </c>
      <c r="B1021" s="154" t="s">
        <v>8</v>
      </c>
      <c r="C1021" s="152">
        <v>10</v>
      </c>
      <c r="D1021" s="153" t="s">
        <v>3384</v>
      </c>
      <c r="E1021" s="154" t="s">
        <v>3046</v>
      </c>
      <c r="F1021" s="154" t="s">
        <v>1993</v>
      </c>
      <c r="G1021" s="154" t="s">
        <v>291</v>
      </c>
      <c r="H1021" s="154" t="s">
        <v>163</v>
      </c>
      <c r="I1021" s="154" t="s">
        <v>163</v>
      </c>
      <c r="J1021" s="154" t="s">
        <v>74</v>
      </c>
      <c r="K1021" s="154" t="s">
        <v>3394</v>
      </c>
      <c r="L1021" s="161">
        <v>46155</v>
      </c>
      <c r="M1021" s="160">
        <v>46155</v>
      </c>
      <c r="N1021" s="154" t="str">
        <f>IF(ISNUMBER(PL[[#This Row],[CTO]]),"CTO "&amp;PL[[#This Row],[CTO]],"Otros")</f>
        <v>CTO 10</v>
      </c>
      <c r="O1021" s="154" t="str">
        <f>IF(PL[[#This Row],[STATUS IUP]]="CERRADO","CERRADO",IF(ISNUMBER(SEARCH("validacion de enel",PL[[#This Row],[SUPPLIER NOTES]])),"PTE Validar Enel","ABIERTO"))</f>
        <v>CERRADO</v>
      </c>
      <c r="P1021" s="154" t="str">
        <f>IF(PL[[#This Row],[ESTADO]]="CERRADO","Cerrados IUP",IF(PL[[#This Row],[ESTADO]]="PTE Validar Enel","Pendiente cierre ENEL",IF(ISNUMBER(SEARCH("suministro",PL[[#This Row],[SUPPLIER NOTES]])),"Suministros",IF(PL[[#This Row],[SC]]="SOCIAL","Social",IF(ISNUMBER(SEARCH("monolito",PL[[#This Row],[DESCRIPTION]])),"Monolitos","Varios")))))</f>
        <v>Cerrados IUP</v>
      </c>
      <c r="Q10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2" spans="1:17" s="157" customFormat="1" hidden="1" x14ac:dyDescent="0.2">
      <c r="A1022" s="151" t="s">
        <v>3047</v>
      </c>
      <c r="B1022" s="154" t="s">
        <v>8</v>
      </c>
      <c r="C1022" s="152">
        <v>10</v>
      </c>
      <c r="D1022" s="153" t="s">
        <v>3384</v>
      </c>
      <c r="E1022" s="154" t="s">
        <v>3048</v>
      </c>
      <c r="F1022" s="154" t="s">
        <v>2782</v>
      </c>
      <c r="G1022" s="154" t="s">
        <v>291</v>
      </c>
      <c r="H1022" s="154" t="s">
        <v>163</v>
      </c>
      <c r="I1022" s="154" t="s">
        <v>163</v>
      </c>
      <c r="J1022" s="154" t="s">
        <v>74</v>
      </c>
      <c r="K1022" s="154" t="s">
        <v>3394</v>
      </c>
      <c r="L1022" s="161">
        <v>46155</v>
      </c>
      <c r="M1022" s="160">
        <v>46155</v>
      </c>
      <c r="N1022" s="154" t="str">
        <f>IF(ISNUMBER(PL[[#This Row],[CTO]]),"CTO "&amp;PL[[#This Row],[CTO]],"Otros")</f>
        <v>CTO 10</v>
      </c>
      <c r="O1022" s="154" t="str">
        <f>IF(PL[[#This Row],[STATUS IUP]]="CERRADO","CERRADO",IF(ISNUMBER(SEARCH("validacion de enel",PL[[#This Row],[SUPPLIER NOTES]])),"PTE Validar Enel","ABIERTO"))</f>
        <v>CERRADO</v>
      </c>
      <c r="P1022" s="154" t="str">
        <f>IF(PL[[#This Row],[ESTADO]]="CERRADO","Cerrados IUP",IF(PL[[#This Row],[ESTADO]]="PTE Validar Enel","Pendiente cierre ENEL",IF(ISNUMBER(SEARCH("suministro",PL[[#This Row],[SUPPLIER NOTES]])),"Suministros",IF(PL[[#This Row],[SC]]="SOCIAL","Social",IF(ISNUMBER(SEARCH("monolito",PL[[#This Row],[DESCRIPTION]])),"Monolitos","Varios")))))</f>
        <v>Cerrados IUP</v>
      </c>
      <c r="Q10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3" spans="1:17" s="157" customFormat="1" hidden="1" x14ac:dyDescent="0.2">
      <c r="A1023" s="151" t="s">
        <v>3049</v>
      </c>
      <c r="B1023" s="154" t="s">
        <v>8</v>
      </c>
      <c r="C1023" s="152">
        <v>10</v>
      </c>
      <c r="D1023" s="153" t="s">
        <v>3384</v>
      </c>
      <c r="E1023" s="154" t="s">
        <v>3050</v>
      </c>
      <c r="F1023" s="154" t="s">
        <v>3051</v>
      </c>
      <c r="G1023" s="154" t="s">
        <v>291</v>
      </c>
      <c r="H1023" s="154" t="s">
        <v>163</v>
      </c>
      <c r="I1023" s="154" t="s">
        <v>163</v>
      </c>
      <c r="J1023" s="154" t="s">
        <v>74</v>
      </c>
      <c r="K1023" s="154" t="s">
        <v>3394</v>
      </c>
      <c r="L1023" s="161">
        <v>46155</v>
      </c>
      <c r="M1023" s="160">
        <v>46155</v>
      </c>
      <c r="N1023" s="154" t="str">
        <f>IF(ISNUMBER(PL[[#This Row],[CTO]]),"CTO "&amp;PL[[#This Row],[CTO]],"Otros")</f>
        <v>CTO 10</v>
      </c>
      <c r="O1023" s="154" t="str">
        <f>IF(PL[[#This Row],[STATUS IUP]]="CERRADO","CERRADO",IF(ISNUMBER(SEARCH("validacion de enel",PL[[#This Row],[SUPPLIER NOTES]])),"PTE Validar Enel","ABIERTO"))</f>
        <v>CERRADO</v>
      </c>
      <c r="P1023" s="154" t="str">
        <f>IF(PL[[#This Row],[ESTADO]]="CERRADO","Cerrados IUP",IF(PL[[#This Row],[ESTADO]]="PTE Validar Enel","Pendiente cierre ENEL",IF(ISNUMBER(SEARCH("suministro",PL[[#This Row],[SUPPLIER NOTES]])),"Suministros",IF(PL[[#This Row],[SC]]="SOCIAL","Social",IF(ISNUMBER(SEARCH("monolito",PL[[#This Row],[DESCRIPTION]])),"Monolitos","Varios")))))</f>
        <v>Cerrados IUP</v>
      </c>
      <c r="Q10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4" spans="1:17" s="157" customFormat="1" hidden="1" x14ac:dyDescent="0.2">
      <c r="A1024" s="151" t="s">
        <v>3052</v>
      </c>
      <c r="B1024" s="154" t="s">
        <v>8</v>
      </c>
      <c r="C1024" s="152">
        <v>10</v>
      </c>
      <c r="D1024" s="153" t="s">
        <v>3384</v>
      </c>
      <c r="E1024" s="154" t="s">
        <v>3053</v>
      </c>
      <c r="F1024" s="154" t="s">
        <v>2945</v>
      </c>
      <c r="G1024" s="154" t="s">
        <v>291</v>
      </c>
      <c r="H1024" s="154" t="s">
        <v>163</v>
      </c>
      <c r="I1024" s="154" t="s">
        <v>163</v>
      </c>
      <c r="J1024" s="154" t="s">
        <v>74</v>
      </c>
      <c r="K1024" s="154" t="s">
        <v>3394</v>
      </c>
      <c r="L1024" s="161">
        <v>46155</v>
      </c>
      <c r="M1024" s="160">
        <v>46155</v>
      </c>
      <c r="N1024" s="154" t="str">
        <f>IF(ISNUMBER(PL[[#This Row],[CTO]]),"CTO "&amp;PL[[#This Row],[CTO]],"Otros")</f>
        <v>CTO 10</v>
      </c>
      <c r="O1024" s="154" t="str">
        <f>IF(PL[[#This Row],[STATUS IUP]]="CERRADO","CERRADO",IF(ISNUMBER(SEARCH("validacion de enel",PL[[#This Row],[SUPPLIER NOTES]])),"PTE Validar Enel","ABIERTO"))</f>
        <v>CERRADO</v>
      </c>
      <c r="P1024" s="154" t="str">
        <f>IF(PL[[#This Row],[ESTADO]]="CERRADO","Cerrados IUP",IF(PL[[#This Row],[ESTADO]]="PTE Validar Enel","Pendiente cierre ENEL",IF(ISNUMBER(SEARCH("suministro",PL[[#This Row],[SUPPLIER NOTES]])),"Suministros",IF(PL[[#This Row],[SC]]="SOCIAL","Social",IF(ISNUMBER(SEARCH("monolito",PL[[#This Row],[DESCRIPTION]])),"Monolitos","Varios")))))</f>
        <v>Cerrados IUP</v>
      </c>
      <c r="Q10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5" spans="1:17" s="157" customFormat="1" hidden="1" x14ac:dyDescent="0.2">
      <c r="A1025" s="151" t="s">
        <v>3054</v>
      </c>
      <c r="B1025" s="154" t="s">
        <v>8</v>
      </c>
      <c r="C1025" s="152">
        <v>10</v>
      </c>
      <c r="D1025" s="153" t="s">
        <v>3384</v>
      </c>
      <c r="E1025" s="154" t="s">
        <v>3055</v>
      </c>
      <c r="F1025" s="154" t="s">
        <v>1692</v>
      </c>
      <c r="G1025" s="154" t="s">
        <v>291</v>
      </c>
      <c r="H1025" s="154" t="s">
        <v>163</v>
      </c>
      <c r="I1025" s="154" t="s">
        <v>163</v>
      </c>
      <c r="J1025" s="154" t="s">
        <v>74</v>
      </c>
      <c r="K1025" s="154" t="s">
        <v>3394</v>
      </c>
      <c r="L1025" s="161">
        <v>46155</v>
      </c>
      <c r="M1025" s="160">
        <v>46155</v>
      </c>
      <c r="N1025" s="154" t="str">
        <f>IF(ISNUMBER(PL[[#This Row],[CTO]]),"CTO "&amp;PL[[#This Row],[CTO]],"Otros")</f>
        <v>CTO 10</v>
      </c>
      <c r="O1025" s="154" t="str">
        <f>IF(PL[[#This Row],[STATUS IUP]]="CERRADO","CERRADO",IF(ISNUMBER(SEARCH("validacion de enel",PL[[#This Row],[SUPPLIER NOTES]])),"PTE Validar Enel","ABIERTO"))</f>
        <v>CERRADO</v>
      </c>
      <c r="P1025" s="154" t="str">
        <f>IF(PL[[#This Row],[ESTADO]]="CERRADO","Cerrados IUP",IF(PL[[#This Row],[ESTADO]]="PTE Validar Enel","Pendiente cierre ENEL",IF(ISNUMBER(SEARCH("suministro",PL[[#This Row],[SUPPLIER NOTES]])),"Suministros",IF(PL[[#This Row],[SC]]="SOCIAL","Social",IF(ISNUMBER(SEARCH("monolito",PL[[#This Row],[DESCRIPTION]])),"Monolitos","Varios")))))</f>
        <v>Cerrados IUP</v>
      </c>
      <c r="Q10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6" spans="1:17" s="157" customFormat="1" hidden="1" x14ac:dyDescent="0.2">
      <c r="A1026" s="151" t="s">
        <v>3056</v>
      </c>
      <c r="B1026" s="154" t="s">
        <v>8</v>
      </c>
      <c r="C1026" s="152">
        <v>10</v>
      </c>
      <c r="D1026" s="153" t="s">
        <v>3384</v>
      </c>
      <c r="E1026" s="154" t="s">
        <v>3057</v>
      </c>
      <c r="F1026" s="154" t="s">
        <v>2799</v>
      </c>
      <c r="G1026" s="154" t="s">
        <v>291</v>
      </c>
      <c r="H1026" s="154" t="s">
        <v>163</v>
      </c>
      <c r="I1026" s="154" t="s">
        <v>163</v>
      </c>
      <c r="J1026" s="154" t="s">
        <v>74</v>
      </c>
      <c r="K1026" s="154" t="s">
        <v>3394</v>
      </c>
      <c r="L1026" s="161">
        <v>46155</v>
      </c>
      <c r="M1026" s="160">
        <v>46155</v>
      </c>
      <c r="N1026" s="154" t="str">
        <f>IF(ISNUMBER(PL[[#This Row],[CTO]]),"CTO "&amp;PL[[#This Row],[CTO]],"Otros")</f>
        <v>CTO 10</v>
      </c>
      <c r="O1026" s="154" t="str">
        <f>IF(PL[[#This Row],[STATUS IUP]]="CERRADO","CERRADO",IF(ISNUMBER(SEARCH("validacion de enel",PL[[#This Row],[SUPPLIER NOTES]])),"PTE Validar Enel","ABIERTO"))</f>
        <v>CERRADO</v>
      </c>
      <c r="P1026" s="154" t="str">
        <f>IF(PL[[#This Row],[ESTADO]]="CERRADO","Cerrados IUP",IF(PL[[#This Row],[ESTADO]]="PTE Validar Enel","Pendiente cierre ENEL",IF(ISNUMBER(SEARCH("suministro",PL[[#This Row],[SUPPLIER NOTES]])),"Suministros",IF(PL[[#This Row],[SC]]="SOCIAL","Social",IF(ISNUMBER(SEARCH("monolito",PL[[#This Row],[DESCRIPTION]])),"Monolitos","Varios")))))</f>
        <v>Cerrados IUP</v>
      </c>
      <c r="Q10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7" spans="1:17" s="157" customFormat="1" hidden="1" x14ac:dyDescent="0.2">
      <c r="A1027" s="151" t="s">
        <v>3058</v>
      </c>
      <c r="B1027" s="154" t="s">
        <v>8</v>
      </c>
      <c r="C1027" s="152">
        <v>10</v>
      </c>
      <c r="D1027" s="153" t="s">
        <v>3384</v>
      </c>
      <c r="E1027" s="154" t="s">
        <v>3059</v>
      </c>
      <c r="F1027" s="154" t="s">
        <v>2671</v>
      </c>
      <c r="G1027" s="154" t="s">
        <v>291</v>
      </c>
      <c r="H1027" s="154" t="s">
        <v>163</v>
      </c>
      <c r="I1027" s="154" t="s">
        <v>163</v>
      </c>
      <c r="J1027" s="154" t="s">
        <v>74</v>
      </c>
      <c r="K1027" s="154" t="s">
        <v>3394</v>
      </c>
      <c r="L1027" s="161">
        <v>46155</v>
      </c>
      <c r="M1027" s="160">
        <v>46155</v>
      </c>
      <c r="N1027" s="154" t="str">
        <f>IF(ISNUMBER(PL[[#This Row],[CTO]]),"CTO "&amp;PL[[#This Row],[CTO]],"Otros")</f>
        <v>CTO 10</v>
      </c>
      <c r="O1027" s="154" t="str">
        <f>IF(PL[[#This Row],[STATUS IUP]]="CERRADO","CERRADO",IF(ISNUMBER(SEARCH("validacion de enel",PL[[#This Row],[SUPPLIER NOTES]])),"PTE Validar Enel","ABIERTO"))</f>
        <v>CERRADO</v>
      </c>
      <c r="P1027" s="154" t="str">
        <f>IF(PL[[#This Row],[ESTADO]]="CERRADO","Cerrados IUP",IF(PL[[#This Row],[ESTADO]]="PTE Validar Enel","Pendiente cierre ENEL",IF(ISNUMBER(SEARCH("suministro",PL[[#This Row],[SUPPLIER NOTES]])),"Suministros",IF(PL[[#This Row],[SC]]="SOCIAL","Social",IF(ISNUMBER(SEARCH("monolito",PL[[#This Row],[DESCRIPTION]])),"Monolitos","Varios")))))</f>
        <v>Cerrados IUP</v>
      </c>
      <c r="Q10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8" spans="1:17" s="157" customFormat="1" hidden="1" x14ac:dyDescent="0.2">
      <c r="A1028" s="151" t="s">
        <v>3060</v>
      </c>
      <c r="B1028" s="154" t="s">
        <v>8</v>
      </c>
      <c r="C1028" s="152">
        <v>10</v>
      </c>
      <c r="D1028" s="153" t="s">
        <v>3384</v>
      </c>
      <c r="E1028" s="154" t="s">
        <v>3061</v>
      </c>
      <c r="F1028" s="154" t="s">
        <v>1573</v>
      </c>
      <c r="G1028" s="154" t="s">
        <v>291</v>
      </c>
      <c r="H1028" s="154" t="s">
        <v>163</v>
      </c>
      <c r="I1028" s="154" t="s">
        <v>163</v>
      </c>
      <c r="J1028" s="154" t="s">
        <v>74</v>
      </c>
      <c r="K1028" s="154" t="s">
        <v>3394</v>
      </c>
      <c r="L1028" s="161">
        <v>46155</v>
      </c>
      <c r="M1028" s="160">
        <v>46155</v>
      </c>
      <c r="N1028" s="154" t="str">
        <f>IF(ISNUMBER(PL[[#This Row],[CTO]]),"CTO "&amp;PL[[#This Row],[CTO]],"Otros")</f>
        <v>CTO 10</v>
      </c>
      <c r="O1028" s="154" t="str">
        <f>IF(PL[[#This Row],[STATUS IUP]]="CERRADO","CERRADO",IF(ISNUMBER(SEARCH("validacion de enel",PL[[#This Row],[SUPPLIER NOTES]])),"PTE Validar Enel","ABIERTO"))</f>
        <v>CERRADO</v>
      </c>
      <c r="P1028" s="154" t="str">
        <f>IF(PL[[#This Row],[ESTADO]]="CERRADO","Cerrados IUP",IF(PL[[#This Row],[ESTADO]]="PTE Validar Enel","Pendiente cierre ENEL",IF(ISNUMBER(SEARCH("suministro",PL[[#This Row],[SUPPLIER NOTES]])),"Suministros",IF(PL[[#This Row],[SC]]="SOCIAL","Social",IF(ISNUMBER(SEARCH("monolito",PL[[#This Row],[DESCRIPTION]])),"Monolitos","Varios")))))</f>
        <v>Cerrados IUP</v>
      </c>
      <c r="Q10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29" spans="1:17" s="157" customFormat="1" hidden="1" x14ac:dyDescent="0.2">
      <c r="A1029" s="151" t="s">
        <v>3062</v>
      </c>
      <c r="B1029" s="154" t="s">
        <v>8</v>
      </c>
      <c r="C1029" s="152">
        <v>10</v>
      </c>
      <c r="D1029" s="153" t="s">
        <v>3384</v>
      </c>
      <c r="E1029" s="154" t="s">
        <v>3063</v>
      </c>
      <c r="F1029" s="154" t="s">
        <v>2608</v>
      </c>
      <c r="G1029" s="154" t="s">
        <v>291</v>
      </c>
      <c r="H1029" s="154" t="s">
        <v>163</v>
      </c>
      <c r="I1029" s="154" t="s">
        <v>163</v>
      </c>
      <c r="J1029" s="154" t="s">
        <v>74</v>
      </c>
      <c r="K1029" s="154" t="s">
        <v>3394</v>
      </c>
      <c r="L1029" s="161">
        <v>46155</v>
      </c>
      <c r="M1029" s="160">
        <v>46155</v>
      </c>
      <c r="N1029" s="154" t="str">
        <f>IF(ISNUMBER(PL[[#This Row],[CTO]]),"CTO "&amp;PL[[#This Row],[CTO]],"Otros")</f>
        <v>CTO 10</v>
      </c>
      <c r="O1029" s="154" t="str">
        <f>IF(PL[[#This Row],[STATUS IUP]]="CERRADO","CERRADO",IF(ISNUMBER(SEARCH("validacion de enel",PL[[#This Row],[SUPPLIER NOTES]])),"PTE Validar Enel","ABIERTO"))</f>
        <v>CERRADO</v>
      </c>
      <c r="P1029" s="154" t="str">
        <f>IF(PL[[#This Row],[ESTADO]]="CERRADO","Cerrados IUP",IF(PL[[#This Row],[ESTADO]]="PTE Validar Enel","Pendiente cierre ENEL",IF(ISNUMBER(SEARCH("suministro",PL[[#This Row],[SUPPLIER NOTES]])),"Suministros",IF(PL[[#This Row],[SC]]="SOCIAL","Social",IF(ISNUMBER(SEARCH("monolito",PL[[#This Row],[DESCRIPTION]])),"Monolitos","Varios")))))</f>
        <v>Cerrados IUP</v>
      </c>
      <c r="Q10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0" spans="1:17" s="157" customFormat="1" hidden="1" x14ac:dyDescent="0.2">
      <c r="A1030" s="151" t="s">
        <v>3064</v>
      </c>
      <c r="B1030" s="154" t="s">
        <v>8</v>
      </c>
      <c r="C1030" s="152">
        <v>10</v>
      </c>
      <c r="D1030" s="153" t="s">
        <v>3384</v>
      </c>
      <c r="E1030" s="154" t="s">
        <v>3065</v>
      </c>
      <c r="F1030" s="154" t="s">
        <v>1581</v>
      </c>
      <c r="G1030" s="154" t="s">
        <v>291</v>
      </c>
      <c r="H1030" s="154" t="s">
        <v>163</v>
      </c>
      <c r="I1030" s="154" t="s">
        <v>163</v>
      </c>
      <c r="J1030" s="154" t="s">
        <v>74</v>
      </c>
      <c r="K1030" s="154" t="s">
        <v>3394</v>
      </c>
      <c r="L1030" s="161">
        <v>46155</v>
      </c>
      <c r="M1030" s="160">
        <v>46155</v>
      </c>
      <c r="N1030" s="154" t="str">
        <f>IF(ISNUMBER(PL[[#This Row],[CTO]]),"CTO "&amp;PL[[#This Row],[CTO]],"Otros")</f>
        <v>CTO 10</v>
      </c>
      <c r="O1030" s="154" t="str">
        <f>IF(PL[[#This Row],[STATUS IUP]]="CERRADO","CERRADO",IF(ISNUMBER(SEARCH("validacion de enel",PL[[#This Row],[SUPPLIER NOTES]])),"PTE Validar Enel","ABIERTO"))</f>
        <v>CERRADO</v>
      </c>
      <c r="P1030" s="154" t="str">
        <f>IF(PL[[#This Row],[ESTADO]]="CERRADO","Cerrados IUP",IF(PL[[#This Row],[ESTADO]]="PTE Validar Enel","Pendiente cierre ENEL",IF(ISNUMBER(SEARCH("suministro",PL[[#This Row],[SUPPLIER NOTES]])),"Suministros",IF(PL[[#This Row],[SC]]="SOCIAL","Social",IF(ISNUMBER(SEARCH("monolito",PL[[#This Row],[DESCRIPTION]])),"Monolitos","Varios")))))</f>
        <v>Cerrados IUP</v>
      </c>
      <c r="Q10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1" spans="1:17" s="157" customFormat="1" hidden="1" x14ac:dyDescent="0.2">
      <c r="A1031" s="151" t="s">
        <v>3066</v>
      </c>
      <c r="B1031" s="154" t="s">
        <v>8</v>
      </c>
      <c r="C1031" s="152">
        <v>10</v>
      </c>
      <c r="D1031" s="153" t="s">
        <v>3384</v>
      </c>
      <c r="E1031" s="154" t="s">
        <v>3067</v>
      </c>
      <c r="F1031" s="154" t="s">
        <v>1587</v>
      </c>
      <c r="G1031" s="154" t="s">
        <v>291</v>
      </c>
      <c r="H1031" s="154" t="s">
        <v>163</v>
      </c>
      <c r="I1031" s="154" t="s">
        <v>163</v>
      </c>
      <c r="J1031" s="154" t="s">
        <v>74</v>
      </c>
      <c r="K1031" s="154" t="s">
        <v>3394</v>
      </c>
      <c r="L1031" s="161">
        <v>46155</v>
      </c>
      <c r="M1031" s="160">
        <v>46155</v>
      </c>
      <c r="N1031" s="154" t="str">
        <f>IF(ISNUMBER(PL[[#This Row],[CTO]]),"CTO "&amp;PL[[#This Row],[CTO]],"Otros")</f>
        <v>CTO 10</v>
      </c>
      <c r="O1031" s="154" t="str">
        <f>IF(PL[[#This Row],[STATUS IUP]]="CERRADO","CERRADO",IF(ISNUMBER(SEARCH("validacion de enel",PL[[#This Row],[SUPPLIER NOTES]])),"PTE Validar Enel","ABIERTO"))</f>
        <v>CERRADO</v>
      </c>
      <c r="P1031" s="154" t="str">
        <f>IF(PL[[#This Row],[ESTADO]]="CERRADO","Cerrados IUP",IF(PL[[#This Row],[ESTADO]]="PTE Validar Enel","Pendiente cierre ENEL",IF(ISNUMBER(SEARCH("suministro",PL[[#This Row],[SUPPLIER NOTES]])),"Suministros",IF(PL[[#This Row],[SC]]="SOCIAL","Social",IF(ISNUMBER(SEARCH("monolito",PL[[#This Row],[DESCRIPTION]])),"Monolitos","Varios")))))</f>
        <v>Cerrados IUP</v>
      </c>
      <c r="Q10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2" spans="1:17" s="157" customFormat="1" hidden="1" x14ac:dyDescent="0.2">
      <c r="A1032" s="151" t="s">
        <v>3074</v>
      </c>
      <c r="B1032" s="154" t="s">
        <v>8</v>
      </c>
      <c r="C1032" s="152">
        <v>10</v>
      </c>
      <c r="D1032" s="153" t="s">
        <v>3384</v>
      </c>
      <c r="E1032" s="154" t="s">
        <v>3075</v>
      </c>
      <c r="F1032" s="154" t="s">
        <v>1689</v>
      </c>
      <c r="G1032" s="154" t="s">
        <v>291</v>
      </c>
      <c r="H1032" s="154" t="s">
        <v>163</v>
      </c>
      <c r="I1032" s="154" t="s">
        <v>163</v>
      </c>
      <c r="J1032" s="154" t="s">
        <v>74</v>
      </c>
      <c r="K1032" s="154" t="s">
        <v>3394</v>
      </c>
      <c r="L1032" s="161">
        <v>46155</v>
      </c>
      <c r="M1032" s="160">
        <v>46155</v>
      </c>
      <c r="N1032" s="154" t="str">
        <f>IF(ISNUMBER(PL[[#This Row],[CTO]]),"CTO "&amp;PL[[#This Row],[CTO]],"Otros")</f>
        <v>CTO 10</v>
      </c>
      <c r="O1032" s="154" t="str">
        <f>IF(PL[[#This Row],[STATUS IUP]]="CERRADO","CERRADO",IF(ISNUMBER(SEARCH("validacion de enel",PL[[#This Row],[SUPPLIER NOTES]])),"PTE Validar Enel","ABIERTO"))</f>
        <v>CERRADO</v>
      </c>
      <c r="P1032" s="154" t="str">
        <f>IF(PL[[#This Row],[ESTADO]]="CERRADO","Cerrados IUP",IF(PL[[#This Row],[ESTADO]]="PTE Validar Enel","Pendiente cierre ENEL",IF(ISNUMBER(SEARCH("suministro",PL[[#This Row],[SUPPLIER NOTES]])),"Suministros",IF(PL[[#This Row],[SC]]="SOCIAL","Social",IF(ISNUMBER(SEARCH("monolito",PL[[#This Row],[DESCRIPTION]])),"Monolitos","Varios")))))</f>
        <v>Cerrados IUP</v>
      </c>
      <c r="Q10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3" spans="1:17" s="157" customFormat="1" hidden="1" x14ac:dyDescent="0.2">
      <c r="A1033" s="151" t="s">
        <v>3076</v>
      </c>
      <c r="B1033" s="154" t="s">
        <v>8</v>
      </c>
      <c r="C1033" s="152">
        <v>10</v>
      </c>
      <c r="D1033" s="153" t="s">
        <v>3384</v>
      </c>
      <c r="E1033" s="154" t="s">
        <v>3077</v>
      </c>
      <c r="F1033" s="154" t="s">
        <v>2063</v>
      </c>
      <c r="G1033" s="154" t="s">
        <v>291</v>
      </c>
      <c r="H1033" s="154" t="s">
        <v>163</v>
      </c>
      <c r="I1033" s="154" t="s">
        <v>163</v>
      </c>
      <c r="J1033" s="154" t="s">
        <v>74</v>
      </c>
      <c r="K1033" s="154" t="s">
        <v>3394</v>
      </c>
      <c r="L1033" s="161">
        <v>46155</v>
      </c>
      <c r="M1033" s="160">
        <v>46155</v>
      </c>
      <c r="N1033" s="154" t="str">
        <f>IF(ISNUMBER(PL[[#This Row],[CTO]]),"CTO "&amp;PL[[#This Row],[CTO]],"Otros")</f>
        <v>CTO 10</v>
      </c>
      <c r="O1033" s="154" t="str">
        <f>IF(PL[[#This Row],[STATUS IUP]]="CERRADO","CERRADO",IF(ISNUMBER(SEARCH("validacion de enel",PL[[#This Row],[SUPPLIER NOTES]])),"PTE Validar Enel","ABIERTO"))</f>
        <v>CERRADO</v>
      </c>
      <c r="P1033" s="154" t="str">
        <f>IF(PL[[#This Row],[ESTADO]]="CERRADO","Cerrados IUP",IF(PL[[#This Row],[ESTADO]]="PTE Validar Enel","Pendiente cierre ENEL",IF(ISNUMBER(SEARCH("suministro",PL[[#This Row],[SUPPLIER NOTES]])),"Suministros",IF(PL[[#This Row],[SC]]="SOCIAL","Social",IF(ISNUMBER(SEARCH("monolito",PL[[#This Row],[DESCRIPTION]])),"Monolitos","Varios")))))</f>
        <v>Cerrados IUP</v>
      </c>
      <c r="Q10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4" spans="1:17" s="157" customFormat="1" hidden="1" x14ac:dyDescent="0.2">
      <c r="A1034" s="151" t="s">
        <v>3078</v>
      </c>
      <c r="B1034" s="154" t="s">
        <v>8</v>
      </c>
      <c r="C1034" s="152">
        <v>10</v>
      </c>
      <c r="D1034" s="153" t="s">
        <v>3384</v>
      </c>
      <c r="E1034" s="154" t="s">
        <v>3079</v>
      </c>
      <c r="F1034" s="154" t="s">
        <v>2300</v>
      </c>
      <c r="G1034" s="154" t="s">
        <v>291</v>
      </c>
      <c r="H1034" s="154" t="s">
        <v>163</v>
      </c>
      <c r="I1034" s="154" t="s">
        <v>163</v>
      </c>
      <c r="J1034" s="154" t="s">
        <v>74</v>
      </c>
      <c r="K1034" s="154" t="s">
        <v>3394</v>
      </c>
      <c r="L1034" s="161">
        <v>46155</v>
      </c>
      <c r="M1034" s="160">
        <v>46155</v>
      </c>
      <c r="N1034" s="154" t="str">
        <f>IF(ISNUMBER(PL[[#This Row],[CTO]]),"CTO "&amp;PL[[#This Row],[CTO]],"Otros")</f>
        <v>CTO 10</v>
      </c>
      <c r="O1034" s="154" t="str">
        <f>IF(PL[[#This Row],[STATUS IUP]]="CERRADO","CERRADO",IF(ISNUMBER(SEARCH("validacion de enel",PL[[#This Row],[SUPPLIER NOTES]])),"PTE Validar Enel","ABIERTO"))</f>
        <v>CERRADO</v>
      </c>
      <c r="P1034" s="154" t="str">
        <f>IF(PL[[#This Row],[ESTADO]]="CERRADO","Cerrados IUP",IF(PL[[#This Row],[ESTADO]]="PTE Validar Enel","Pendiente cierre ENEL",IF(ISNUMBER(SEARCH("suministro",PL[[#This Row],[SUPPLIER NOTES]])),"Suministros",IF(PL[[#This Row],[SC]]="SOCIAL","Social",IF(ISNUMBER(SEARCH("monolito",PL[[#This Row],[DESCRIPTION]])),"Monolitos","Varios")))))</f>
        <v>Cerrados IUP</v>
      </c>
      <c r="Q10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5" spans="1:17" s="157" customFormat="1" hidden="1" x14ac:dyDescent="0.2">
      <c r="A1035" s="151" t="s">
        <v>3080</v>
      </c>
      <c r="B1035" s="154" t="s">
        <v>8</v>
      </c>
      <c r="C1035" s="152">
        <v>10</v>
      </c>
      <c r="D1035" s="153" t="s">
        <v>3384</v>
      </c>
      <c r="E1035" s="154" t="s">
        <v>3081</v>
      </c>
      <c r="F1035" s="154" t="s">
        <v>1843</v>
      </c>
      <c r="G1035" s="154" t="s">
        <v>291</v>
      </c>
      <c r="H1035" s="154" t="s">
        <v>163</v>
      </c>
      <c r="I1035" s="154" t="s">
        <v>163</v>
      </c>
      <c r="J1035" s="154" t="s">
        <v>74</v>
      </c>
      <c r="K1035" s="154" t="s">
        <v>3394</v>
      </c>
      <c r="L1035" s="161">
        <v>46155</v>
      </c>
      <c r="M1035" s="160">
        <v>46155</v>
      </c>
      <c r="N1035" s="154" t="str">
        <f>IF(ISNUMBER(PL[[#This Row],[CTO]]),"CTO "&amp;PL[[#This Row],[CTO]],"Otros")</f>
        <v>CTO 10</v>
      </c>
      <c r="O1035" s="154" t="str">
        <f>IF(PL[[#This Row],[STATUS IUP]]="CERRADO","CERRADO",IF(ISNUMBER(SEARCH("validacion de enel",PL[[#This Row],[SUPPLIER NOTES]])),"PTE Validar Enel","ABIERTO"))</f>
        <v>CERRADO</v>
      </c>
      <c r="P1035" s="154" t="str">
        <f>IF(PL[[#This Row],[ESTADO]]="CERRADO","Cerrados IUP",IF(PL[[#This Row],[ESTADO]]="PTE Validar Enel","Pendiente cierre ENEL",IF(ISNUMBER(SEARCH("suministro",PL[[#This Row],[SUPPLIER NOTES]])),"Suministros",IF(PL[[#This Row],[SC]]="SOCIAL","Social",IF(ISNUMBER(SEARCH("monolito",PL[[#This Row],[DESCRIPTION]])),"Monolitos","Varios")))))</f>
        <v>Cerrados IUP</v>
      </c>
      <c r="Q10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6" spans="1:17" s="157" customFormat="1" hidden="1" x14ac:dyDescent="0.2">
      <c r="A1036" s="151" t="s">
        <v>3082</v>
      </c>
      <c r="B1036" s="154" t="s">
        <v>8</v>
      </c>
      <c r="C1036" s="152">
        <v>10</v>
      </c>
      <c r="D1036" s="153" t="s">
        <v>3384</v>
      </c>
      <c r="E1036" s="154" t="s">
        <v>3083</v>
      </c>
      <c r="F1036" s="154" t="s">
        <v>1990</v>
      </c>
      <c r="G1036" s="154" t="s">
        <v>291</v>
      </c>
      <c r="H1036" s="154" t="s">
        <v>163</v>
      </c>
      <c r="I1036" s="154" t="s">
        <v>163</v>
      </c>
      <c r="J1036" s="154" t="s">
        <v>74</v>
      </c>
      <c r="K1036" s="154" t="s">
        <v>3394</v>
      </c>
      <c r="L1036" s="161">
        <v>46155</v>
      </c>
      <c r="M1036" s="160">
        <v>46155</v>
      </c>
      <c r="N1036" s="154" t="str">
        <f>IF(ISNUMBER(PL[[#This Row],[CTO]]),"CTO "&amp;PL[[#This Row],[CTO]],"Otros")</f>
        <v>CTO 10</v>
      </c>
      <c r="O1036" s="154" t="str">
        <f>IF(PL[[#This Row],[STATUS IUP]]="CERRADO","CERRADO",IF(ISNUMBER(SEARCH("validacion de enel",PL[[#This Row],[SUPPLIER NOTES]])),"PTE Validar Enel","ABIERTO"))</f>
        <v>CERRADO</v>
      </c>
      <c r="P1036" s="154" t="str">
        <f>IF(PL[[#This Row],[ESTADO]]="CERRADO","Cerrados IUP",IF(PL[[#This Row],[ESTADO]]="PTE Validar Enel","Pendiente cierre ENEL",IF(ISNUMBER(SEARCH("suministro",PL[[#This Row],[SUPPLIER NOTES]])),"Suministros",IF(PL[[#This Row],[SC]]="SOCIAL","Social",IF(ISNUMBER(SEARCH("monolito",PL[[#This Row],[DESCRIPTION]])),"Monolitos","Varios")))))</f>
        <v>Cerrados IUP</v>
      </c>
      <c r="Q10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7" spans="1:17" s="157" customFormat="1" hidden="1" x14ac:dyDescent="0.2">
      <c r="A1037" s="151" t="s">
        <v>3084</v>
      </c>
      <c r="B1037" s="154" t="s">
        <v>8</v>
      </c>
      <c r="C1037" s="152">
        <v>10</v>
      </c>
      <c r="D1037" s="153" t="s">
        <v>3384</v>
      </c>
      <c r="E1037" s="154" t="s">
        <v>3085</v>
      </c>
      <c r="F1037" s="154" t="s">
        <v>1813</v>
      </c>
      <c r="G1037" s="154" t="s">
        <v>291</v>
      </c>
      <c r="H1037" s="154" t="s">
        <v>163</v>
      </c>
      <c r="I1037" s="154" t="s">
        <v>163</v>
      </c>
      <c r="J1037" s="154" t="s">
        <v>74</v>
      </c>
      <c r="K1037" s="154" t="s">
        <v>3394</v>
      </c>
      <c r="L1037" s="161">
        <v>46155</v>
      </c>
      <c r="M1037" s="160">
        <v>46155</v>
      </c>
      <c r="N1037" s="154" t="str">
        <f>IF(ISNUMBER(PL[[#This Row],[CTO]]),"CTO "&amp;PL[[#This Row],[CTO]],"Otros")</f>
        <v>CTO 10</v>
      </c>
      <c r="O1037" s="154" t="str">
        <f>IF(PL[[#This Row],[STATUS IUP]]="CERRADO","CERRADO",IF(ISNUMBER(SEARCH("validacion de enel",PL[[#This Row],[SUPPLIER NOTES]])),"PTE Validar Enel","ABIERTO"))</f>
        <v>CERRADO</v>
      </c>
      <c r="P1037" s="154" t="str">
        <f>IF(PL[[#This Row],[ESTADO]]="CERRADO","Cerrados IUP",IF(PL[[#This Row],[ESTADO]]="PTE Validar Enel","Pendiente cierre ENEL",IF(ISNUMBER(SEARCH("suministro",PL[[#This Row],[SUPPLIER NOTES]])),"Suministros",IF(PL[[#This Row],[SC]]="SOCIAL","Social",IF(ISNUMBER(SEARCH("monolito",PL[[#This Row],[DESCRIPTION]])),"Monolitos","Varios")))))</f>
        <v>Cerrados IUP</v>
      </c>
      <c r="Q10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8" spans="1:17" s="157" customFormat="1" hidden="1" x14ac:dyDescent="0.2">
      <c r="A1038" s="151" t="s">
        <v>3086</v>
      </c>
      <c r="B1038" s="154" t="s">
        <v>8</v>
      </c>
      <c r="C1038" s="152">
        <v>10</v>
      </c>
      <c r="D1038" s="153" t="s">
        <v>3384</v>
      </c>
      <c r="E1038" s="154" t="s">
        <v>3087</v>
      </c>
      <c r="F1038" s="154" t="s">
        <v>1840</v>
      </c>
      <c r="G1038" s="154" t="s">
        <v>291</v>
      </c>
      <c r="H1038" s="154" t="s">
        <v>163</v>
      </c>
      <c r="I1038" s="154" t="s">
        <v>163</v>
      </c>
      <c r="J1038" s="154" t="s">
        <v>74</v>
      </c>
      <c r="K1038" s="154" t="s">
        <v>3394</v>
      </c>
      <c r="L1038" s="161">
        <v>46155</v>
      </c>
      <c r="M1038" s="160">
        <v>46155</v>
      </c>
      <c r="N1038" s="154" t="str">
        <f>IF(ISNUMBER(PL[[#This Row],[CTO]]),"CTO "&amp;PL[[#This Row],[CTO]],"Otros")</f>
        <v>CTO 10</v>
      </c>
      <c r="O1038" s="154" t="str">
        <f>IF(PL[[#This Row],[STATUS IUP]]="CERRADO","CERRADO",IF(ISNUMBER(SEARCH("validacion de enel",PL[[#This Row],[SUPPLIER NOTES]])),"PTE Validar Enel","ABIERTO"))</f>
        <v>CERRADO</v>
      </c>
      <c r="P1038" s="154" t="str">
        <f>IF(PL[[#This Row],[ESTADO]]="CERRADO","Cerrados IUP",IF(PL[[#This Row],[ESTADO]]="PTE Validar Enel","Pendiente cierre ENEL",IF(ISNUMBER(SEARCH("suministro",PL[[#This Row],[SUPPLIER NOTES]])),"Suministros",IF(PL[[#This Row],[SC]]="SOCIAL","Social",IF(ISNUMBER(SEARCH("monolito",PL[[#This Row],[DESCRIPTION]])),"Monolitos","Varios")))))</f>
        <v>Cerrados IUP</v>
      </c>
      <c r="Q10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39" spans="1:17" s="157" customFormat="1" hidden="1" x14ac:dyDescent="0.2">
      <c r="A1039" s="151" t="s">
        <v>3088</v>
      </c>
      <c r="B1039" s="154" t="s">
        <v>8</v>
      </c>
      <c r="C1039" s="152">
        <v>10</v>
      </c>
      <c r="D1039" s="153" t="s">
        <v>3384</v>
      </c>
      <c r="E1039" s="154" t="s">
        <v>3089</v>
      </c>
      <c r="F1039" s="154" t="s">
        <v>2436</v>
      </c>
      <c r="G1039" s="154" t="s">
        <v>291</v>
      </c>
      <c r="H1039" s="154" t="s">
        <v>163</v>
      </c>
      <c r="I1039" s="154" t="s">
        <v>163</v>
      </c>
      <c r="J1039" s="154" t="s">
        <v>74</v>
      </c>
      <c r="K1039" s="154" t="s">
        <v>3394</v>
      </c>
      <c r="L1039" s="161">
        <v>46155</v>
      </c>
      <c r="M1039" s="160">
        <v>46155</v>
      </c>
      <c r="N1039" s="154" t="str">
        <f>IF(ISNUMBER(PL[[#This Row],[CTO]]),"CTO "&amp;PL[[#This Row],[CTO]],"Otros")</f>
        <v>CTO 10</v>
      </c>
      <c r="O1039" s="154" t="str">
        <f>IF(PL[[#This Row],[STATUS IUP]]="CERRADO","CERRADO",IF(ISNUMBER(SEARCH("validacion de enel",PL[[#This Row],[SUPPLIER NOTES]])),"PTE Validar Enel","ABIERTO"))</f>
        <v>CERRADO</v>
      </c>
      <c r="P1039" s="154" t="str">
        <f>IF(PL[[#This Row],[ESTADO]]="CERRADO","Cerrados IUP",IF(PL[[#This Row],[ESTADO]]="PTE Validar Enel","Pendiente cierre ENEL",IF(ISNUMBER(SEARCH("suministro",PL[[#This Row],[SUPPLIER NOTES]])),"Suministros",IF(PL[[#This Row],[SC]]="SOCIAL","Social",IF(ISNUMBER(SEARCH("monolito",PL[[#This Row],[DESCRIPTION]])),"Monolitos","Varios")))))</f>
        <v>Cerrados IUP</v>
      </c>
      <c r="Q10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0" spans="1:17" s="157" customFormat="1" hidden="1" x14ac:dyDescent="0.2">
      <c r="A1040" s="151" t="s">
        <v>3090</v>
      </c>
      <c r="B1040" s="154" t="s">
        <v>8</v>
      </c>
      <c r="C1040" s="152">
        <v>10</v>
      </c>
      <c r="D1040" s="153" t="s">
        <v>3384</v>
      </c>
      <c r="E1040" s="154" t="s">
        <v>3091</v>
      </c>
      <c r="F1040" s="154" t="s">
        <v>2433</v>
      </c>
      <c r="G1040" s="154" t="s">
        <v>291</v>
      </c>
      <c r="H1040" s="154" t="s">
        <v>163</v>
      </c>
      <c r="I1040" s="154" t="s">
        <v>163</v>
      </c>
      <c r="J1040" s="154" t="s">
        <v>74</v>
      </c>
      <c r="K1040" s="154" t="s">
        <v>3394</v>
      </c>
      <c r="L1040" s="161">
        <v>46155</v>
      </c>
      <c r="M1040" s="160">
        <v>46155</v>
      </c>
      <c r="N1040" s="154" t="str">
        <f>IF(ISNUMBER(PL[[#This Row],[CTO]]),"CTO "&amp;PL[[#This Row],[CTO]],"Otros")</f>
        <v>CTO 10</v>
      </c>
      <c r="O1040" s="154" t="str">
        <f>IF(PL[[#This Row],[STATUS IUP]]="CERRADO","CERRADO",IF(ISNUMBER(SEARCH("validacion de enel",PL[[#This Row],[SUPPLIER NOTES]])),"PTE Validar Enel","ABIERTO"))</f>
        <v>CERRADO</v>
      </c>
      <c r="P1040" s="154" t="str">
        <f>IF(PL[[#This Row],[ESTADO]]="CERRADO","Cerrados IUP",IF(PL[[#This Row],[ESTADO]]="PTE Validar Enel","Pendiente cierre ENEL",IF(ISNUMBER(SEARCH("suministro",PL[[#This Row],[SUPPLIER NOTES]])),"Suministros",IF(PL[[#This Row],[SC]]="SOCIAL","Social",IF(ISNUMBER(SEARCH("monolito",PL[[#This Row],[DESCRIPTION]])),"Monolitos","Varios")))))</f>
        <v>Cerrados IUP</v>
      </c>
      <c r="Q10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1" spans="1:17" s="157" customFormat="1" hidden="1" x14ac:dyDescent="0.2">
      <c r="A1041" s="151" t="s">
        <v>3092</v>
      </c>
      <c r="B1041" s="154" t="s">
        <v>8</v>
      </c>
      <c r="C1041" s="152">
        <v>10</v>
      </c>
      <c r="D1041" s="153" t="s">
        <v>3384</v>
      </c>
      <c r="E1041" s="154" t="s">
        <v>3093</v>
      </c>
      <c r="F1041" s="154" t="s">
        <v>1819</v>
      </c>
      <c r="G1041" s="154" t="s">
        <v>291</v>
      </c>
      <c r="H1041" s="154" t="s">
        <v>163</v>
      </c>
      <c r="I1041" s="154" t="s">
        <v>163</v>
      </c>
      <c r="J1041" s="154" t="s">
        <v>74</v>
      </c>
      <c r="K1041" s="154" t="s">
        <v>3394</v>
      </c>
      <c r="L1041" s="161">
        <v>46155</v>
      </c>
      <c r="M1041" s="160">
        <v>46155</v>
      </c>
      <c r="N1041" s="154" t="str">
        <f>IF(ISNUMBER(PL[[#This Row],[CTO]]),"CTO "&amp;PL[[#This Row],[CTO]],"Otros")</f>
        <v>CTO 10</v>
      </c>
      <c r="O1041" s="154" t="str">
        <f>IF(PL[[#This Row],[STATUS IUP]]="CERRADO","CERRADO",IF(ISNUMBER(SEARCH("validacion de enel",PL[[#This Row],[SUPPLIER NOTES]])),"PTE Validar Enel","ABIERTO"))</f>
        <v>CERRADO</v>
      </c>
      <c r="P1041" s="154" t="str">
        <f>IF(PL[[#This Row],[ESTADO]]="CERRADO","Cerrados IUP",IF(PL[[#This Row],[ESTADO]]="PTE Validar Enel","Pendiente cierre ENEL",IF(ISNUMBER(SEARCH("suministro",PL[[#This Row],[SUPPLIER NOTES]])),"Suministros",IF(PL[[#This Row],[SC]]="SOCIAL","Social",IF(ISNUMBER(SEARCH("monolito",PL[[#This Row],[DESCRIPTION]])),"Monolitos","Varios")))))</f>
        <v>Cerrados IUP</v>
      </c>
      <c r="Q10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2" spans="1:17" s="157" customFormat="1" hidden="1" x14ac:dyDescent="0.2">
      <c r="A1042" s="151" t="s">
        <v>3094</v>
      </c>
      <c r="B1042" s="154" t="s">
        <v>8</v>
      </c>
      <c r="C1042" s="152">
        <v>10</v>
      </c>
      <c r="D1042" s="153" t="s">
        <v>3384</v>
      </c>
      <c r="E1042" s="154" t="s">
        <v>3095</v>
      </c>
      <c r="F1042" s="154" t="s">
        <v>2582</v>
      </c>
      <c r="G1042" s="154" t="s">
        <v>291</v>
      </c>
      <c r="H1042" s="154" t="s">
        <v>163</v>
      </c>
      <c r="I1042" s="154" t="s">
        <v>163</v>
      </c>
      <c r="J1042" s="154" t="s">
        <v>74</v>
      </c>
      <c r="K1042" s="154" t="s">
        <v>3394</v>
      </c>
      <c r="L1042" s="161">
        <v>46155</v>
      </c>
      <c r="M1042" s="160">
        <v>46155</v>
      </c>
      <c r="N1042" s="154" t="str">
        <f>IF(ISNUMBER(PL[[#This Row],[CTO]]),"CTO "&amp;PL[[#This Row],[CTO]],"Otros")</f>
        <v>CTO 10</v>
      </c>
      <c r="O1042" s="154" t="str">
        <f>IF(PL[[#This Row],[STATUS IUP]]="CERRADO","CERRADO",IF(ISNUMBER(SEARCH("validacion de enel",PL[[#This Row],[SUPPLIER NOTES]])),"PTE Validar Enel","ABIERTO"))</f>
        <v>CERRADO</v>
      </c>
      <c r="P1042" s="154" t="str">
        <f>IF(PL[[#This Row],[ESTADO]]="CERRADO","Cerrados IUP",IF(PL[[#This Row],[ESTADO]]="PTE Validar Enel","Pendiente cierre ENEL",IF(ISNUMBER(SEARCH("suministro",PL[[#This Row],[SUPPLIER NOTES]])),"Suministros",IF(PL[[#This Row],[SC]]="SOCIAL","Social",IF(ISNUMBER(SEARCH("monolito",PL[[#This Row],[DESCRIPTION]])),"Monolitos","Varios")))))</f>
        <v>Cerrados IUP</v>
      </c>
      <c r="Q10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3" spans="1:17" s="157" customFormat="1" hidden="1" x14ac:dyDescent="0.2">
      <c r="A1043" s="151" t="s">
        <v>3096</v>
      </c>
      <c r="B1043" s="154" t="s">
        <v>8</v>
      </c>
      <c r="C1043" s="152">
        <v>10</v>
      </c>
      <c r="D1043" s="153" t="s">
        <v>3384</v>
      </c>
      <c r="E1043" s="154" t="s">
        <v>3097</v>
      </c>
      <c r="F1043" s="154" t="s">
        <v>1837</v>
      </c>
      <c r="G1043" s="154" t="s">
        <v>291</v>
      </c>
      <c r="H1043" s="154" t="s">
        <v>163</v>
      </c>
      <c r="I1043" s="154" t="s">
        <v>163</v>
      </c>
      <c r="J1043" s="154" t="s">
        <v>74</v>
      </c>
      <c r="K1043" s="154" t="s">
        <v>3394</v>
      </c>
      <c r="L1043" s="161">
        <v>46155</v>
      </c>
      <c r="M1043" s="160">
        <v>46155</v>
      </c>
      <c r="N1043" s="154" t="str">
        <f>IF(ISNUMBER(PL[[#This Row],[CTO]]),"CTO "&amp;PL[[#This Row],[CTO]],"Otros")</f>
        <v>CTO 10</v>
      </c>
      <c r="O1043" s="154" t="str">
        <f>IF(PL[[#This Row],[STATUS IUP]]="CERRADO","CERRADO",IF(ISNUMBER(SEARCH("validacion de enel",PL[[#This Row],[SUPPLIER NOTES]])),"PTE Validar Enel","ABIERTO"))</f>
        <v>CERRADO</v>
      </c>
      <c r="P1043" s="154" t="str">
        <f>IF(PL[[#This Row],[ESTADO]]="CERRADO","Cerrados IUP",IF(PL[[#This Row],[ESTADO]]="PTE Validar Enel","Pendiente cierre ENEL",IF(ISNUMBER(SEARCH("suministro",PL[[#This Row],[SUPPLIER NOTES]])),"Suministros",IF(PL[[#This Row],[SC]]="SOCIAL","Social",IF(ISNUMBER(SEARCH("monolito",PL[[#This Row],[DESCRIPTION]])),"Monolitos","Varios")))))</f>
        <v>Cerrados IUP</v>
      </c>
      <c r="Q10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4" spans="1:17" s="157" customFormat="1" hidden="1" x14ac:dyDescent="0.2">
      <c r="A1044" s="151" t="s">
        <v>3098</v>
      </c>
      <c r="B1044" s="154" t="s">
        <v>8</v>
      </c>
      <c r="C1044" s="152">
        <v>10</v>
      </c>
      <c r="D1044" s="153" t="s">
        <v>3384</v>
      </c>
      <c r="E1044" s="154" t="s">
        <v>3099</v>
      </c>
      <c r="F1044" s="154" t="s">
        <v>2827</v>
      </c>
      <c r="G1044" s="154" t="s">
        <v>291</v>
      </c>
      <c r="H1044" s="154" t="s">
        <v>163</v>
      </c>
      <c r="I1044" s="154" t="s">
        <v>163</v>
      </c>
      <c r="J1044" s="154" t="s">
        <v>74</v>
      </c>
      <c r="K1044" s="154" t="s">
        <v>3394</v>
      </c>
      <c r="L1044" s="161">
        <v>46155</v>
      </c>
      <c r="M1044" s="160">
        <v>46155</v>
      </c>
      <c r="N1044" s="154" t="str">
        <f>IF(ISNUMBER(PL[[#This Row],[CTO]]),"CTO "&amp;PL[[#This Row],[CTO]],"Otros")</f>
        <v>CTO 10</v>
      </c>
      <c r="O1044" s="154" t="str">
        <f>IF(PL[[#This Row],[STATUS IUP]]="CERRADO","CERRADO",IF(ISNUMBER(SEARCH("validacion de enel",PL[[#This Row],[SUPPLIER NOTES]])),"PTE Validar Enel","ABIERTO"))</f>
        <v>CERRADO</v>
      </c>
      <c r="P1044" s="154" t="str">
        <f>IF(PL[[#This Row],[ESTADO]]="CERRADO","Cerrados IUP",IF(PL[[#This Row],[ESTADO]]="PTE Validar Enel","Pendiente cierre ENEL",IF(ISNUMBER(SEARCH("suministro",PL[[#This Row],[SUPPLIER NOTES]])),"Suministros",IF(PL[[#This Row],[SC]]="SOCIAL","Social",IF(ISNUMBER(SEARCH("monolito",PL[[#This Row],[DESCRIPTION]])),"Monolitos","Varios")))))</f>
        <v>Cerrados IUP</v>
      </c>
      <c r="Q10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5" spans="1:17" s="157" customFormat="1" hidden="1" x14ac:dyDescent="0.2">
      <c r="A1045" s="151" t="s">
        <v>3100</v>
      </c>
      <c r="B1045" s="154" t="s">
        <v>8</v>
      </c>
      <c r="C1045" s="152">
        <v>10</v>
      </c>
      <c r="D1045" s="153" t="s">
        <v>3384</v>
      </c>
      <c r="E1045" s="154" t="s">
        <v>3101</v>
      </c>
      <c r="F1045" s="154" t="s">
        <v>1987</v>
      </c>
      <c r="G1045" s="154" t="s">
        <v>291</v>
      </c>
      <c r="H1045" s="154" t="s">
        <v>163</v>
      </c>
      <c r="I1045" s="154" t="s">
        <v>163</v>
      </c>
      <c r="J1045" s="154" t="s">
        <v>74</v>
      </c>
      <c r="K1045" s="154" t="s">
        <v>3394</v>
      </c>
      <c r="L1045" s="161">
        <v>46155</v>
      </c>
      <c r="M1045" s="160">
        <v>46155</v>
      </c>
      <c r="N1045" s="154" t="str">
        <f>IF(ISNUMBER(PL[[#This Row],[CTO]]),"CTO "&amp;PL[[#This Row],[CTO]],"Otros")</f>
        <v>CTO 10</v>
      </c>
      <c r="O1045" s="154" t="str">
        <f>IF(PL[[#This Row],[STATUS IUP]]="CERRADO","CERRADO",IF(ISNUMBER(SEARCH("validacion de enel",PL[[#This Row],[SUPPLIER NOTES]])),"PTE Validar Enel","ABIERTO"))</f>
        <v>CERRADO</v>
      </c>
      <c r="P1045" s="154" t="str">
        <f>IF(PL[[#This Row],[ESTADO]]="CERRADO","Cerrados IUP",IF(PL[[#This Row],[ESTADO]]="PTE Validar Enel","Pendiente cierre ENEL",IF(ISNUMBER(SEARCH("suministro",PL[[#This Row],[SUPPLIER NOTES]])),"Suministros",IF(PL[[#This Row],[SC]]="SOCIAL","Social",IF(ISNUMBER(SEARCH("monolito",PL[[#This Row],[DESCRIPTION]])),"Monolitos","Varios")))))</f>
        <v>Cerrados IUP</v>
      </c>
      <c r="Q10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6" spans="1:17" s="157" customFormat="1" hidden="1" x14ac:dyDescent="0.2">
      <c r="A1046" s="151" t="s">
        <v>3102</v>
      </c>
      <c r="B1046" s="154" t="s">
        <v>8</v>
      </c>
      <c r="C1046" s="152">
        <v>10</v>
      </c>
      <c r="D1046" s="153" t="s">
        <v>3384</v>
      </c>
      <c r="E1046" s="154" t="s">
        <v>3103</v>
      </c>
      <c r="F1046" s="154" t="s">
        <v>1981</v>
      </c>
      <c r="G1046" s="154" t="s">
        <v>291</v>
      </c>
      <c r="H1046" s="154" t="s">
        <v>163</v>
      </c>
      <c r="I1046" s="154" t="s">
        <v>163</v>
      </c>
      <c r="J1046" s="154" t="s">
        <v>74</v>
      </c>
      <c r="K1046" s="154" t="s">
        <v>3394</v>
      </c>
      <c r="L1046" s="161">
        <v>46155</v>
      </c>
      <c r="M1046" s="160">
        <v>46155</v>
      </c>
      <c r="N1046" s="154" t="str">
        <f>IF(ISNUMBER(PL[[#This Row],[CTO]]),"CTO "&amp;PL[[#This Row],[CTO]],"Otros")</f>
        <v>CTO 10</v>
      </c>
      <c r="O1046" s="154" t="str">
        <f>IF(PL[[#This Row],[STATUS IUP]]="CERRADO","CERRADO",IF(ISNUMBER(SEARCH("validacion de enel",PL[[#This Row],[SUPPLIER NOTES]])),"PTE Validar Enel","ABIERTO"))</f>
        <v>CERRADO</v>
      </c>
      <c r="P1046" s="154" t="str">
        <f>IF(PL[[#This Row],[ESTADO]]="CERRADO","Cerrados IUP",IF(PL[[#This Row],[ESTADO]]="PTE Validar Enel","Pendiente cierre ENEL",IF(ISNUMBER(SEARCH("suministro",PL[[#This Row],[SUPPLIER NOTES]])),"Suministros",IF(PL[[#This Row],[SC]]="SOCIAL","Social",IF(ISNUMBER(SEARCH("monolito",PL[[#This Row],[DESCRIPTION]])),"Monolitos","Varios")))))</f>
        <v>Cerrados IUP</v>
      </c>
      <c r="Q10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7" spans="1:17" s="157" customFormat="1" hidden="1" x14ac:dyDescent="0.2">
      <c r="A1047" s="151" t="s">
        <v>3104</v>
      </c>
      <c r="B1047" s="154" t="s">
        <v>8</v>
      </c>
      <c r="C1047" s="152">
        <v>10</v>
      </c>
      <c r="D1047" s="153" t="s">
        <v>3384</v>
      </c>
      <c r="E1047" s="154" t="s">
        <v>3105</v>
      </c>
      <c r="F1047" s="154" t="s">
        <v>1686</v>
      </c>
      <c r="G1047" s="154" t="s">
        <v>291</v>
      </c>
      <c r="H1047" s="154" t="s">
        <v>163</v>
      </c>
      <c r="I1047" s="154" t="s">
        <v>163</v>
      </c>
      <c r="J1047" s="154" t="s">
        <v>74</v>
      </c>
      <c r="K1047" s="154" t="s">
        <v>3394</v>
      </c>
      <c r="L1047" s="161">
        <v>46155</v>
      </c>
      <c r="M1047" s="160">
        <v>46155</v>
      </c>
      <c r="N1047" s="154" t="str">
        <f>IF(ISNUMBER(PL[[#This Row],[CTO]]),"CTO "&amp;PL[[#This Row],[CTO]],"Otros")</f>
        <v>CTO 10</v>
      </c>
      <c r="O1047" s="154" t="str">
        <f>IF(PL[[#This Row],[STATUS IUP]]="CERRADO","CERRADO",IF(ISNUMBER(SEARCH("validacion de enel",PL[[#This Row],[SUPPLIER NOTES]])),"PTE Validar Enel","ABIERTO"))</f>
        <v>CERRADO</v>
      </c>
      <c r="P1047" s="154" t="str">
        <f>IF(PL[[#This Row],[ESTADO]]="CERRADO","Cerrados IUP",IF(PL[[#This Row],[ESTADO]]="PTE Validar Enel","Pendiente cierre ENEL",IF(ISNUMBER(SEARCH("suministro",PL[[#This Row],[SUPPLIER NOTES]])),"Suministros",IF(PL[[#This Row],[SC]]="SOCIAL","Social",IF(ISNUMBER(SEARCH("monolito",PL[[#This Row],[DESCRIPTION]])),"Monolitos","Varios")))))</f>
        <v>Cerrados IUP</v>
      </c>
      <c r="Q10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8" spans="1:17" s="157" customFormat="1" hidden="1" x14ac:dyDescent="0.2">
      <c r="A1048" s="151" t="s">
        <v>3106</v>
      </c>
      <c r="B1048" s="154" t="s">
        <v>8</v>
      </c>
      <c r="C1048" s="152">
        <v>10</v>
      </c>
      <c r="D1048" s="153" t="s">
        <v>3384</v>
      </c>
      <c r="E1048" s="154" t="s">
        <v>3107</v>
      </c>
      <c r="F1048" s="154" t="s">
        <v>808</v>
      </c>
      <c r="G1048" s="154" t="s">
        <v>291</v>
      </c>
      <c r="H1048" s="154" t="s">
        <v>163</v>
      </c>
      <c r="I1048" s="154" t="s">
        <v>163</v>
      </c>
      <c r="J1048" s="154" t="s">
        <v>74</v>
      </c>
      <c r="K1048" s="154" t="s">
        <v>3394</v>
      </c>
      <c r="L1048" s="161">
        <v>46155</v>
      </c>
      <c r="M1048" s="160">
        <v>46155</v>
      </c>
      <c r="N1048" s="154" t="str">
        <f>IF(ISNUMBER(PL[[#This Row],[CTO]]),"CTO "&amp;PL[[#This Row],[CTO]],"Otros")</f>
        <v>CTO 10</v>
      </c>
      <c r="O1048" s="154" t="str">
        <f>IF(PL[[#This Row],[STATUS IUP]]="CERRADO","CERRADO",IF(ISNUMBER(SEARCH("validacion de enel",PL[[#This Row],[SUPPLIER NOTES]])),"PTE Validar Enel","ABIERTO"))</f>
        <v>CERRADO</v>
      </c>
      <c r="P1048" s="154" t="str">
        <f>IF(PL[[#This Row],[ESTADO]]="CERRADO","Cerrados IUP",IF(PL[[#This Row],[ESTADO]]="PTE Validar Enel","Pendiente cierre ENEL",IF(ISNUMBER(SEARCH("suministro",PL[[#This Row],[SUPPLIER NOTES]])),"Suministros",IF(PL[[#This Row],[SC]]="SOCIAL","Social",IF(ISNUMBER(SEARCH("monolito",PL[[#This Row],[DESCRIPTION]])),"Monolitos","Varios")))))</f>
        <v>Cerrados IUP</v>
      </c>
      <c r="Q10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49" spans="1:17" s="157" customFormat="1" hidden="1" x14ac:dyDescent="0.2">
      <c r="A1049" s="151" t="s">
        <v>3108</v>
      </c>
      <c r="B1049" s="154" t="s">
        <v>8</v>
      </c>
      <c r="C1049" s="152">
        <v>10</v>
      </c>
      <c r="D1049" s="153" t="s">
        <v>3384</v>
      </c>
      <c r="E1049" s="154" t="s">
        <v>3109</v>
      </c>
      <c r="F1049" s="154" t="s">
        <v>1678</v>
      </c>
      <c r="G1049" s="154" t="s">
        <v>291</v>
      </c>
      <c r="H1049" s="154" t="s">
        <v>163</v>
      </c>
      <c r="I1049" s="154" t="s">
        <v>163</v>
      </c>
      <c r="J1049" s="154" t="s">
        <v>74</v>
      </c>
      <c r="K1049" s="154" t="s">
        <v>3394</v>
      </c>
      <c r="L1049" s="161">
        <v>46155</v>
      </c>
      <c r="M1049" s="160">
        <v>46155</v>
      </c>
      <c r="N1049" s="154" t="str">
        <f>IF(ISNUMBER(PL[[#This Row],[CTO]]),"CTO "&amp;PL[[#This Row],[CTO]],"Otros")</f>
        <v>CTO 10</v>
      </c>
      <c r="O1049" s="154" t="str">
        <f>IF(PL[[#This Row],[STATUS IUP]]="CERRADO","CERRADO",IF(ISNUMBER(SEARCH("validacion de enel",PL[[#This Row],[SUPPLIER NOTES]])),"PTE Validar Enel","ABIERTO"))</f>
        <v>CERRADO</v>
      </c>
      <c r="P1049" s="154" t="str">
        <f>IF(PL[[#This Row],[ESTADO]]="CERRADO","Cerrados IUP",IF(PL[[#This Row],[ESTADO]]="PTE Validar Enel","Pendiente cierre ENEL",IF(ISNUMBER(SEARCH("suministro",PL[[#This Row],[SUPPLIER NOTES]])),"Suministros",IF(PL[[#This Row],[SC]]="SOCIAL","Social",IF(ISNUMBER(SEARCH("monolito",PL[[#This Row],[DESCRIPTION]])),"Monolitos","Varios")))))</f>
        <v>Cerrados IUP</v>
      </c>
      <c r="Q10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0" spans="1:17" s="157" customFormat="1" hidden="1" x14ac:dyDescent="0.2">
      <c r="A1050" s="151" t="s">
        <v>3110</v>
      </c>
      <c r="B1050" s="154" t="s">
        <v>8</v>
      </c>
      <c r="C1050" s="152">
        <v>10</v>
      </c>
      <c r="D1050" s="153" t="s">
        <v>3384</v>
      </c>
      <c r="E1050" s="154" t="s">
        <v>3111</v>
      </c>
      <c r="F1050" s="154" t="s">
        <v>1806</v>
      </c>
      <c r="G1050" s="154" t="s">
        <v>291</v>
      </c>
      <c r="H1050" s="154" t="s">
        <v>163</v>
      </c>
      <c r="I1050" s="154" t="s">
        <v>163</v>
      </c>
      <c r="J1050" s="154" t="s">
        <v>74</v>
      </c>
      <c r="K1050" s="154" t="s">
        <v>3394</v>
      </c>
      <c r="L1050" s="161">
        <v>46155</v>
      </c>
      <c r="M1050" s="160">
        <v>46155</v>
      </c>
      <c r="N1050" s="154" t="str">
        <f>IF(ISNUMBER(PL[[#This Row],[CTO]]),"CTO "&amp;PL[[#This Row],[CTO]],"Otros")</f>
        <v>CTO 10</v>
      </c>
      <c r="O1050" s="154" t="str">
        <f>IF(PL[[#This Row],[STATUS IUP]]="CERRADO","CERRADO",IF(ISNUMBER(SEARCH("validacion de enel",PL[[#This Row],[SUPPLIER NOTES]])),"PTE Validar Enel","ABIERTO"))</f>
        <v>CERRADO</v>
      </c>
      <c r="P1050" s="154" t="str">
        <f>IF(PL[[#This Row],[ESTADO]]="CERRADO","Cerrados IUP",IF(PL[[#This Row],[ESTADO]]="PTE Validar Enel","Pendiente cierre ENEL",IF(ISNUMBER(SEARCH("suministro",PL[[#This Row],[SUPPLIER NOTES]])),"Suministros",IF(PL[[#This Row],[SC]]="SOCIAL","Social",IF(ISNUMBER(SEARCH("monolito",PL[[#This Row],[DESCRIPTION]])),"Monolitos","Varios")))))</f>
        <v>Cerrados IUP</v>
      </c>
      <c r="Q10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1" spans="1:17" s="157" customFormat="1" hidden="1" x14ac:dyDescent="0.2">
      <c r="A1051" s="151" t="s">
        <v>3114</v>
      </c>
      <c r="B1051" s="154" t="s">
        <v>8</v>
      </c>
      <c r="C1051" s="152">
        <v>10</v>
      </c>
      <c r="D1051" s="153" t="s">
        <v>3384</v>
      </c>
      <c r="E1051" s="154" t="s">
        <v>3115</v>
      </c>
      <c r="F1051" s="154" t="s">
        <v>2430</v>
      </c>
      <c r="G1051" s="154" t="s">
        <v>291</v>
      </c>
      <c r="H1051" s="154" t="s">
        <v>163</v>
      </c>
      <c r="I1051" s="154" t="s">
        <v>163</v>
      </c>
      <c r="J1051" s="154" t="s">
        <v>74</v>
      </c>
      <c r="K1051" s="154" t="s">
        <v>3394</v>
      </c>
      <c r="L1051" s="161">
        <v>46155</v>
      </c>
      <c r="M1051" s="160">
        <v>46155</v>
      </c>
      <c r="N1051" s="154" t="str">
        <f>IF(ISNUMBER(PL[[#This Row],[CTO]]),"CTO "&amp;PL[[#This Row],[CTO]],"Otros")</f>
        <v>CTO 10</v>
      </c>
      <c r="O1051" s="154" t="str">
        <f>IF(PL[[#This Row],[STATUS IUP]]="CERRADO","CERRADO",IF(ISNUMBER(SEARCH("validacion de enel",PL[[#This Row],[SUPPLIER NOTES]])),"PTE Validar Enel","ABIERTO"))</f>
        <v>CERRADO</v>
      </c>
      <c r="P1051" s="154" t="str">
        <f>IF(PL[[#This Row],[ESTADO]]="CERRADO","Cerrados IUP",IF(PL[[#This Row],[ESTADO]]="PTE Validar Enel","Pendiente cierre ENEL",IF(ISNUMBER(SEARCH("suministro",PL[[#This Row],[SUPPLIER NOTES]])),"Suministros",IF(PL[[#This Row],[SC]]="SOCIAL","Social",IF(ISNUMBER(SEARCH("monolito",PL[[#This Row],[DESCRIPTION]])),"Monolitos","Varios")))))</f>
        <v>Cerrados IUP</v>
      </c>
      <c r="Q10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2" spans="1:17" s="157" customFormat="1" hidden="1" x14ac:dyDescent="0.2">
      <c r="A1052" s="151" t="s">
        <v>3116</v>
      </c>
      <c r="B1052" s="154" t="s">
        <v>8</v>
      </c>
      <c r="C1052" s="152">
        <v>10</v>
      </c>
      <c r="D1052" s="153" t="s">
        <v>3384</v>
      </c>
      <c r="E1052" s="154" t="s">
        <v>3117</v>
      </c>
      <c r="F1052" s="154" t="s">
        <v>2553</v>
      </c>
      <c r="G1052" s="154" t="s">
        <v>291</v>
      </c>
      <c r="H1052" s="154" t="s">
        <v>163</v>
      </c>
      <c r="I1052" s="154" t="s">
        <v>163</v>
      </c>
      <c r="J1052" s="154" t="s">
        <v>74</v>
      </c>
      <c r="K1052" s="154" t="s">
        <v>3394</v>
      </c>
      <c r="L1052" s="161">
        <v>46155</v>
      </c>
      <c r="M1052" s="160">
        <v>46155</v>
      </c>
      <c r="N1052" s="154" t="str">
        <f>IF(ISNUMBER(PL[[#This Row],[CTO]]),"CTO "&amp;PL[[#This Row],[CTO]],"Otros")</f>
        <v>CTO 10</v>
      </c>
      <c r="O1052" s="154" t="str">
        <f>IF(PL[[#This Row],[STATUS IUP]]="CERRADO","CERRADO",IF(ISNUMBER(SEARCH("validacion de enel",PL[[#This Row],[SUPPLIER NOTES]])),"PTE Validar Enel","ABIERTO"))</f>
        <v>CERRADO</v>
      </c>
      <c r="P1052" s="154" t="str">
        <f>IF(PL[[#This Row],[ESTADO]]="CERRADO","Cerrados IUP",IF(PL[[#This Row],[ESTADO]]="PTE Validar Enel","Pendiente cierre ENEL",IF(ISNUMBER(SEARCH("suministro",PL[[#This Row],[SUPPLIER NOTES]])),"Suministros",IF(PL[[#This Row],[SC]]="SOCIAL","Social",IF(ISNUMBER(SEARCH("monolito",PL[[#This Row],[DESCRIPTION]])),"Monolitos","Varios")))))</f>
        <v>Cerrados IUP</v>
      </c>
      <c r="Q10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3" spans="1:17" s="157" customFormat="1" hidden="1" x14ac:dyDescent="0.2">
      <c r="A1053" s="151" t="s">
        <v>3118</v>
      </c>
      <c r="B1053" s="154" t="s">
        <v>8</v>
      </c>
      <c r="C1053" s="152">
        <v>10</v>
      </c>
      <c r="D1053" s="153" t="s">
        <v>3384</v>
      </c>
      <c r="E1053" s="154" t="s">
        <v>3119</v>
      </c>
      <c r="F1053" s="154" t="s">
        <v>2579</v>
      </c>
      <c r="G1053" s="154" t="s">
        <v>291</v>
      </c>
      <c r="H1053" s="154" t="s">
        <v>163</v>
      </c>
      <c r="I1053" s="154" t="s">
        <v>163</v>
      </c>
      <c r="J1053" s="154" t="s">
        <v>74</v>
      </c>
      <c r="K1053" s="154" t="s">
        <v>3394</v>
      </c>
      <c r="L1053" s="161">
        <v>46155</v>
      </c>
      <c r="M1053" s="160">
        <v>46155</v>
      </c>
      <c r="N1053" s="154" t="str">
        <f>IF(ISNUMBER(PL[[#This Row],[CTO]]),"CTO "&amp;PL[[#This Row],[CTO]],"Otros")</f>
        <v>CTO 10</v>
      </c>
      <c r="O1053" s="154" t="str">
        <f>IF(PL[[#This Row],[STATUS IUP]]="CERRADO","CERRADO",IF(ISNUMBER(SEARCH("validacion de enel",PL[[#This Row],[SUPPLIER NOTES]])),"PTE Validar Enel","ABIERTO"))</f>
        <v>CERRADO</v>
      </c>
      <c r="P1053" s="154" t="str">
        <f>IF(PL[[#This Row],[ESTADO]]="CERRADO","Cerrados IUP",IF(PL[[#This Row],[ESTADO]]="PTE Validar Enel","Pendiente cierre ENEL",IF(ISNUMBER(SEARCH("suministro",PL[[#This Row],[SUPPLIER NOTES]])),"Suministros",IF(PL[[#This Row],[SC]]="SOCIAL","Social",IF(ISNUMBER(SEARCH("monolito",PL[[#This Row],[DESCRIPTION]])),"Monolitos","Varios")))))</f>
        <v>Cerrados IUP</v>
      </c>
      <c r="Q10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4" spans="1:17" s="157" customFormat="1" hidden="1" x14ac:dyDescent="0.2">
      <c r="A1054" s="151" t="s">
        <v>3120</v>
      </c>
      <c r="B1054" s="154" t="s">
        <v>8</v>
      </c>
      <c r="C1054" s="152">
        <v>10</v>
      </c>
      <c r="D1054" s="153" t="s">
        <v>3384</v>
      </c>
      <c r="E1054" s="154" t="s">
        <v>3121</v>
      </c>
      <c r="F1054" s="154" t="s">
        <v>1809</v>
      </c>
      <c r="G1054" s="154" t="s">
        <v>291</v>
      </c>
      <c r="H1054" s="154" t="s">
        <v>163</v>
      </c>
      <c r="I1054" s="154" t="s">
        <v>163</v>
      </c>
      <c r="J1054" s="154" t="s">
        <v>74</v>
      </c>
      <c r="K1054" s="154" t="s">
        <v>3394</v>
      </c>
      <c r="L1054" s="161">
        <v>46155</v>
      </c>
      <c r="M1054" s="160">
        <v>46155</v>
      </c>
      <c r="N1054" s="154" t="str">
        <f>IF(ISNUMBER(PL[[#This Row],[CTO]]),"CTO "&amp;PL[[#This Row],[CTO]],"Otros")</f>
        <v>CTO 10</v>
      </c>
      <c r="O1054" s="154" t="str">
        <f>IF(PL[[#This Row],[STATUS IUP]]="CERRADO","CERRADO",IF(ISNUMBER(SEARCH("validacion de enel",PL[[#This Row],[SUPPLIER NOTES]])),"PTE Validar Enel","ABIERTO"))</f>
        <v>CERRADO</v>
      </c>
      <c r="P1054" s="154" t="str">
        <f>IF(PL[[#This Row],[ESTADO]]="CERRADO","Cerrados IUP",IF(PL[[#This Row],[ESTADO]]="PTE Validar Enel","Pendiente cierre ENEL",IF(ISNUMBER(SEARCH("suministro",PL[[#This Row],[SUPPLIER NOTES]])),"Suministros",IF(PL[[#This Row],[SC]]="SOCIAL","Social",IF(ISNUMBER(SEARCH("monolito",PL[[#This Row],[DESCRIPTION]])),"Monolitos","Varios")))))</f>
        <v>Cerrados IUP</v>
      </c>
      <c r="Q10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5" spans="1:17" s="157" customFormat="1" hidden="1" x14ac:dyDescent="0.2">
      <c r="A1055" s="151" t="s">
        <v>3122</v>
      </c>
      <c r="B1055" s="154" t="s">
        <v>8</v>
      </c>
      <c r="C1055" s="152">
        <v>10</v>
      </c>
      <c r="D1055" s="153" t="s">
        <v>3384</v>
      </c>
      <c r="E1055" s="154" t="s">
        <v>3123</v>
      </c>
      <c r="F1055" s="154" t="s">
        <v>1681</v>
      </c>
      <c r="G1055" s="154" t="s">
        <v>291</v>
      </c>
      <c r="H1055" s="154" t="s">
        <v>163</v>
      </c>
      <c r="I1055" s="154" t="s">
        <v>163</v>
      </c>
      <c r="J1055" s="154" t="s">
        <v>74</v>
      </c>
      <c r="K1055" s="154" t="s">
        <v>3394</v>
      </c>
      <c r="L1055" s="161">
        <v>46155</v>
      </c>
      <c r="M1055" s="160">
        <v>46155</v>
      </c>
      <c r="N1055" s="154" t="str">
        <f>IF(ISNUMBER(PL[[#This Row],[CTO]]),"CTO "&amp;PL[[#This Row],[CTO]],"Otros")</f>
        <v>CTO 10</v>
      </c>
      <c r="O1055" s="154" t="str">
        <f>IF(PL[[#This Row],[STATUS IUP]]="CERRADO","CERRADO",IF(ISNUMBER(SEARCH("validacion de enel",PL[[#This Row],[SUPPLIER NOTES]])),"PTE Validar Enel","ABIERTO"))</f>
        <v>CERRADO</v>
      </c>
      <c r="P1055" s="154" t="str">
        <f>IF(PL[[#This Row],[ESTADO]]="CERRADO","Cerrados IUP",IF(PL[[#This Row],[ESTADO]]="PTE Validar Enel","Pendiente cierre ENEL",IF(ISNUMBER(SEARCH("suministro",PL[[#This Row],[SUPPLIER NOTES]])),"Suministros",IF(PL[[#This Row],[SC]]="SOCIAL","Social",IF(ISNUMBER(SEARCH("monolito",PL[[#This Row],[DESCRIPTION]])),"Monolitos","Varios")))))</f>
        <v>Cerrados IUP</v>
      </c>
      <c r="Q10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6" spans="1:17" s="157" customFormat="1" hidden="1" x14ac:dyDescent="0.2">
      <c r="A1056" s="151" t="s">
        <v>3124</v>
      </c>
      <c r="B1056" s="154" t="s">
        <v>8</v>
      </c>
      <c r="C1056" s="152">
        <v>10</v>
      </c>
      <c r="D1056" s="153" t="s">
        <v>3384</v>
      </c>
      <c r="E1056" s="154" t="s">
        <v>3125</v>
      </c>
      <c r="F1056" s="154" t="s">
        <v>1816</v>
      </c>
      <c r="G1056" s="154" t="s">
        <v>291</v>
      </c>
      <c r="H1056" s="154" t="s">
        <v>163</v>
      </c>
      <c r="I1056" s="154" t="s">
        <v>163</v>
      </c>
      <c r="J1056" s="154" t="s">
        <v>74</v>
      </c>
      <c r="K1056" s="154" t="s">
        <v>3394</v>
      </c>
      <c r="L1056" s="161">
        <v>46155</v>
      </c>
      <c r="M1056" s="160">
        <v>46155</v>
      </c>
      <c r="N1056" s="154" t="str">
        <f>IF(ISNUMBER(PL[[#This Row],[CTO]]),"CTO "&amp;PL[[#This Row],[CTO]],"Otros")</f>
        <v>CTO 10</v>
      </c>
      <c r="O1056" s="154" t="str">
        <f>IF(PL[[#This Row],[STATUS IUP]]="CERRADO","CERRADO",IF(ISNUMBER(SEARCH("validacion de enel",PL[[#This Row],[SUPPLIER NOTES]])),"PTE Validar Enel","ABIERTO"))</f>
        <v>CERRADO</v>
      </c>
      <c r="P1056" s="154" t="str">
        <f>IF(PL[[#This Row],[ESTADO]]="CERRADO","Cerrados IUP",IF(PL[[#This Row],[ESTADO]]="PTE Validar Enel","Pendiente cierre ENEL",IF(ISNUMBER(SEARCH("suministro",PL[[#This Row],[SUPPLIER NOTES]])),"Suministros",IF(PL[[#This Row],[SC]]="SOCIAL","Social",IF(ISNUMBER(SEARCH("monolito",PL[[#This Row],[DESCRIPTION]])),"Monolitos","Varios")))))</f>
        <v>Cerrados IUP</v>
      </c>
      <c r="Q10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7" spans="1:17" s="157" customFormat="1" hidden="1" x14ac:dyDescent="0.2">
      <c r="A1057" s="151" t="s">
        <v>3126</v>
      </c>
      <c r="B1057" s="154" t="s">
        <v>8</v>
      </c>
      <c r="C1057" s="152">
        <v>10</v>
      </c>
      <c r="D1057" s="153" t="s">
        <v>3384</v>
      </c>
      <c r="E1057" s="154" t="s">
        <v>3127</v>
      </c>
      <c r="F1057" s="154" t="s">
        <v>2303</v>
      </c>
      <c r="G1057" s="154" t="s">
        <v>291</v>
      </c>
      <c r="H1057" s="154" t="s">
        <v>163</v>
      </c>
      <c r="I1057" s="154" t="s">
        <v>163</v>
      </c>
      <c r="J1057" s="154" t="s">
        <v>74</v>
      </c>
      <c r="K1057" s="154" t="s">
        <v>3394</v>
      </c>
      <c r="L1057" s="161">
        <v>46155</v>
      </c>
      <c r="M1057" s="160">
        <v>46155</v>
      </c>
      <c r="N1057" s="154" t="str">
        <f>IF(ISNUMBER(PL[[#This Row],[CTO]]),"CTO "&amp;PL[[#This Row],[CTO]],"Otros")</f>
        <v>CTO 10</v>
      </c>
      <c r="O1057" s="154" t="str">
        <f>IF(PL[[#This Row],[STATUS IUP]]="CERRADO","CERRADO",IF(ISNUMBER(SEARCH("validacion de enel",PL[[#This Row],[SUPPLIER NOTES]])),"PTE Validar Enel","ABIERTO"))</f>
        <v>CERRADO</v>
      </c>
      <c r="P1057" s="154" t="str">
        <f>IF(PL[[#This Row],[ESTADO]]="CERRADO","Cerrados IUP",IF(PL[[#This Row],[ESTADO]]="PTE Validar Enel","Pendiente cierre ENEL",IF(ISNUMBER(SEARCH("suministro",PL[[#This Row],[SUPPLIER NOTES]])),"Suministros",IF(PL[[#This Row],[SC]]="SOCIAL","Social",IF(ISNUMBER(SEARCH("monolito",PL[[#This Row],[DESCRIPTION]])),"Monolitos","Varios")))))</f>
        <v>Cerrados IUP</v>
      </c>
      <c r="Q10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8" spans="1:17" s="157" customFormat="1" hidden="1" x14ac:dyDescent="0.2">
      <c r="A1058" s="151" t="s">
        <v>3128</v>
      </c>
      <c r="B1058" s="154" t="s">
        <v>8</v>
      </c>
      <c r="C1058" s="152">
        <v>10</v>
      </c>
      <c r="D1058" s="153" t="s">
        <v>3384</v>
      </c>
      <c r="E1058" s="154" t="s">
        <v>3129</v>
      </c>
      <c r="F1058" s="154" t="s">
        <v>1899</v>
      </c>
      <c r="G1058" s="154" t="s">
        <v>291</v>
      </c>
      <c r="H1058" s="154" t="s">
        <v>163</v>
      </c>
      <c r="I1058" s="154" t="s">
        <v>163</v>
      </c>
      <c r="J1058" s="154" t="s">
        <v>74</v>
      </c>
      <c r="K1058" s="154" t="s">
        <v>3394</v>
      </c>
      <c r="L1058" s="161">
        <v>46155</v>
      </c>
      <c r="M1058" s="160">
        <v>46155</v>
      </c>
      <c r="N1058" s="154" t="str">
        <f>IF(ISNUMBER(PL[[#This Row],[CTO]]),"CTO "&amp;PL[[#This Row],[CTO]],"Otros")</f>
        <v>CTO 10</v>
      </c>
      <c r="O1058" s="154" t="str">
        <f>IF(PL[[#This Row],[STATUS IUP]]="CERRADO","CERRADO",IF(ISNUMBER(SEARCH("validacion de enel",PL[[#This Row],[SUPPLIER NOTES]])),"PTE Validar Enel","ABIERTO"))</f>
        <v>CERRADO</v>
      </c>
      <c r="P1058" s="154" t="str">
        <f>IF(PL[[#This Row],[ESTADO]]="CERRADO","Cerrados IUP",IF(PL[[#This Row],[ESTADO]]="PTE Validar Enel","Pendiente cierre ENEL",IF(ISNUMBER(SEARCH("suministro",PL[[#This Row],[SUPPLIER NOTES]])),"Suministros",IF(PL[[#This Row],[SC]]="SOCIAL","Social",IF(ISNUMBER(SEARCH("monolito",PL[[#This Row],[DESCRIPTION]])),"Monolitos","Varios")))))</f>
        <v>Cerrados IUP</v>
      </c>
      <c r="Q10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59" spans="1:17" s="157" customFormat="1" hidden="1" x14ac:dyDescent="0.2">
      <c r="A1059" s="151" t="s">
        <v>3130</v>
      </c>
      <c r="B1059" s="154" t="s">
        <v>8</v>
      </c>
      <c r="C1059" s="152">
        <v>10</v>
      </c>
      <c r="D1059" s="153" t="s">
        <v>3384</v>
      </c>
      <c r="E1059" s="154" t="s">
        <v>3131</v>
      </c>
      <c r="F1059" s="154" t="s">
        <v>1834</v>
      </c>
      <c r="G1059" s="154" t="s">
        <v>291</v>
      </c>
      <c r="H1059" s="154" t="s">
        <v>163</v>
      </c>
      <c r="I1059" s="154" t="s">
        <v>163</v>
      </c>
      <c r="J1059" s="154" t="s">
        <v>74</v>
      </c>
      <c r="K1059" s="154" t="s">
        <v>3394</v>
      </c>
      <c r="L1059" s="161">
        <v>46155</v>
      </c>
      <c r="M1059" s="160">
        <v>46155</v>
      </c>
      <c r="N1059" s="154" t="str">
        <f>IF(ISNUMBER(PL[[#This Row],[CTO]]),"CTO "&amp;PL[[#This Row],[CTO]],"Otros")</f>
        <v>CTO 10</v>
      </c>
      <c r="O1059" s="154" t="str">
        <f>IF(PL[[#This Row],[STATUS IUP]]="CERRADO","CERRADO",IF(ISNUMBER(SEARCH("validacion de enel",PL[[#This Row],[SUPPLIER NOTES]])),"PTE Validar Enel","ABIERTO"))</f>
        <v>CERRADO</v>
      </c>
      <c r="P1059" s="154" t="str">
        <f>IF(PL[[#This Row],[ESTADO]]="CERRADO","Cerrados IUP",IF(PL[[#This Row],[ESTADO]]="PTE Validar Enel","Pendiente cierre ENEL",IF(ISNUMBER(SEARCH("suministro",PL[[#This Row],[SUPPLIER NOTES]])),"Suministros",IF(PL[[#This Row],[SC]]="SOCIAL","Social",IF(ISNUMBER(SEARCH("monolito",PL[[#This Row],[DESCRIPTION]])),"Monolitos","Varios")))))</f>
        <v>Cerrados IUP</v>
      </c>
      <c r="Q10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60" spans="1:17" s="157" customFormat="1" hidden="1" x14ac:dyDescent="0.2">
      <c r="A1060" s="151" t="s">
        <v>3132</v>
      </c>
      <c r="B1060" s="154" t="s">
        <v>8</v>
      </c>
      <c r="C1060" s="152">
        <v>10</v>
      </c>
      <c r="D1060" s="153" t="s">
        <v>3384</v>
      </c>
      <c r="E1060" s="154" t="s">
        <v>3133</v>
      </c>
      <c r="F1060" s="154" t="s">
        <v>1896</v>
      </c>
      <c r="G1060" s="154" t="s">
        <v>291</v>
      </c>
      <c r="H1060" s="154" t="s">
        <v>163</v>
      </c>
      <c r="I1060" s="154" t="s">
        <v>163</v>
      </c>
      <c r="J1060" s="154" t="s">
        <v>74</v>
      </c>
      <c r="K1060" s="154" t="s">
        <v>3394</v>
      </c>
      <c r="L1060" s="161">
        <v>46155</v>
      </c>
      <c r="M1060" s="160">
        <v>46155</v>
      </c>
      <c r="N1060" s="154" t="str">
        <f>IF(ISNUMBER(PL[[#This Row],[CTO]]),"CTO "&amp;PL[[#This Row],[CTO]],"Otros")</f>
        <v>CTO 10</v>
      </c>
      <c r="O1060" s="154" t="str">
        <f>IF(PL[[#This Row],[STATUS IUP]]="CERRADO","CERRADO",IF(ISNUMBER(SEARCH("validacion de enel",PL[[#This Row],[SUPPLIER NOTES]])),"PTE Validar Enel","ABIERTO"))</f>
        <v>CERRADO</v>
      </c>
      <c r="P1060" s="154" t="str">
        <f>IF(PL[[#This Row],[ESTADO]]="CERRADO","Cerrados IUP",IF(PL[[#This Row],[ESTADO]]="PTE Validar Enel","Pendiente cierre ENEL",IF(ISNUMBER(SEARCH("suministro",PL[[#This Row],[SUPPLIER NOTES]])),"Suministros",IF(PL[[#This Row],[SC]]="SOCIAL","Social",IF(ISNUMBER(SEARCH("monolito",PL[[#This Row],[DESCRIPTION]])),"Monolitos","Varios")))))</f>
        <v>Cerrados IUP</v>
      </c>
      <c r="Q10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61" spans="1:17" s="157" customFormat="1" hidden="1" x14ac:dyDescent="0.2">
      <c r="A1061" s="151" t="s">
        <v>3134</v>
      </c>
      <c r="B1061" s="154" t="s">
        <v>8</v>
      </c>
      <c r="C1061" s="152">
        <v>10</v>
      </c>
      <c r="D1061" s="153" t="s">
        <v>3384</v>
      </c>
      <c r="E1061" s="154" t="s">
        <v>3135</v>
      </c>
      <c r="F1061" s="154" t="s">
        <v>2495</v>
      </c>
      <c r="G1061" s="154" t="s">
        <v>291</v>
      </c>
      <c r="H1061" s="154" t="s">
        <v>163</v>
      </c>
      <c r="I1061" s="154" t="s">
        <v>163</v>
      </c>
      <c r="J1061" s="154" t="s">
        <v>74</v>
      </c>
      <c r="K1061" s="154" t="s">
        <v>3394</v>
      </c>
      <c r="L1061" s="161">
        <v>46155</v>
      </c>
      <c r="M1061" s="160">
        <v>46155</v>
      </c>
      <c r="N1061" s="154" t="str">
        <f>IF(ISNUMBER(PL[[#This Row],[CTO]]),"CTO "&amp;PL[[#This Row],[CTO]],"Otros")</f>
        <v>CTO 10</v>
      </c>
      <c r="O1061" s="154" t="str">
        <f>IF(PL[[#This Row],[STATUS IUP]]="CERRADO","CERRADO",IF(ISNUMBER(SEARCH("validacion de enel",PL[[#This Row],[SUPPLIER NOTES]])),"PTE Validar Enel","ABIERTO"))</f>
        <v>CERRADO</v>
      </c>
      <c r="P1061" s="154" t="str">
        <f>IF(PL[[#This Row],[ESTADO]]="CERRADO","Cerrados IUP",IF(PL[[#This Row],[ESTADO]]="PTE Validar Enel","Pendiente cierre ENEL",IF(ISNUMBER(SEARCH("suministro",PL[[#This Row],[SUPPLIER NOTES]])),"Suministros",IF(PL[[#This Row],[SC]]="SOCIAL","Social",IF(ISNUMBER(SEARCH("monolito",PL[[#This Row],[DESCRIPTION]])),"Monolitos","Varios")))))</f>
        <v>Cerrados IUP</v>
      </c>
      <c r="Q10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62" spans="1:17" s="157" customFormat="1" hidden="1" x14ac:dyDescent="0.2">
      <c r="A1062" s="151" t="s">
        <v>3136</v>
      </c>
      <c r="B1062" s="154" t="s">
        <v>8</v>
      </c>
      <c r="C1062" s="152">
        <v>10</v>
      </c>
      <c r="D1062" s="153" t="s">
        <v>3384</v>
      </c>
      <c r="E1062" s="154" t="s">
        <v>3137</v>
      </c>
      <c r="F1062" s="154" t="s">
        <v>2374</v>
      </c>
      <c r="G1062" s="154" t="s">
        <v>291</v>
      </c>
      <c r="H1062" s="154" t="s">
        <v>163</v>
      </c>
      <c r="I1062" s="154" t="s">
        <v>163</v>
      </c>
      <c r="J1062" s="154" t="s">
        <v>74</v>
      </c>
      <c r="K1062" s="154" t="s">
        <v>3394</v>
      </c>
      <c r="L1062" s="161">
        <v>46155</v>
      </c>
      <c r="M1062" s="160">
        <v>46155</v>
      </c>
      <c r="N1062" s="154" t="str">
        <f>IF(ISNUMBER(PL[[#This Row],[CTO]]),"CTO "&amp;PL[[#This Row],[CTO]],"Otros")</f>
        <v>CTO 10</v>
      </c>
      <c r="O1062" s="154" t="str">
        <f>IF(PL[[#This Row],[STATUS IUP]]="CERRADO","CERRADO",IF(ISNUMBER(SEARCH("validacion de enel",PL[[#This Row],[SUPPLIER NOTES]])),"PTE Validar Enel","ABIERTO"))</f>
        <v>CERRADO</v>
      </c>
      <c r="P1062" s="154" t="str">
        <f>IF(PL[[#This Row],[ESTADO]]="CERRADO","Cerrados IUP",IF(PL[[#This Row],[ESTADO]]="PTE Validar Enel","Pendiente cierre ENEL",IF(ISNUMBER(SEARCH("suministro",PL[[#This Row],[SUPPLIER NOTES]])),"Suministros",IF(PL[[#This Row],[SC]]="SOCIAL","Social",IF(ISNUMBER(SEARCH("monolito",PL[[#This Row],[DESCRIPTION]])),"Monolitos","Varios")))))</f>
        <v>Cerrados IUP</v>
      </c>
      <c r="Q10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63" spans="1:17" x14ac:dyDescent="0.2">
      <c r="A1063" s="75" t="s">
        <v>1267</v>
      </c>
      <c r="B1063" s="74" t="s">
        <v>8</v>
      </c>
      <c r="C1063" s="52">
        <v>10</v>
      </c>
      <c r="D1063" s="76" t="s">
        <v>3384</v>
      </c>
      <c r="E1063" s="74"/>
      <c r="F1063" s="74" t="s">
        <v>1268</v>
      </c>
      <c r="G1063" s="112" t="s">
        <v>43</v>
      </c>
      <c r="H1063" s="74" t="s">
        <v>3460</v>
      </c>
      <c r="I1063" s="74"/>
      <c r="J1063" s="74" t="s">
        <v>11</v>
      </c>
      <c r="K1063" s="74" t="s">
        <v>3393</v>
      </c>
      <c r="L1063" s="74"/>
      <c r="M1063" s="77"/>
      <c r="N1063" s="74" t="str">
        <f>IF(ISNUMBER(PL[[#This Row],[CTO]]),"CTO "&amp;PL[[#This Row],[CTO]],"Otros")</f>
        <v>CTO 10</v>
      </c>
      <c r="O1063" s="74" t="str">
        <f>IF(PL[[#This Row],[STATUS IUP]]="CERRADO","CERRADO",IF(ISNUMBER(SEARCH("validacion de enel",PL[[#This Row],[SUPPLIER NOTES]])),"PTE Validar Enel","ABIERTO"))</f>
        <v>ABIERTO</v>
      </c>
      <c r="P1063" s="74" t="str">
        <f>IF(PL[[#This Row],[ESTADO]]="CERRADO","Cerrados IUP",IF(PL[[#This Row],[ESTADO]]="PTE Validar Enel","Pendiente cierre ENEL",IF(ISNUMBER(SEARCH("suministro",PL[[#This Row],[SUPPLIER NOTES]])),"Suministros",IF(PL[[#This Row],[SC]]="SOCIAL","Social",IF(ISNUMBER(SEARCH("monolito",PL[[#This Row],[DESCRIPTION]])),"Monolitos","Varios")))))</f>
        <v>Suministros</v>
      </c>
      <c r="Q1063"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4" spans="1:17" x14ac:dyDescent="0.2">
      <c r="A1064" s="75" t="s">
        <v>1269</v>
      </c>
      <c r="B1064" s="74" t="s">
        <v>8</v>
      </c>
      <c r="C1064" s="52">
        <v>10</v>
      </c>
      <c r="D1064" s="76" t="s">
        <v>3384</v>
      </c>
      <c r="E1064" s="74"/>
      <c r="F1064" s="74" t="s">
        <v>1270</v>
      </c>
      <c r="G1064" s="112" t="s">
        <v>43</v>
      </c>
      <c r="H1064" s="74" t="s">
        <v>3460</v>
      </c>
      <c r="I1064" s="74"/>
      <c r="J1064" s="74" t="s">
        <v>11</v>
      </c>
      <c r="K1064" s="74" t="s">
        <v>3393</v>
      </c>
      <c r="L1064" s="74"/>
      <c r="M1064" s="77"/>
      <c r="N1064" s="74" t="str">
        <f>IF(ISNUMBER(PL[[#This Row],[CTO]]),"CTO "&amp;PL[[#This Row],[CTO]],"Otros")</f>
        <v>CTO 10</v>
      </c>
      <c r="O1064" s="74" t="str">
        <f>IF(PL[[#This Row],[STATUS IUP]]="CERRADO","CERRADO",IF(ISNUMBER(SEARCH("validacion de enel",PL[[#This Row],[SUPPLIER NOTES]])),"PTE Validar Enel","ABIERTO"))</f>
        <v>ABIERTO</v>
      </c>
      <c r="P1064" s="74" t="str">
        <f>IF(PL[[#This Row],[ESTADO]]="CERRADO","Cerrados IUP",IF(PL[[#This Row],[ESTADO]]="PTE Validar Enel","Pendiente cierre ENEL",IF(ISNUMBER(SEARCH("suministro",PL[[#This Row],[SUPPLIER NOTES]])),"Suministros",IF(PL[[#This Row],[SC]]="SOCIAL","Social",IF(ISNUMBER(SEARCH("monolito",PL[[#This Row],[DESCRIPTION]])),"Monolitos","Varios")))))</f>
        <v>Suministros</v>
      </c>
      <c r="Q1064"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5" spans="1:17" x14ac:dyDescent="0.2">
      <c r="A1065" s="75" t="s">
        <v>1271</v>
      </c>
      <c r="B1065" s="74" t="s">
        <v>8</v>
      </c>
      <c r="C1065" s="52">
        <v>10</v>
      </c>
      <c r="D1065" s="76" t="s">
        <v>3384</v>
      </c>
      <c r="E1065" s="74"/>
      <c r="F1065" s="74" t="s">
        <v>1272</v>
      </c>
      <c r="G1065" s="112" t="s">
        <v>43</v>
      </c>
      <c r="H1065" s="74" t="s">
        <v>3460</v>
      </c>
      <c r="I1065" s="74"/>
      <c r="J1065" s="74" t="s">
        <v>11</v>
      </c>
      <c r="K1065" s="74" t="s">
        <v>3393</v>
      </c>
      <c r="L1065" s="74"/>
      <c r="M1065" s="77"/>
      <c r="N1065" s="74" t="str">
        <f>IF(ISNUMBER(PL[[#This Row],[CTO]]),"CTO "&amp;PL[[#This Row],[CTO]],"Otros")</f>
        <v>CTO 10</v>
      </c>
      <c r="O1065" s="74" t="str">
        <f>IF(PL[[#This Row],[STATUS IUP]]="CERRADO","CERRADO",IF(ISNUMBER(SEARCH("validacion de enel",PL[[#This Row],[SUPPLIER NOTES]])),"PTE Validar Enel","ABIERTO"))</f>
        <v>ABIERTO</v>
      </c>
      <c r="P1065" s="74" t="str">
        <f>IF(PL[[#This Row],[ESTADO]]="CERRADO","Cerrados IUP",IF(PL[[#This Row],[ESTADO]]="PTE Validar Enel","Pendiente cierre ENEL",IF(ISNUMBER(SEARCH("suministro",PL[[#This Row],[SUPPLIER NOTES]])),"Suministros",IF(PL[[#This Row],[SC]]="SOCIAL","Social",IF(ISNUMBER(SEARCH("monolito",PL[[#This Row],[DESCRIPTION]])),"Monolitos","Varios")))))</f>
        <v>Suministros</v>
      </c>
      <c r="Q1065"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6" spans="1:17" x14ac:dyDescent="0.2">
      <c r="A1066" s="75" t="s">
        <v>1273</v>
      </c>
      <c r="B1066" s="74" t="s">
        <v>8</v>
      </c>
      <c r="C1066" s="52">
        <v>10</v>
      </c>
      <c r="D1066" s="76" t="s">
        <v>3384</v>
      </c>
      <c r="E1066" s="74"/>
      <c r="F1066" s="74" t="s">
        <v>1274</v>
      </c>
      <c r="G1066" s="112" t="s">
        <v>43</v>
      </c>
      <c r="H1066" s="74" t="s">
        <v>3460</v>
      </c>
      <c r="I1066" s="74"/>
      <c r="J1066" s="74" t="s">
        <v>11</v>
      </c>
      <c r="K1066" s="74" t="s">
        <v>3393</v>
      </c>
      <c r="L1066" s="74"/>
      <c r="M1066" s="77"/>
      <c r="N1066" s="74" t="str">
        <f>IF(ISNUMBER(PL[[#This Row],[CTO]]),"CTO "&amp;PL[[#This Row],[CTO]],"Otros")</f>
        <v>CTO 10</v>
      </c>
      <c r="O1066" s="74" t="str">
        <f>IF(PL[[#This Row],[STATUS IUP]]="CERRADO","CERRADO",IF(ISNUMBER(SEARCH("validacion de enel",PL[[#This Row],[SUPPLIER NOTES]])),"PTE Validar Enel","ABIERTO"))</f>
        <v>ABIERTO</v>
      </c>
      <c r="P1066" s="74" t="str">
        <f>IF(PL[[#This Row],[ESTADO]]="CERRADO","Cerrados IUP",IF(PL[[#This Row],[ESTADO]]="PTE Validar Enel","Pendiente cierre ENEL",IF(ISNUMBER(SEARCH("suministro",PL[[#This Row],[SUPPLIER NOTES]])),"Suministros",IF(PL[[#This Row],[SC]]="SOCIAL","Social",IF(ISNUMBER(SEARCH("monolito",PL[[#This Row],[DESCRIPTION]])),"Monolitos","Varios")))))</f>
        <v>Suministros</v>
      </c>
      <c r="Q106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7" spans="1:17" x14ac:dyDescent="0.2">
      <c r="A1067" s="75" t="s">
        <v>1275</v>
      </c>
      <c r="B1067" s="74" t="s">
        <v>8</v>
      </c>
      <c r="C1067" s="52">
        <v>10</v>
      </c>
      <c r="D1067" s="76" t="s">
        <v>3384</v>
      </c>
      <c r="E1067" s="74"/>
      <c r="F1067" s="74" t="s">
        <v>1276</v>
      </c>
      <c r="G1067" s="112" t="s">
        <v>43</v>
      </c>
      <c r="H1067" s="74" t="s">
        <v>3460</v>
      </c>
      <c r="I1067" s="74"/>
      <c r="J1067" s="74" t="s">
        <v>11</v>
      </c>
      <c r="K1067" s="74" t="s">
        <v>3393</v>
      </c>
      <c r="L1067" s="74"/>
      <c r="M1067" s="77"/>
      <c r="N1067" s="74" t="str">
        <f>IF(ISNUMBER(PL[[#This Row],[CTO]]),"CTO "&amp;PL[[#This Row],[CTO]],"Otros")</f>
        <v>CTO 10</v>
      </c>
      <c r="O1067" s="74" t="str">
        <f>IF(PL[[#This Row],[STATUS IUP]]="CERRADO","CERRADO",IF(ISNUMBER(SEARCH("validacion de enel",PL[[#This Row],[SUPPLIER NOTES]])),"PTE Validar Enel","ABIERTO"))</f>
        <v>ABIERTO</v>
      </c>
      <c r="P1067" s="74" t="str">
        <f>IF(PL[[#This Row],[ESTADO]]="CERRADO","Cerrados IUP",IF(PL[[#This Row],[ESTADO]]="PTE Validar Enel","Pendiente cierre ENEL",IF(ISNUMBER(SEARCH("suministro",PL[[#This Row],[SUPPLIER NOTES]])),"Suministros",IF(PL[[#This Row],[SC]]="SOCIAL","Social",IF(ISNUMBER(SEARCH("monolito",PL[[#This Row],[DESCRIPTION]])),"Monolitos","Varios")))))</f>
        <v>Suministros</v>
      </c>
      <c r="Q106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8" spans="1:17" x14ac:dyDescent="0.2">
      <c r="A1068" s="75" t="s">
        <v>1277</v>
      </c>
      <c r="B1068" s="74" t="s">
        <v>8</v>
      </c>
      <c r="C1068" s="52">
        <v>10</v>
      </c>
      <c r="D1068" s="76" t="s">
        <v>3384</v>
      </c>
      <c r="E1068" s="74"/>
      <c r="F1068" s="74" t="s">
        <v>1278</v>
      </c>
      <c r="G1068" s="112" t="s">
        <v>43</v>
      </c>
      <c r="H1068" s="74" t="s">
        <v>3460</v>
      </c>
      <c r="I1068" s="74"/>
      <c r="J1068" s="74" t="s">
        <v>11</v>
      </c>
      <c r="K1068" s="74" t="s">
        <v>3393</v>
      </c>
      <c r="L1068" s="74"/>
      <c r="M1068" s="77"/>
      <c r="N1068" s="74" t="str">
        <f>IF(ISNUMBER(PL[[#This Row],[CTO]]),"CTO "&amp;PL[[#This Row],[CTO]],"Otros")</f>
        <v>CTO 10</v>
      </c>
      <c r="O1068" s="74" t="str">
        <f>IF(PL[[#This Row],[STATUS IUP]]="CERRADO","CERRADO",IF(ISNUMBER(SEARCH("validacion de enel",PL[[#This Row],[SUPPLIER NOTES]])),"PTE Validar Enel","ABIERTO"))</f>
        <v>ABIERTO</v>
      </c>
      <c r="P1068" s="74" t="str">
        <f>IF(PL[[#This Row],[ESTADO]]="CERRADO","Cerrados IUP",IF(PL[[#This Row],[ESTADO]]="PTE Validar Enel","Pendiente cierre ENEL",IF(ISNUMBER(SEARCH("suministro",PL[[#This Row],[SUPPLIER NOTES]])),"Suministros",IF(PL[[#This Row],[SC]]="SOCIAL","Social",IF(ISNUMBER(SEARCH("monolito",PL[[#This Row],[DESCRIPTION]])),"Monolitos","Varios")))))</f>
        <v>Suministros</v>
      </c>
      <c r="Q106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069" spans="1:17" s="157" customFormat="1" hidden="1" x14ac:dyDescent="0.2">
      <c r="A1069" s="151" t="s">
        <v>64</v>
      </c>
      <c r="B1069" s="154" t="s">
        <v>47</v>
      </c>
      <c r="C1069" s="152">
        <v>10</v>
      </c>
      <c r="D1069" s="153" t="s">
        <v>3384</v>
      </c>
      <c r="E1069" s="154"/>
      <c r="F1069" s="154" t="s">
        <v>65</v>
      </c>
      <c r="G1069" s="154" t="s">
        <v>49</v>
      </c>
      <c r="H1069" s="154"/>
      <c r="I1069" s="154"/>
      <c r="J1069" s="154" t="s">
        <v>74</v>
      </c>
      <c r="K1069" s="154" t="s">
        <v>3394</v>
      </c>
      <c r="L1069" s="154"/>
      <c r="M1069" s="156"/>
      <c r="N1069" s="154" t="str">
        <f>IF(ISNUMBER(PL[[#This Row],[CTO]]),"CTO "&amp;PL[[#This Row],[CTO]],"Otros")</f>
        <v>CTO 10</v>
      </c>
      <c r="O1069" s="154" t="str">
        <f>IF(PL[[#This Row],[STATUS IUP]]="CERRADO","CERRADO",IF(ISNUMBER(SEARCH("validacion de enel",PL[[#This Row],[SUPPLIER NOTES]])),"PTE Validar Enel","ABIERTO"))</f>
        <v>CERRADO</v>
      </c>
      <c r="P1069" s="154" t="str">
        <f>IF(PL[[#This Row],[ESTADO]]="CERRADO","Cerrados IUP",IF(PL[[#This Row],[ESTADO]]="PTE Validar Enel","Pendiente cierre ENEL",IF(ISNUMBER(SEARCH("suministro",PL[[#This Row],[SUPPLIER NOTES]])),"Suministros",IF(PL[[#This Row],[SC]]="SOCIAL","Social",IF(ISNUMBER(SEARCH("monolito",PL[[#This Row],[DESCRIPTION]])),"Monolitos","Varios")))))</f>
        <v>Cerrados IUP</v>
      </c>
      <c r="Q10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0" spans="1:17" hidden="1" x14ac:dyDescent="0.2">
      <c r="A1070" s="66" t="s">
        <v>1690</v>
      </c>
      <c r="B1070" s="67" t="s">
        <v>8</v>
      </c>
      <c r="C1070" s="52">
        <v>10</v>
      </c>
      <c r="D1070" s="68" t="s">
        <v>3384</v>
      </c>
      <c r="E1070" s="67" t="s">
        <v>1691</v>
      </c>
      <c r="F1070" s="67" t="s">
        <v>1692</v>
      </c>
      <c r="G1070" s="82" t="s">
        <v>1290</v>
      </c>
      <c r="H1070" s="90" t="s">
        <v>3464</v>
      </c>
      <c r="I1070" s="67"/>
      <c r="J1070" s="67" t="s">
        <v>11</v>
      </c>
      <c r="K1070" s="67" t="s">
        <v>3393</v>
      </c>
      <c r="L1070" s="67"/>
      <c r="M1070" s="69"/>
      <c r="N1070" s="67" t="str">
        <f>IF(ISNUMBER(PL[[#This Row],[CTO]]),"CTO "&amp;PL[[#This Row],[CTO]],"Otros")</f>
        <v>CTO 10</v>
      </c>
      <c r="O1070" s="67" t="str">
        <f>IF(PL[[#This Row],[STATUS IUP]]="CERRADO","CERRADO",IF(ISNUMBER(SEARCH("validacion de enel",PL[[#This Row],[SUPPLIER NOTES]])),"PTE Validar Enel","ABIERTO"))</f>
        <v>ABIERTO</v>
      </c>
      <c r="P1070" s="67" t="str">
        <f>IF(PL[[#This Row],[ESTADO]]="CERRADO","Cerrados IUP",IF(PL[[#This Row],[ESTADO]]="PTE Validar Enel","Pendiente cierre ENEL",IF(ISNUMBER(SEARCH("suministro",PL[[#This Row],[SUPPLIER NOTES]])),"Suministros",IF(PL[[#This Row],[SC]]="SOCIAL","Social",IF(ISNUMBER(SEARCH("monolito",PL[[#This Row],[DESCRIPTION]])),"Monolitos","Varios")))))</f>
        <v>Varios</v>
      </c>
      <c r="Q107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1" spans="1:17" hidden="1" x14ac:dyDescent="0.2">
      <c r="A1071" s="66" t="s">
        <v>1585</v>
      </c>
      <c r="B1071" s="67" t="s">
        <v>8</v>
      </c>
      <c r="C1071" s="52">
        <v>10</v>
      </c>
      <c r="D1071" s="68" t="s">
        <v>3384</v>
      </c>
      <c r="E1071" s="67" t="s">
        <v>1586</v>
      </c>
      <c r="F1071" s="67" t="s">
        <v>1587</v>
      </c>
      <c r="G1071" s="82" t="s">
        <v>1290</v>
      </c>
      <c r="H1071" s="90"/>
      <c r="I1071" s="67"/>
      <c r="J1071" s="67" t="s">
        <v>11</v>
      </c>
      <c r="K1071" s="67" t="s">
        <v>3393</v>
      </c>
      <c r="L1071" s="67"/>
      <c r="M1071" s="69"/>
      <c r="N1071" s="67" t="str">
        <f>IF(ISNUMBER(PL[[#This Row],[CTO]]),"CTO "&amp;PL[[#This Row],[CTO]],"Otros")</f>
        <v>CTO 10</v>
      </c>
      <c r="O1071" s="67" t="str">
        <f>IF(PL[[#This Row],[STATUS IUP]]="CERRADO","CERRADO",IF(ISNUMBER(SEARCH("validacion de enel",PL[[#This Row],[SUPPLIER NOTES]])),"PTE Validar Enel","ABIERTO"))</f>
        <v>ABIERTO</v>
      </c>
      <c r="P1071" s="67" t="str">
        <f>IF(PL[[#This Row],[ESTADO]]="CERRADO","Cerrados IUP",IF(PL[[#This Row],[ESTADO]]="PTE Validar Enel","Pendiente cierre ENEL",IF(ISNUMBER(SEARCH("suministro",PL[[#This Row],[SUPPLIER NOTES]])),"Suministros",IF(PL[[#This Row],[SC]]="SOCIAL","Social",IF(ISNUMBER(SEARCH("monolito",PL[[#This Row],[DESCRIPTION]])),"Monolitos","Varios")))))</f>
        <v>Varios</v>
      </c>
      <c r="Q107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2" spans="1:17" s="157" customFormat="1" hidden="1" x14ac:dyDescent="0.2">
      <c r="A1072" s="151" t="s">
        <v>2431</v>
      </c>
      <c r="B1072" s="154" t="s">
        <v>1291</v>
      </c>
      <c r="C1072" s="152">
        <v>10</v>
      </c>
      <c r="D1072" s="153" t="s">
        <v>3384</v>
      </c>
      <c r="E1072" s="154" t="s">
        <v>2432</v>
      </c>
      <c r="F1072" s="154" t="s">
        <v>2433</v>
      </c>
      <c r="G1072" s="154" t="s">
        <v>1290</v>
      </c>
      <c r="H1072" s="154" t="s">
        <v>3463</v>
      </c>
      <c r="I1072" s="154"/>
      <c r="J1072" s="154" t="s">
        <v>74</v>
      </c>
      <c r="K1072" s="154" t="s">
        <v>3394</v>
      </c>
      <c r="L1072" s="155">
        <v>46293</v>
      </c>
      <c r="M1072" s="156"/>
      <c r="N1072" s="154" t="str">
        <f>IF(ISNUMBER(PL[[#This Row],[CTO]]),"CTO "&amp;PL[[#This Row],[CTO]],"Otros")</f>
        <v>CTO 10</v>
      </c>
      <c r="O1072" s="154" t="str">
        <f>IF(PL[[#This Row],[STATUS IUP]]="CERRADO","CERRADO",IF(ISNUMBER(SEARCH("validacion de enel",PL[[#This Row],[SUPPLIER NOTES]])),"PTE Validar Enel","ABIERTO"))</f>
        <v>CERRADO</v>
      </c>
      <c r="P1072" s="154" t="str">
        <f>IF(PL[[#This Row],[ESTADO]]="CERRADO","Cerrados IUP",IF(PL[[#This Row],[ESTADO]]="PTE Validar Enel","Pendiente cierre ENEL",IF(ISNUMBER(SEARCH("suministro",PL[[#This Row],[SUPPLIER NOTES]])),"Suministros",IF(PL[[#This Row],[SC]]="SOCIAL","Social",IF(ISNUMBER(SEARCH("monolito",PL[[#This Row],[DESCRIPTION]])),"Monolitos","Varios")))))</f>
        <v>Cerrados IUP</v>
      </c>
      <c r="Q10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3" spans="1:17" hidden="1" x14ac:dyDescent="0.2">
      <c r="A1073" s="66" t="s">
        <v>1817</v>
      </c>
      <c r="B1073" s="67" t="s">
        <v>8</v>
      </c>
      <c r="C1073" s="52">
        <v>10</v>
      </c>
      <c r="D1073" s="68" t="s">
        <v>3384</v>
      </c>
      <c r="E1073" s="67" t="s">
        <v>1818</v>
      </c>
      <c r="F1073" s="67" t="s">
        <v>1819</v>
      </c>
      <c r="G1073" s="82" t="s">
        <v>1290</v>
      </c>
      <c r="H1073" s="90" t="s">
        <v>3463</v>
      </c>
      <c r="I1073" s="67"/>
      <c r="J1073" s="67" t="s">
        <v>11</v>
      </c>
      <c r="K1073" s="67" t="s">
        <v>3393</v>
      </c>
      <c r="L1073" s="67"/>
      <c r="M1073" s="69"/>
      <c r="N1073" s="67" t="str">
        <f>IF(ISNUMBER(PL[[#This Row],[CTO]]),"CTO "&amp;PL[[#This Row],[CTO]],"Otros")</f>
        <v>CTO 10</v>
      </c>
      <c r="O1073" s="67" t="str">
        <f>IF(PL[[#This Row],[STATUS IUP]]="CERRADO","CERRADO",IF(ISNUMBER(SEARCH("validacion de enel",PL[[#This Row],[SUPPLIER NOTES]])),"PTE Validar Enel","ABIERTO"))</f>
        <v>ABIERTO</v>
      </c>
      <c r="P1073" s="67" t="str">
        <f>IF(PL[[#This Row],[ESTADO]]="CERRADO","Cerrados IUP",IF(PL[[#This Row],[ESTADO]]="PTE Validar Enel","Pendiente cierre ENEL",IF(ISNUMBER(SEARCH("suministro",PL[[#This Row],[SUPPLIER NOTES]])),"Suministros",IF(PL[[#This Row],[SC]]="SOCIAL","Social",IF(ISNUMBER(SEARCH("monolito",PL[[#This Row],[DESCRIPTION]])),"Monolitos","Varios")))))</f>
        <v>Varios</v>
      </c>
      <c r="Q107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4" spans="1:17" hidden="1" x14ac:dyDescent="0.2">
      <c r="A1074" s="66" t="s">
        <v>2580</v>
      </c>
      <c r="B1074" s="67" t="s">
        <v>8</v>
      </c>
      <c r="C1074" s="52">
        <v>10</v>
      </c>
      <c r="D1074" s="68" t="s">
        <v>3384</v>
      </c>
      <c r="E1074" s="67" t="s">
        <v>2581</v>
      </c>
      <c r="F1074" s="67" t="s">
        <v>2582</v>
      </c>
      <c r="G1074" s="82" t="s">
        <v>1290</v>
      </c>
      <c r="H1074" s="90" t="s">
        <v>3463</v>
      </c>
      <c r="I1074" s="67"/>
      <c r="J1074" s="67" t="s">
        <v>11</v>
      </c>
      <c r="K1074" s="67" t="s">
        <v>3393</v>
      </c>
      <c r="L1074" s="67"/>
      <c r="M1074" s="69"/>
      <c r="N1074" s="67" t="str">
        <f>IF(ISNUMBER(PL[[#This Row],[CTO]]),"CTO "&amp;PL[[#This Row],[CTO]],"Otros")</f>
        <v>CTO 10</v>
      </c>
      <c r="O1074" s="67" t="str">
        <f>IF(PL[[#This Row],[STATUS IUP]]="CERRADO","CERRADO",IF(ISNUMBER(SEARCH("validacion de enel",PL[[#This Row],[SUPPLIER NOTES]])),"PTE Validar Enel","ABIERTO"))</f>
        <v>ABIERTO</v>
      </c>
      <c r="P1074" s="67" t="str">
        <f>IF(PL[[#This Row],[ESTADO]]="CERRADO","Cerrados IUP",IF(PL[[#This Row],[ESTADO]]="PTE Validar Enel","Pendiente cierre ENEL",IF(ISNUMBER(SEARCH("suministro",PL[[#This Row],[SUPPLIER NOTES]])),"Suministros",IF(PL[[#This Row],[SC]]="SOCIAL","Social",IF(ISNUMBER(SEARCH("monolito",PL[[#This Row],[DESCRIPTION]])),"Monolitos","Varios")))))</f>
        <v>Varios</v>
      </c>
      <c r="Q107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5" spans="1:17" hidden="1" x14ac:dyDescent="0.2">
      <c r="A1075" s="78" t="s">
        <v>2491</v>
      </c>
      <c r="B1075" s="79" t="s">
        <v>1295</v>
      </c>
      <c r="C1075" s="52">
        <v>10</v>
      </c>
      <c r="D1075" s="80" t="s">
        <v>3384</v>
      </c>
      <c r="E1075" s="79" t="s">
        <v>2492</v>
      </c>
      <c r="F1075" s="79" t="s">
        <v>1359</v>
      </c>
      <c r="G1075" s="82" t="s">
        <v>1290</v>
      </c>
      <c r="H1075" s="79" t="s">
        <v>3457</v>
      </c>
      <c r="I1075" s="79"/>
      <c r="J1075" s="79" t="s">
        <v>11</v>
      </c>
      <c r="K1075" s="79" t="s">
        <v>3393</v>
      </c>
      <c r="L1075" s="79"/>
      <c r="M1075" s="81"/>
      <c r="N1075" s="79" t="str">
        <f>IF(ISNUMBER(PL[[#This Row],[CTO]]),"CTO "&amp;PL[[#This Row],[CTO]],"Otros")</f>
        <v>CTO 10</v>
      </c>
      <c r="O1075" s="79" t="str">
        <f>IF(PL[[#This Row],[STATUS IUP]]="CERRADO","CERRADO",IF(ISNUMBER(SEARCH("validacion de enel",PL[[#This Row],[SUPPLIER NOTES]])),"PTE Validar Enel","ABIERTO"))</f>
        <v>ABIERTO</v>
      </c>
      <c r="P1075" s="79" t="str">
        <f>IF(PL[[#This Row],[ESTADO]]="CERRADO","Cerrados IUP",IF(PL[[#This Row],[ESTADO]]="PTE Validar Enel","Pendiente cierre ENEL",IF(ISNUMBER(SEARCH("suministro",PL[[#This Row],[SUPPLIER NOTES]])),"Suministros",IF(PL[[#This Row],[SC]]="SOCIAL","Social",IF(ISNUMBER(SEARCH("monolito",PL[[#This Row],[DESCRIPTION]])),"Monolitos","Varios")))))</f>
        <v>Monolitos</v>
      </c>
      <c r="Q1075"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6" spans="1:17" s="157" customFormat="1" hidden="1" x14ac:dyDescent="0.2">
      <c r="A1076" s="151" t="s">
        <v>1355</v>
      </c>
      <c r="B1076" s="154" t="s">
        <v>1295</v>
      </c>
      <c r="C1076" s="152">
        <v>10</v>
      </c>
      <c r="D1076" s="153" t="s">
        <v>3384</v>
      </c>
      <c r="E1076" s="154" t="s">
        <v>1356</v>
      </c>
      <c r="F1076" s="154" t="s">
        <v>1336</v>
      </c>
      <c r="G1076" s="154" t="s">
        <v>128</v>
      </c>
      <c r="H1076" s="154"/>
      <c r="I1076" s="154"/>
      <c r="J1076" s="154" t="s">
        <v>74</v>
      </c>
      <c r="K1076" s="154" t="s">
        <v>3394</v>
      </c>
      <c r="L1076" s="155">
        <v>46304</v>
      </c>
      <c r="M1076" s="156"/>
      <c r="N1076" s="154" t="str">
        <f>IF(ISNUMBER(PL[[#This Row],[CTO]]),"CTO "&amp;PL[[#This Row],[CTO]],"Otros")</f>
        <v>CTO 10</v>
      </c>
      <c r="O1076" s="154" t="str">
        <f>IF(PL[[#This Row],[STATUS IUP]]="CERRADO","CERRADO",IF(ISNUMBER(SEARCH("validacion de enel",PL[[#This Row],[SUPPLIER NOTES]])),"PTE Validar Enel","ABIERTO"))</f>
        <v>CERRADO</v>
      </c>
      <c r="P1076" s="154" t="str">
        <f>IF(PL[[#This Row],[ESTADO]]="CERRADO","Cerrados IUP",IF(PL[[#This Row],[ESTADO]]="PTE Validar Enel","Pendiente cierre ENEL",IF(ISNUMBER(SEARCH("suministro",PL[[#This Row],[SUPPLIER NOTES]])),"Suministros",IF(PL[[#This Row],[SC]]="SOCIAL","Social",IF(ISNUMBER(SEARCH("monolito",PL[[#This Row],[DESCRIPTION]])),"Monolitos","Varios")))))</f>
        <v>Cerrados IUP</v>
      </c>
      <c r="Q10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7" spans="1:17" hidden="1" x14ac:dyDescent="0.2">
      <c r="A1077" s="78" t="s">
        <v>2974</v>
      </c>
      <c r="B1077" s="79" t="s">
        <v>290</v>
      </c>
      <c r="C1077" s="52">
        <v>10</v>
      </c>
      <c r="D1077" s="80" t="s">
        <v>3384</v>
      </c>
      <c r="E1077" s="79" t="s">
        <v>2975</v>
      </c>
      <c r="F1077" s="79" t="s">
        <v>2976</v>
      </c>
      <c r="G1077" s="79" t="s">
        <v>291</v>
      </c>
      <c r="H1077" s="79" t="s">
        <v>3457</v>
      </c>
      <c r="I1077" s="79"/>
      <c r="J1077" s="79" t="s">
        <v>11</v>
      </c>
      <c r="K1077" s="79" t="s">
        <v>3393</v>
      </c>
      <c r="L1077" s="79"/>
      <c r="M1077" s="81"/>
      <c r="N1077" s="79" t="str">
        <f>IF(ISNUMBER(PL[[#This Row],[CTO]]),"CTO "&amp;PL[[#This Row],[CTO]],"Otros")</f>
        <v>CTO 10</v>
      </c>
      <c r="O1077" s="79" t="str">
        <f>IF(PL[[#This Row],[STATUS IUP]]="CERRADO","CERRADO",IF(ISNUMBER(SEARCH("validacion de enel",PL[[#This Row],[SUPPLIER NOTES]])),"PTE Validar Enel","ABIERTO"))</f>
        <v>ABIERTO</v>
      </c>
      <c r="P1077" s="79" t="str">
        <f>IF(PL[[#This Row],[ESTADO]]="CERRADO","Cerrados IUP",IF(PL[[#This Row],[ESTADO]]="PTE Validar Enel","Pendiente cierre ENEL",IF(ISNUMBER(SEARCH("suministro",PL[[#This Row],[SUPPLIER NOTES]])),"Suministros",IF(PL[[#This Row],[SC]]="SOCIAL","Social",IF(ISNUMBER(SEARCH("monolito",PL[[#This Row],[DESCRIPTION]])),"Monolitos","Varios")))))</f>
        <v>Monolitos</v>
      </c>
      <c r="Q1077" s="79"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8" spans="1:17" s="157" customFormat="1" hidden="1" x14ac:dyDescent="0.2">
      <c r="A1078" s="151" t="s">
        <v>2977</v>
      </c>
      <c r="B1078" s="154" t="s">
        <v>290</v>
      </c>
      <c r="C1078" s="152">
        <v>10</v>
      </c>
      <c r="D1078" s="153" t="s">
        <v>3384</v>
      </c>
      <c r="E1078" s="154" t="s">
        <v>2978</v>
      </c>
      <c r="F1078" s="154" t="s">
        <v>2979</v>
      </c>
      <c r="G1078" s="154" t="s">
        <v>291</v>
      </c>
      <c r="H1078" s="154" t="s">
        <v>3463</v>
      </c>
      <c r="I1078" s="154"/>
      <c r="J1078" s="154" t="s">
        <v>74</v>
      </c>
      <c r="K1078" s="154" t="s">
        <v>3394</v>
      </c>
      <c r="L1078" s="155">
        <v>46304</v>
      </c>
      <c r="M1078" s="156"/>
      <c r="N1078" s="154" t="str">
        <f>IF(ISNUMBER(PL[[#This Row],[CTO]]),"CTO "&amp;PL[[#This Row],[CTO]],"Otros")</f>
        <v>CTO 10</v>
      </c>
      <c r="O1078" s="154" t="str">
        <f>IF(PL[[#This Row],[STATUS IUP]]="CERRADO","CERRADO",IF(ISNUMBER(SEARCH("validacion de enel",PL[[#This Row],[SUPPLIER NOTES]])),"PTE Validar Enel","ABIERTO"))</f>
        <v>CERRADO</v>
      </c>
      <c r="P1078" s="154" t="str">
        <f>IF(PL[[#This Row],[ESTADO]]="CERRADO","Cerrados IUP",IF(PL[[#This Row],[ESTADO]]="PTE Validar Enel","Pendiente cierre ENEL",IF(ISNUMBER(SEARCH("suministro",PL[[#This Row],[SUPPLIER NOTES]])),"Suministros",IF(PL[[#This Row],[SC]]="SOCIAL","Social",IF(ISNUMBER(SEARCH("monolito",PL[[#This Row],[DESCRIPTION]])),"Monolitos","Varios")))))</f>
        <v>Cerrados IUP</v>
      </c>
      <c r="Q10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79" spans="1:17" s="157" customFormat="1" hidden="1" x14ac:dyDescent="0.2">
      <c r="A1079" s="151" t="s">
        <v>2980</v>
      </c>
      <c r="B1079" s="154" t="s">
        <v>290</v>
      </c>
      <c r="C1079" s="152">
        <v>10</v>
      </c>
      <c r="D1079" s="153" t="s">
        <v>3384</v>
      </c>
      <c r="E1079" s="154" t="s">
        <v>2981</v>
      </c>
      <c r="F1079" s="154" t="s">
        <v>2982</v>
      </c>
      <c r="G1079" s="154" t="s">
        <v>291</v>
      </c>
      <c r="H1079" s="154" t="s">
        <v>3463</v>
      </c>
      <c r="I1079" s="154"/>
      <c r="J1079" s="154" t="s">
        <v>74</v>
      </c>
      <c r="K1079" s="154" t="s">
        <v>3394</v>
      </c>
      <c r="L1079" s="154"/>
      <c r="M1079" s="156"/>
      <c r="N1079" s="154" t="str">
        <f>IF(ISNUMBER(PL[[#This Row],[CTO]]),"CTO "&amp;PL[[#This Row],[CTO]],"Otros")</f>
        <v>CTO 10</v>
      </c>
      <c r="O1079" s="154" t="str">
        <f>IF(PL[[#This Row],[STATUS IUP]]="CERRADO","CERRADO",IF(ISNUMBER(SEARCH("validacion de enel",PL[[#This Row],[SUPPLIER NOTES]])),"PTE Validar Enel","ABIERTO"))</f>
        <v>CERRADO</v>
      </c>
      <c r="P1079" s="154" t="str">
        <f>IF(PL[[#This Row],[ESTADO]]="CERRADO","Cerrados IUP",IF(PL[[#This Row],[ESTADO]]="PTE Validar Enel","Pendiente cierre ENEL",IF(ISNUMBER(SEARCH("suministro",PL[[#This Row],[SUPPLIER NOTES]])),"Suministros",IF(PL[[#This Row],[SC]]="SOCIAL","Social",IF(ISNUMBER(SEARCH("monolito",PL[[#This Row],[DESCRIPTION]])),"Monolitos","Varios")))))</f>
        <v>Cerrados IUP</v>
      </c>
      <c r="Q10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0" spans="1:17" hidden="1" x14ac:dyDescent="0.2">
      <c r="A1080" s="75" t="s">
        <v>1155</v>
      </c>
      <c r="B1080" s="74" t="s">
        <v>41</v>
      </c>
      <c r="C1080" s="52">
        <v>10</v>
      </c>
      <c r="D1080" s="76" t="s">
        <v>3384</v>
      </c>
      <c r="E1080" s="74"/>
      <c r="F1080" s="74" t="s">
        <v>1156</v>
      </c>
      <c r="G1080" s="74" t="s">
        <v>49</v>
      </c>
      <c r="H1080" s="74" t="s">
        <v>3462</v>
      </c>
      <c r="I1080" s="74"/>
      <c r="J1080" s="74" t="s">
        <v>11</v>
      </c>
      <c r="K1080" s="74" t="s">
        <v>3393</v>
      </c>
      <c r="L1080" s="74"/>
      <c r="M1080" s="77"/>
      <c r="N1080" s="74" t="str">
        <f>IF(ISNUMBER(PL[[#This Row],[CTO]]),"CTO "&amp;PL[[#This Row],[CTO]],"Otros")</f>
        <v>CTO 10</v>
      </c>
      <c r="O1080" s="74" t="str">
        <f>IF(PL[[#This Row],[STATUS IUP]]="CERRADO","CERRADO",IF(ISNUMBER(SEARCH("validacion de enel",PL[[#This Row],[SUPPLIER NOTES]])),"PTE Validar Enel","ABIERTO"))</f>
        <v>ABIERTO</v>
      </c>
      <c r="P1080" s="74" t="str">
        <f>IF(PL[[#This Row],[ESTADO]]="CERRADO","Cerrados IUP",IF(PL[[#This Row],[ESTADO]]="PTE Validar Enel","Pendiente cierre ENEL",IF(ISNUMBER(SEARCH("suministro",PL[[#This Row],[SUPPLIER NOTES]])),"Suministros",IF(PL[[#This Row],[SC]]="SOCIAL","Social",IF(ISNUMBER(SEARCH("monolito",PL[[#This Row],[DESCRIPTION]])),"Monolitos","Varios")))))</f>
        <v>Suministros</v>
      </c>
      <c r="Q1080"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081" spans="1:17" hidden="1" x14ac:dyDescent="0.2">
      <c r="A1081" s="75" t="s">
        <v>1157</v>
      </c>
      <c r="B1081" s="74" t="s">
        <v>41</v>
      </c>
      <c r="C1081" s="52">
        <v>10</v>
      </c>
      <c r="D1081" s="76" t="s">
        <v>3384</v>
      </c>
      <c r="E1081" s="74"/>
      <c r="F1081" s="74" t="s">
        <v>1158</v>
      </c>
      <c r="G1081" s="74" t="s">
        <v>49</v>
      </c>
      <c r="H1081" s="74" t="s">
        <v>3462</v>
      </c>
      <c r="I1081" s="74"/>
      <c r="J1081" s="74" t="s">
        <v>11</v>
      </c>
      <c r="K1081" s="74" t="s">
        <v>3393</v>
      </c>
      <c r="L1081" s="74"/>
      <c r="M1081" s="77"/>
      <c r="N1081" s="74" t="str">
        <f>IF(ISNUMBER(PL[[#This Row],[CTO]]),"CTO "&amp;PL[[#This Row],[CTO]],"Otros")</f>
        <v>CTO 10</v>
      </c>
      <c r="O1081" s="74" t="str">
        <f>IF(PL[[#This Row],[STATUS IUP]]="CERRADO","CERRADO",IF(ISNUMBER(SEARCH("validacion de enel",PL[[#This Row],[SUPPLIER NOTES]])),"PTE Validar Enel","ABIERTO"))</f>
        <v>ABIERTO</v>
      </c>
      <c r="P1081" s="74" t="str">
        <f>IF(PL[[#This Row],[ESTADO]]="CERRADO","Cerrados IUP",IF(PL[[#This Row],[ESTADO]]="PTE Validar Enel","Pendiente cierre ENEL",IF(ISNUMBER(SEARCH("suministro",PL[[#This Row],[SUPPLIER NOTES]])),"Suministros",IF(PL[[#This Row],[SC]]="SOCIAL","Social",IF(ISNUMBER(SEARCH("monolito",PL[[#This Row],[DESCRIPTION]])),"Monolitos","Varios")))))</f>
        <v>Suministros</v>
      </c>
      <c r="Q1081"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082" spans="1:17" s="157" customFormat="1" hidden="1" x14ac:dyDescent="0.2">
      <c r="A1082" s="151" t="s">
        <v>1159</v>
      </c>
      <c r="B1082" s="154" t="s">
        <v>41</v>
      </c>
      <c r="C1082" s="152">
        <v>10</v>
      </c>
      <c r="D1082" s="153" t="s">
        <v>3384</v>
      </c>
      <c r="E1082" s="154"/>
      <c r="F1082" s="154" t="s">
        <v>1160</v>
      </c>
      <c r="G1082" s="154" t="s">
        <v>49</v>
      </c>
      <c r="H1082" s="154"/>
      <c r="I1082" s="154"/>
      <c r="J1082" s="154" t="s">
        <v>74</v>
      </c>
      <c r="K1082" s="154" t="s">
        <v>3394</v>
      </c>
      <c r="L1082" s="154"/>
      <c r="M1082" s="156"/>
      <c r="N1082" s="154" t="str">
        <f>IF(ISNUMBER(PL[[#This Row],[CTO]]),"CTO "&amp;PL[[#This Row],[CTO]],"Otros")</f>
        <v>CTO 10</v>
      </c>
      <c r="O1082" s="154" t="str">
        <f>IF(PL[[#This Row],[STATUS IUP]]="CERRADO","CERRADO",IF(ISNUMBER(SEARCH("validacion de enel",PL[[#This Row],[SUPPLIER NOTES]])),"PTE Validar Enel","ABIERTO"))</f>
        <v>CERRADO</v>
      </c>
      <c r="P1082" s="154" t="str">
        <f>IF(PL[[#This Row],[ESTADO]]="CERRADO","Cerrados IUP",IF(PL[[#This Row],[ESTADO]]="PTE Validar Enel","Pendiente cierre ENEL",IF(ISNUMBER(SEARCH("suministro",PL[[#This Row],[SUPPLIER NOTES]])),"Suministros",IF(PL[[#This Row],[SC]]="SOCIAL","Social",IF(ISNUMBER(SEARCH("monolito",PL[[#This Row],[DESCRIPTION]])),"Monolitos","Varios")))))</f>
        <v>Cerrados IUP</v>
      </c>
      <c r="Q10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083" spans="1:17" s="157" customFormat="1" hidden="1" x14ac:dyDescent="0.2">
      <c r="A1083" s="151" t="s">
        <v>84</v>
      </c>
      <c r="B1083" s="154" t="s">
        <v>8</v>
      </c>
      <c r="C1083" s="152">
        <v>10</v>
      </c>
      <c r="D1083" s="153" t="s">
        <v>3384</v>
      </c>
      <c r="E1083" s="154"/>
      <c r="F1083" s="154" t="s">
        <v>85</v>
      </c>
      <c r="G1083" s="154" t="s">
        <v>1290</v>
      </c>
      <c r="H1083" s="154"/>
      <c r="I1083" s="154"/>
      <c r="J1083" s="154" t="s">
        <v>74</v>
      </c>
      <c r="K1083" s="154" t="s">
        <v>3394</v>
      </c>
      <c r="L1083" s="154"/>
      <c r="M1083" s="156"/>
      <c r="N1083" s="154" t="str">
        <f>IF(ISNUMBER(PL[[#This Row],[CTO]]),"CTO "&amp;PL[[#This Row],[CTO]],"Otros")</f>
        <v>CTO 10</v>
      </c>
      <c r="O1083" s="154" t="str">
        <f>IF(PL[[#This Row],[STATUS IUP]]="CERRADO","CERRADO",IF(ISNUMBER(SEARCH("validacion de enel",PL[[#This Row],[SUPPLIER NOTES]])),"PTE Validar Enel","ABIERTO"))</f>
        <v>CERRADO</v>
      </c>
      <c r="P1083" s="154" t="str">
        <f>IF(PL[[#This Row],[ESTADO]]="CERRADO","Cerrados IUP",IF(PL[[#This Row],[ESTADO]]="PTE Validar Enel","Pendiente cierre ENEL",IF(ISNUMBER(SEARCH("suministro",PL[[#This Row],[SUPPLIER NOTES]])),"Suministros",IF(PL[[#This Row],[SC]]="SOCIAL","Social",IF(ISNUMBER(SEARCH("monolito",PL[[#This Row],[DESCRIPTION]])),"Monolitos","Varios")))))</f>
        <v>Cerrados IUP</v>
      </c>
      <c r="Q10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1084" spans="1:17" s="157" customFormat="1" hidden="1" x14ac:dyDescent="0.2">
      <c r="A1084" s="151" t="s">
        <v>87</v>
      </c>
      <c r="B1084" s="154" t="s">
        <v>8</v>
      </c>
      <c r="C1084" s="152">
        <v>10</v>
      </c>
      <c r="D1084" s="153" t="s">
        <v>3384</v>
      </c>
      <c r="E1084" s="154"/>
      <c r="F1084" s="154" t="s">
        <v>88</v>
      </c>
      <c r="G1084" s="154" t="s">
        <v>1290</v>
      </c>
      <c r="H1084" s="154"/>
      <c r="I1084" s="154"/>
      <c r="J1084" s="154" t="s">
        <v>74</v>
      </c>
      <c r="K1084" s="154" t="s">
        <v>3394</v>
      </c>
      <c r="L1084" s="154"/>
      <c r="M1084" s="156"/>
      <c r="N1084" s="154" t="str">
        <f>IF(ISNUMBER(PL[[#This Row],[CTO]]),"CTO "&amp;PL[[#This Row],[CTO]],"Otros")</f>
        <v>CTO 10</v>
      </c>
      <c r="O1084" s="154" t="str">
        <f>IF(PL[[#This Row],[STATUS IUP]]="CERRADO","CERRADO",IF(ISNUMBER(SEARCH("validacion de enel",PL[[#This Row],[SUPPLIER NOTES]])),"PTE Validar Enel","ABIERTO"))</f>
        <v>CERRADO</v>
      </c>
      <c r="P1084" s="154" t="str">
        <f>IF(PL[[#This Row],[ESTADO]]="CERRADO","Cerrados IUP",IF(PL[[#This Row],[ESTADO]]="PTE Validar Enel","Pendiente cierre ENEL",IF(ISNUMBER(SEARCH("suministro",PL[[#This Row],[SUPPLIER NOTES]])),"Suministros",IF(PL[[#This Row],[SC]]="SOCIAL","Social",IF(ISNUMBER(SEARCH("monolito",PL[[#This Row],[DESCRIPTION]])),"Monolitos","Varios")))))</f>
        <v>Cerrados IUP</v>
      </c>
      <c r="Q10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Electric</v>
      </c>
    </row>
    <row r="1085" spans="1:17" ht="48" x14ac:dyDescent="0.2">
      <c r="A1085" s="86" t="s">
        <v>1234</v>
      </c>
      <c r="B1085" s="115" t="s">
        <v>8</v>
      </c>
      <c r="C1085" s="52">
        <v>10</v>
      </c>
      <c r="D1085" s="88" t="s">
        <v>3384</v>
      </c>
      <c r="E1085" s="87"/>
      <c r="F1085" s="115" t="s">
        <v>1235</v>
      </c>
      <c r="G1085" s="87" t="s">
        <v>43</v>
      </c>
      <c r="H1085" s="87" t="s">
        <v>3454</v>
      </c>
      <c r="I1085" s="87"/>
      <c r="J1085" s="87" t="s">
        <v>11</v>
      </c>
      <c r="K1085" s="87" t="s">
        <v>3393</v>
      </c>
      <c r="L1085" s="87"/>
      <c r="M1085" s="89"/>
      <c r="N1085" s="87" t="str">
        <f>IF(ISNUMBER(PL[[#This Row],[CTO]]),"CTO "&amp;PL[[#This Row],[CTO]],"Otros")</f>
        <v>CTO 10</v>
      </c>
      <c r="O1085" s="87" t="str">
        <f>IF(PL[[#This Row],[STATUS IUP]]="CERRADO","CERRADO",IF(ISNUMBER(SEARCH("validacion de enel",PL[[#This Row],[SUPPLIER NOTES]])),"PTE Validar Enel","ABIERTO"))</f>
        <v>PTE Validar Enel</v>
      </c>
      <c r="P1085"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085"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6" spans="1:17" s="157" customFormat="1" ht="16" hidden="1" x14ac:dyDescent="0.2">
      <c r="A1086" s="151" t="s">
        <v>2018</v>
      </c>
      <c r="B1086" s="152" t="s">
        <v>41</v>
      </c>
      <c r="C1086" s="152">
        <v>10</v>
      </c>
      <c r="D1086" s="153" t="s">
        <v>3385</v>
      </c>
      <c r="E1086" s="154" t="s">
        <v>2019</v>
      </c>
      <c r="F1086" s="152" t="s">
        <v>2020</v>
      </c>
      <c r="G1086" s="154" t="s">
        <v>1289</v>
      </c>
      <c r="H1086" s="154"/>
      <c r="I1086" s="154"/>
      <c r="J1086" s="154" t="s">
        <v>74</v>
      </c>
      <c r="K1086" s="154" t="s">
        <v>3394</v>
      </c>
      <c r="L1086" s="155">
        <v>46300</v>
      </c>
      <c r="M1086" s="156"/>
      <c r="N1086" s="154" t="str">
        <f>IF(ISNUMBER(PL[[#This Row],[CTO]]),"CTO "&amp;PL[[#This Row],[CTO]],"Otros")</f>
        <v>CTO 10</v>
      </c>
      <c r="O1086" s="154" t="str">
        <f>IF(PL[[#This Row],[STATUS IUP]]="CERRADO","CERRADO",IF(ISNUMBER(SEARCH("validacion de enel",PL[[#This Row],[SUPPLIER NOTES]])),"PTE Validar Enel","ABIERTO"))</f>
        <v>CERRADO</v>
      </c>
      <c r="P1086" s="154" t="str">
        <f>IF(PL[[#This Row],[ESTADO]]="CERRADO","Cerrados IUP",IF(PL[[#This Row],[ESTADO]]="PTE Validar Enel","Pendiente cierre ENEL",IF(ISNUMBER(SEARCH("suministro",PL[[#This Row],[SUPPLIER NOTES]])),"Suministros",IF(PL[[#This Row],[SC]]="SOCIAL","Social",IF(ISNUMBER(SEARCH("monolito",PL[[#This Row],[DESCRIPTION]])),"Monolitos","Varios")))))</f>
        <v>Cerrados IUP</v>
      </c>
      <c r="Q10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7" spans="1:17" s="157" customFormat="1" ht="16" hidden="1" x14ac:dyDescent="0.2">
      <c r="A1087" s="151" t="s">
        <v>2675</v>
      </c>
      <c r="B1087" s="152" t="s">
        <v>41</v>
      </c>
      <c r="C1087" s="152">
        <v>10</v>
      </c>
      <c r="D1087" s="153" t="s">
        <v>3385</v>
      </c>
      <c r="E1087" s="154" t="s">
        <v>2676</v>
      </c>
      <c r="F1087" s="152" t="s">
        <v>2677</v>
      </c>
      <c r="G1087" s="154" t="s">
        <v>1289</v>
      </c>
      <c r="H1087" s="154" t="s">
        <v>3454</v>
      </c>
      <c r="I1087" s="154"/>
      <c r="J1087" s="154" t="s">
        <v>74</v>
      </c>
      <c r="K1087" s="154" t="s">
        <v>3394</v>
      </c>
      <c r="L1087" s="155">
        <v>46294</v>
      </c>
      <c r="M1087" s="156"/>
      <c r="N1087" s="154" t="str">
        <f>IF(ISNUMBER(PL[[#This Row],[CTO]]),"CTO "&amp;PL[[#This Row],[CTO]],"Otros")</f>
        <v>CTO 10</v>
      </c>
      <c r="O1087" s="154" t="str">
        <f>IF(PL[[#This Row],[STATUS IUP]]="CERRADO","CERRADO",IF(ISNUMBER(SEARCH("validacion de enel",PL[[#This Row],[SUPPLIER NOTES]])),"PTE Validar Enel","ABIERTO"))</f>
        <v>CERRADO</v>
      </c>
      <c r="P1087" s="154" t="str">
        <f>IF(PL[[#This Row],[ESTADO]]="CERRADO","Cerrados IUP",IF(PL[[#This Row],[ESTADO]]="PTE Validar Enel","Pendiente cierre ENEL",IF(ISNUMBER(SEARCH("suministro",PL[[#This Row],[SUPPLIER NOTES]])),"Suministros",IF(PL[[#This Row],[SC]]="SOCIAL","Social",IF(ISNUMBER(SEARCH("monolito",PL[[#This Row],[DESCRIPTION]])),"Monolitos","Varios")))))</f>
        <v>Cerrados IUP</v>
      </c>
      <c r="Q10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8" spans="1:17" ht="16" hidden="1" x14ac:dyDescent="0.2">
      <c r="A1088" s="86" t="s">
        <v>2583</v>
      </c>
      <c r="B1088" s="115" t="s">
        <v>41</v>
      </c>
      <c r="C1088" s="52">
        <v>10</v>
      </c>
      <c r="D1088" s="88" t="s">
        <v>3385</v>
      </c>
      <c r="E1088" s="87" t="s">
        <v>2584</v>
      </c>
      <c r="F1088" s="115" t="s">
        <v>2585</v>
      </c>
      <c r="G1088" s="82" t="s">
        <v>1289</v>
      </c>
      <c r="H1088" s="87" t="s">
        <v>3454</v>
      </c>
      <c r="I1088" s="87"/>
      <c r="J1088" s="87" t="s">
        <v>11</v>
      </c>
      <c r="K1088" s="87" t="s">
        <v>3393</v>
      </c>
      <c r="L1088" s="87"/>
      <c r="M1088" s="89"/>
      <c r="N1088" s="87" t="str">
        <f>IF(ISNUMBER(PL[[#This Row],[CTO]]),"CTO "&amp;PL[[#This Row],[CTO]],"Otros")</f>
        <v>CTO 10</v>
      </c>
      <c r="O1088" s="87" t="str">
        <f>IF(PL[[#This Row],[STATUS IUP]]="CERRADO","CERRADO",IF(ISNUMBER(SEARCH("validacion de enel",PL[[#This Row],[SUPPLIER NOTES]])),"PTE Validar Enel","ABIERTO"))</f>
        <v>PTE Validar Enel</v>
      </c>
      <c r="P108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08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89" spans="1:17" s="157" customFormat="1" hidden="1" x14ac:dyDescent="0.2">
      <c r="A1089" s="151" t="s">
        <v>2699</v>
      </c>
      <c r="B1089" s="154" t="s">
        <v>1314</v>
      </c>
      <c r="C1089" s="152">
        <v>10</v>
      </c>
      <c r="D1089" s="153" t="s">
        <v>3385</v>
      </c>
      <c r="E1089" s="154" t="s">
        <v>2700</v>
      </c>
      <c r="F1089" s="154" t="s">
        <v>2701</v>
      </c>
      <c r="G1089" s="154" t="s">
        <v>1290</v>
      </c>
      <c r="H1089" s="154"/>
      <c r="I1089" s="154"/>
      <c r="J1089" s="154" t="s">
        <v>74</v>
      </c>
      <c r="K1089" s="154" t="s">
        <v>3394</v>
      </c>
      <c r="L1089" s="154"/>
      <c r="M1089" s="156"/>
      <c r="N1089" s="154" t="str">
        <f>IF(ISNUMBER(PL[[#This Row],[CTO]]),"CTO "&amp;PL[[#This Row],[CTO]],"Otros")</f>
        <v>CTO 10</v>
      </c>
      <c r="O1089" s="154" t="str">
        <f>IF(PL[[#This Row],[STATUS IUP]]="CERRADO","CERRADO",IF(ISNUMBER(SEARCH("validacion de enel",PL[[#This Row],[SUPPLIER NOTES]])),"PTE Validar Enel","ABIERTO"))</f>
        <v>CERRADO</v>
      </c>
      <c r="P1089" s="154" t="str">
        <f>IF(PL[[#This Row],[ESTADO]]="CERRADO","Cerrados IUP",IF(PL[[#This Row],[ESTADO]]="PTE Validar Enel","Pendiente cierre ENEL",IF(ISNUMBER(SEARCH("suministro",PL[[#This Row],[SUPPLIER NOTES]])),"Suministros",IF(PL[[#This Row],[SC]]="SOCIAL","Social",IF(ISNUMBER(SEARCH("monolito",PL[[#This Row],[DESCRIPTION]])),"Monolitos","Varios")))))</f>
        <v>Cerrados IUP</v>
      </c>
      <c r="Q10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0" spans="1:17" s="157" customFormat="1" hidden="1" x14ac:dyDescent="0.2">
      <c r="A1090" s="151" t="s">
        <v>2592</v>
      </c>
      <c r="B1090" s="154" t="s">
        <v>1297</v>
      </c>
      <c r="C1090" s="152">
        <v>10</v>
      </c>
      <c r="D1090" s="153" t="s">
        <v>3385</v>
      </c>
      <c r="E1090" s="154" t="s">
        <v>2593</v>
      </c>
      <c r="F1090" s="154" t="s">
        <v>2594</v>
      </c>
      <c r="G1090" s="154" t="s">
        <v>1290</v>
      </c>
      <c r="H1090" s="154"/>
      <c r="I1090" s="154"/>
      <c r="J1090" s="154" t="s">
        <v>74</v>
      </c>
      <c r="K1090" s="154" t="s">
        <v>3394</v>
      </c>
      <c r="L1090" s="154"/>
      <c r="M1090" s="156"/>
      <c r="N1090" s="154" t="str">
        <f>IF(ISNUMBER(PL[[#This Row],[CTO]]),"CTO "&amp;PL[[#This Row],[CTO]],"Otros")</f>
        <v>CTO 10</v>
      </c>
      <c r="O1090" s="154" t="str">
        <f>IF(PL[[#This Row],[STATUS IUP]]="CERRADO","CERRADO",IF(ISNUMBER(SEARCH("validacion de enel",PL[[#This Row],[SUPPLIER NOTES]])),"PTE Validar Enel","ABIERTO"))</f>
        <v>CERRADO</v>
      </c>
      <c r="P1090" s="154" t="str">
        <f>IF(PL[[#This Row],[ESTADO]]="CERRADO","Cerrados IUP",IF(PL[[#This Row],[ESTADO]]="PTE Validar Enel","Pendiente cierre ENEL",IF(ISNUMBER(SEARCH("suministro",PL[[#This Row],[SUPPLIER NOTES]])),"Suministros",IF(PL[[#This Row],[SC]]="SOCIAL","Social",IF(ISNUMBER(SEARCH("monolito",PL[[#This Row],[DESCRIPTION]])),"Monolitos","Varios")))))</f>
        <v>Cerrados IUP</v>
      </c>
      <c r="Q10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1" spans="1:17" s="157" customFormat="1" hidden="1" x14ac:dyDescent="0.2">
      <c r="A1091" s="151" t="s">
        <v>2440</v>
      </c>
      <c r="B1091" s="154" t="s">
        <v>1314</v>
      </c>
      <c r="C1091" s="152">
        <v>10</v>
      </c>
      <c r="D1091" s="153" t="s">
        <v>3385</v>
      </c>
      <c r="E1091" s="154" t="s">
        <v>2441</v>
      </c>
      <c r="F1091" s="154" t="s">
        <v>2442</v>
      </c>
      <c r="G1091" s="154" t="s">
        <v>1290</v>
      </c>
      <c r="H1091" s="154"/>
      <c r="I1091" s="154"/>
      <c r="J1091" s="154" t="s">
        <v>74</v>
      </c>
      <c r="K1091" s="154" t="s">
        <v>3394</v>
      </c>
      <c r="L1091" s="154"/>
      <c r="M1091" s="156"/>
      <c r="N1091" s="154" t="str">
        <f>IF(ISNUMBER(PL[[#This Row],[CTO]]),"CTO "&amp;PL[[#This Row],[CTO]],"Otros")</f>
        <v>CTO 10</v>
      </c>
      <c r="O1091" s="154" t="str">
        <f>IF(PL[[#This Row],[STATUS IUP]]="CERRADO","CERRADO",IF(ISNUMBER(SEARCH("validacion de enel",PL[[#This Row],[SUPPLIER NOTES]])),"PTE Validar Enel","ABIERTO"))</f>
        <v>CERRADO</v>
      </c>
      <c r="P1091" s="154" t="str">
        <f>IF(PL[[#This Row],[ESTADO]]="CERRADO","Cerrados IUP",IF(PL[[#This Row],[ESTADO]]="PTE Validar Enel","Pendiente cierre ENEL",IF(ISNUMBER(SEARCH("suministro",PL[[#This Row],[SUPPLIER NOTES]])),"Suministros",IF(PL[[#This Row],[SC]]="SOCIAL","Social",IF(ISNUMBER(SEARCH("monolito",PL[[#This Row],[DESCRIPTION]])),"Monolitos","Varios")))))</f>
        <v>Cerrados IUP</v>
      </c>
      <c r="Q10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2" spans="1:17" s="157" customFormat="1" hidden="1" x14ac:dyDescent="0.2">
      <c r="A1092" s="151" t="s">
        <v>2684</v>
      </c>
      <c r="B1092" s="154" t="s">
        <v>1314</v>
      </c>
      <c r="C1092" s="152">
        <v>10</v>
      </c>
      <c r="D1092" s="153" t="s">
        <v>3385</v>
      </c>
      <c r="E1092" s="154" t="s">
        <v>2685</v>
      </c>
      <c r="F1092" s="154" t="s">
        <v>2686</v>
      </c>
      <c r="G1092" s="154" t="s">
        <v>1290</v>
      </c>
      <c r="H1092" s="154"/>
      <c r="I1092" s="154"/>
      <c r="J1092" s="154" t="s">
        <v>74</v>
      </c>
      <c r="K1092" s="154" t="s">
        <v>3394</v>
      </c>
      <c r="L1092" s="154"/>
      <c r="M1092" s="156"/>
      <c r="N1092" s="154" t="str">
        <f>IF(ISNUMBER(PL[[#This Row],[CTO]]),"CTO "&amp;PL[[#This Row],[CTO]],"Otros")</f>
        <v>CTO 10</v>
      </c>
      <c r="O1092" s="154" t="str">
        <f>IF(PL[[#This Row],[STATUS IUP]]="CERRADO","CERRADO",IF(ISNUMBER(SEARCH("validacion de enel",PL[[#This Row],[SUPPLIER NOTES]])),"PTE Validar Enel","ABIERTO"))</f>
        <v>CERRADO</v>
      </c>
      <c r="P1092" s="154" t="str">
        <f>IF(PL[[#This Row],[ESTADO]]="CERRADO","Cerrados IUP",IF(PL[[#This Row],[ESTADO]]="PTE Validar Enel","Pendiente cierre ENEL",IF(ISNUMBER(SEARCH("suministro",PL[[#This Row],[SUPPLIER NOTES]])),"Suministros",IF(PL[[#This Row],[SC]]="SOCIAL","Social",IF(ISNUMBER(SEARCH("monolito",PL[[#This Row],[DESCRIPTION]])),"Monolitos","Varios")))))</f>
        <v>Cerrados IUP</v>
      </c>
      <c r="Q10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3" spans="1:17" s="157" customFormat="1" hidden="1" x14ac:dyDescent="0.2">
      <c r="A1093" s="151" t="s">
        <v>2783</v>
      </c>
      <c r="B1093" s="154" t="s">
        <v>1266</v>
      </c>
      <c r="C1093" s="152">
        <v>10</v>
      </c>
      <c r="D1093" s="153" t="s">
        <v>3385</v>
      </c>
      <c r="E1093" s="154" t="s">
        <v>2784</v>
      </c>
      <c r="F1093" s="154" t="s">
        <v>2785</v>
      </c>
      <c r="G1093" s="154" t="s">
        <v>1290</v>
      </c>
      <c r="H1093" s="154"/>
      <c r="I1093" s="154"/>
      <c r="J1093" s="154" t="s">
        <v>74</v>
      </c>
      <c r="K1093" s="154" t="s">
        <v>3394</v>
      </c>
      <c r="L1093" s="154"/>
      <c r="M1093" s="156"/>
      <c r="N1093" s="154" t="str">
        <f>IF(ISNUMBER(PL[[#This Row],[CTO]]),"CTO "&amp;PL[[#This Row],[CTO]],"Otros")</f>
        <v>CTO 10</v>
      </c>
      <c r="O1093" s="154" t="str">
        <f>IF(PL[[#This Row],[STATUS IUP]]="CERRADO","CERRADO",IF(ISNUMBER(SEARCH("validacion de enel",PL[[#This Row],[SUPPLIER NOTES]])),"PTE Validar Enel","ABIERTO"))</f>
        <v>CERRADO</v>
      </c>
      <c r="P1093" s="154" t="str">
        <f>IF(PL[[#This Row],[ESTADO]]="CERRADO","Cerrados IUP",IF(PL[[#This Row],[ESTADO]]="PTE Validar Enel","Pendiente cierre ENEL",IF(ISNUMBER(SEARCH("suministro",PL[[#This Row],[SUPPLIER NOTES]])),"Suministros",IF(PL[[#This Row],[SC]]="SOCIAL","Social",IF(ISNUMBER(SEARCH("monolito",PL[[#This Row],[DESCRIPTION]])),"Monolitos","Varios")))))</f>
        <v>Cerrados IUP</v>
      </c>
      <c r="Q10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4" spans="1:17" s="157" customFormat="1" hidden="1" x14ac:dyDescent="0.2">
      <c r="A1094" s="151" t="s">
        <v>2777</v>
      </c>
      <c r="B1094" s="154" t="s">
        <v>1266</v>
      </c>
      <c r="C1094" s="152">
        <v>10</v>
      </c>
      <c r="D1094" s="153" t="s">
        <v>3385</v>
      </c>
      <c r="E1094" s="154" t="s">
        <v>2778</v>
      </c>
      <c r="F1094" s="154" t="s">
        <v>2779</v>
      </c>
      <c r="G1094" s="154" t="s">
        <v>1290</v>
      </c>
      <c r="H1094" s="154"/>
      <c r="I1094" s="154"/>
      <c r="J1094" s="154" t="s">
        <v>74</v>
      </c>
      <c r="K1094" s="154" t="s">
        <v>3394</v>
      </c>
      <c r="L1094" s="154"/>
      <c r="M1094" s="156"/>
      <c r="N1094" s="154" t="str">
        <f>IF(ISNUMBER(PL[[#This Row],[CTO]]),"CTO "&amp;PL[[#This Row],[CTO]],"Otros")</f>
        <v>CTO 10</v>
      </c>
      <c r="O1094" s="154" t="str">
        <f>IF(PL[[#This Row],[STATUS IUP]]="CERRADO","CERRADO",IF(ISNUMBER(SEARCH("validacion de enel",PL[[#This Row],[SUPPLIER NOTES]])),"PTE Validar Enel","ABIERTO"))</f>
        <v>CERRADO</v>
      </c>
      <c r="P1094" s="154" t="str">
        <f>IF(PL[[#This Row],[ESTADO]]="CERRADO","Cerrados IUP",IF(PL[[#This Row],[ESTADO]]="PTE Validar Enel","Pendiente cierre ENEL",IF(ISNUMBER(SEARCH("suministro",PL[[#This Row],[SUPPLIER NOTES]])),"Suministros",IF(PL[[#This Row],[SC]]="SOCIAL","Social",IF(ISNUMBER(SEARCH("monolito",PL[[#This Row],[DESCRIPTION]])),"Monolitos","Varios")))))</f>
        <v>Cerrados IUP</v>
      </c>
      <c r="Q10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5" spans="1:17" s="157" customFormat="1" hidden="1" x14ac:dyDescent="0.2">
      <c r="A1095" s="151" t="s">
        <v>1915</v>
      </c>
      <c r="B1095" s="154" t="s">
        <v>1266</v>
      </c>
      <c r="C1095" s="152">
        <v>10</v>
      </c>
      <c r="D1095" s="153" t="s">
        <v>3385</v>
      </c>
      <c r="E1095" s="154" t="s">
        <v>1916</v>
      </c>
      <c r="F1095" s="154" t="s">
        <v>1917</v>
      </c>
      <c r="G1095" s="154" t="s">
        <v>1290</v>
      </c>
      <c r="H1095" s="154"/>
      <c r="I1095" s="154"/>
      <c r="J1095" s="154" t="s">
        <v>74</v>
      </c>
      <c r="K1095" s="154" t="s">
        <v>3394</v>
      </c>
      <c r="L1095" s="154"/>
      <c r="M1095" s="156"/>
      <c r="N1095" s="154" t="str">
        <f>IF(ISNUMBER(PL[[#This Row],[CTO]]),"CTO "&amp;PL[[#This Row],[CTO]],"Otros")</f>
        <v>CTO 10</v>
      </c>
      <c r="O1095" s="154" t="str">
        <f>IF(PL[[#This Row],[STATUS IUP]]="CERRADO","CERRADO",IF(ISNUMBER(SEARCH("validacion de enel",PL[[#This Row],[SUPPLIER NOTES]])),"PTE Validar Enel","ABIERTO"))</f>
        <v>CERRADO</v>
      </c>
      <c r="P1095" s="154" t="str">
        <f>IF(PL[[#This Row],[ESTADO]]="CERRADO","Cerrados IUP",IF(PL[[#This Row],[ESTADO]]="PTE Validar Enel","Pendiente cierre ENEL",IF(ISNUMBER(SEARCH("suministro",PL[[#This Row],[SUPPLIER NOTES]])),"Suministros",IF(PL[[#This Row],[SC]]="SOCIAL","Social",IF(ISNUMBER(SEARCH("monolito",PL[[#This Row],[DESCRIPTION]])),"Monolitos","Varios")))))</f>
        <v>Cerrados IUP</v>
      </c>
      <c r="Q10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6" spans="1:17" s="157" customFormat="1" hidden="1" x14ac:dyDescent="0.2">
      <c r="A1096" s="151" t="s">
        <v>1823</v>
      </c>
      <c r="B1096" s="154" t="s">
        <v>1266</v>
      </c>
      <c r="C1096" s="152">
        <v>10</v>
      </c>
      <c r="D1096" s="153" t="s">
        <v>3385</v>
      </c>
      <c r="E1096" s="154" t="s">
        <v>1824</v>
      </c>
      <c r="F1096" s="154" t="s">
        <v>1825</v>
      </c>
      <c r="G1096" s="154" t="s">
        <v>1290</v>
      </c>
      <c r="H1096" s="154"/>
      <c r="I1096" s="154"/>
      <c r="J1096" s="154" t="s">
        <v>74</v>
      </c>
      <c r="K1096" s="154" t="s">
        <v>3394</v>
      </c>
      <c r="L1096" s="154"/>
      <c r="M1096" s="156"/>
      <c r="N1096" s="154" t="str">
        <f>IF(ISNUMBER(PL[[#This Row],[CTO]]),"CTO "&amp;PL[[#This Row],[CTO]],"Otros")</f>
        <v>CTO 10</v>
      </c>
      <c r="O1096" s="154" t="str">
        <f>IF(PL[[#This Row],[STATUS IUP]]="CERRADO","CERRADO",IF(ISNUMBER(SEARCH("validacion de enel",PL[[#This Row],[SUPPLIER NOTES]])),"PTE Validar Enel","ABIERTO"))</f>
        <v>CERRADO</v>
      </c>
      <c r="P1096" s="154" t="str">
        <f>IF(PL[[#This Row],[ESTADO]]="CERRADO","Cerrados IUP",IF(PL[[#This Row],[ESTADO]]="PTE Validar Enel","Pendiente cierre ENEL",IF(ISNUMBER(SEARCH("suministro",PL[[#This Row],[SUPPLIER NOTES]])),"Suministros",IF(PL[[#This Row],[SC]]="SOCIAL","Social",IF(ISNUMBER(SEARCH("monolito",PL[[#This Row],[DESCRIPTION]])),"Monolitos","Varios")))))</f>
        <v>Cerrados IUP</v>
      </c>
      <c r="Q10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7" spans="1:17" s="157" customFormat="1" hidden="1" x14ac:dyDescent="0.2">
      <c r="A1097" s="151" t="s">
        <v>2394</v>
      </c>
      <c r="B1097" s="154" t="s">
        <v>1266</v>
      </c>
      <c r="C1097" s="152">
        <v>10</v>
      </c>
      <c r="D1097" s="153" t="s">
        <v>3385</v>
      </c>
      <c r="E1097" s="154" t="s">
        <v>2395</v>
      </c>
      <c r="F1097" s="154" t="s">
        <v>2396</v>
      </c>
      <c r="G1097" s="154" t="s">
        <v>1290</v>
      </c>
      <c r="H1097" s="154"/>
      <c r="I1097" s="154"/>
      <c r="J1097" s="154" t="s">
        <v>74</v>
      </c>
      <c r="K1097" s="154" t="s">
        <v>3394</v>
      </c>
      <c r="L1097" s="154"/>
      <c r="M1097" s="156"/>
      <c r="N1097" s="154" t="str">
        <f>IF(ISNUMBER(PL[[#This Row],[CTO]]),"CTO "&amp;PL[[#This Row],[CTO]],"Otros")</f>
        <v>CTO 10</v>
      </c>
      <c r="O1097" s="154" t="str">
        <f>IF(PL[[#This Row],[STATUS IUP]]="CERRADO","CERRADO",IF(ISNUMBER(SEARCH("validacion de enel",PL[[#This Row],[SUPPLIER NOTES]])),"PTE Validar Enel","ABIERTO"))</f>
        <v>CERRADO</v>
      </c>
      <c r="P1097" s="154" t="str">
        <f>IF(PL[[#This Row],[ESTADO]]="CERRADO","Cerrados IUP",IF(PL[[#This Row],[ESTADO]]="PTE Validar Enel","Pendiente cierre ENEL",IF(ISNUMBER(SEARCH("suministro",PL[[#This Row],[SUPPLIER NOTES]])),"Suministros",IF(PL[[#This Row],[SC]]="SOCIAL","Social",IF(ISNUMBER(SEARCH("monolito",PL[[#This Row],[DESCRIPTION]])),"Monolitos","Varios")))))</f>
        <v>Cerrados IUP</v>
      </c>
      <c r="Q10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8" spans="1:17" s="157" customFormat="1" hidden="1" x14ac:dyDescent="0.2">
      <c r="A1098" s="151" t="s">
        <v>2470</v>
      </c>
      <c r="B1098" s="154" t="s">
        <v>1266</v>
      </c>
      <c r="C1098" s="152">
        <v>10</v>
      </c>
      <c r="D1098" s="153" t="s">
        <v>3385</v>
      </c>
      <c r="E1098" s="154" t="s">
        <v>2471</v>
      </c>
      <c r="F1098" s="154" t="s">
        <v>2472</v>
      </c>
      <c r="G1098" s="154" t="s">
        <v>1290</v>
      </c>
      <c r="H1098" s="154"/>
      <c r="I1098" s="154"/>
      <c r="J1098" s="154" t="s">
        <v>74</v>
      </c>
      <c r="K1098" s="154" t="s">
        <v>3394</v>
      </c>
      <c r="L1098" s="154"/>
      <c r="M1098" s="156"/>
      <c r="N1098" s="154" t="str">
        <f>IF(ISNUMBER(PL[[#This Row],[CTO]]),"CTO "&amp;PL[[#This Row],[CTO]],"Otros")</f>
        <v>CTO 10</v>
      </c>
      <c r="O1098" s="154" t="str">
        <f>IF(PL[[#This Row],[STATUS IUP]]="CERRADO","CERRADO",IF(ISNUMBER(SEARCH("validacion de enel",PL[[#This Row],[SUPPLIER NOTES]])),"PTE Validar Enel","ABIERTO"))</f>
        <v>CERRADO</v>
      </c>
      <c r="P1098" s="154" t="str">
        <f>IF(PL[[#This Row],[ESTADO]]="CERRADO","Cerrados IUP",IF(PL[[#This Row],[ESTADO]]="PTE Validar Enel","Pendiente cierre ENEL",IF(ISNUMBER(SEARCH("suministro",PL[[#This Row],[SUPPLIER NOTES]])),"Suministros",IF(PL[[#This Row],[SC]]="SOCIAL","Social",IF(ISNUMBER(SEARCH("monolito",PL[[#This Row],[DESCRIPTION]])),"Monolitos","Varios")))))</f>
        <v>Cerrados IUP</v>
      </c>
      <c r="Q10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099" spans="1:17" s="157" customFormat="1" hidden="1" x14ac:dyDescent="0.2">
      <c r="A1099" s="151" t="s">
        <v>2771</v>
      </c>
      <c r="B1099" s="154" t="s">
        <v>1266</v>
      </c>
      <c r="C1099" s="152">
        <v>10</v>
      </c>
      <c r="D1099" s="153" t="s">
        <v>3385</v>
      </c>
      <c r="E1099" s="154" t="s">
        <v>2772</v>
      </c>
      <c r="F1099" s="154" t="s">
        <v>2773</v>
      </c>
      <c r="G1099" s="154" t="s">
        <v>1290</v>
      </c>
      <c r="H1099" s="154"/>
      <c r="I1099" s="154"/>
      <c r="J1099" s="154" t="s">
        <v>74</v>
      </c>
      <c r="K1099" s="154" t="s">
        <v>3394</v>
      </c>
      <c r="L1099" s="154"/>
      <c r="M1099" s="156"/>
      <c r="N1099" s="154" t="str">
        <f>IF(ISNUMBER(PL[[#This Row],[CTO]]),"CTO "&amp;PL[[#This Row],[CTO]],"Otros")</f>
        <v>CTO 10</v>
      </c>
      <c r="O1099" s="154" t="str">
        <f>IF(PL[[#This Row],[STATUS IUP]]="CERRADO","CERRADO",IF(ISNUMBER(SEARCH("validacion de enel",PL[[#This Row],[SUPPLIER NOTES]])),"PTE Validar Enel","ABIERTO"))</f>
        <v>CERRADO</v>
      </c>
      <c r="P1099" s="154" t="str">
        <f>IF(PL[[#This Row],[ESTADO]]="CERRADO","Cerrados IUP",IF(PL[[#This Row],[ESTADO]]="PTE Validar Enel","Pendiente cierre ENEL",IF(ISNUMBER(SEARCH("suministro",PL[[#This Row],[SUPPLIER NOTES]])),"Suministros",IF(PL[[#This Row],[SC]]="SOCIAL","Social",IF(ISNUMBER(SEARCH("monolito",PL[[#This Row],[DESCRIPTION]])),"Monolitos","Varios")))))</f>
        <v>Cerrados IUP</v>
      </c>
      <c r="Q10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0" spans="1:17" s="157" customFormat="1" hidden="1" x14ac:dyDescent="0.2">
      <c r="A1100" s="151" t="s">
        <v>2765</v>
      </c>
      <c r="B1100" s="154" t="s">
        <v>1266</v>
      </c>
      <c r="C1100" s="152">
        <v>10</v>
      </c>
      <c r="D1100" s="153" t="s">
        <v>3385</v>
      </c>
      <c r="E1100" s="154" t="s">
        <v>2766</v>
      </c>
      <c r="F1100" s="154" t="s">
        <v>2767</v>
      </c>
      <c r="G1100" s="154" t="s">
        <v>1290</v>
      </c>
      <c r="H1100" s="154"/>
      <c r="I1100" s="154"/>
      <c r="J1100" s="154" t="s">
        <v>74</v>
      </c>
      <c r="K1100" s="154" t="s">
        <v>3394</v>
      </c>
      <c r="L1100" s="154"/>
      <c r="M1100" s="156"/>
      <c r="N1100" s="154" t="str">
        <f>IF(ISNUMBER(PL[[#This Row],[CTO]]),"CTO "&amp;PL[[#This Row],[CTO]],"Otros")</f>
        <v>CTO 10</v>
      </c>
      <c r="O1100" s="154" t="str">
        <f>IF(PL[[#This Row],[STATUS IUP]]="CERRADO","CERRADO",IF(ISNUMBER(SEARCH("validacion de enel",PL[[#This Row],[SUPPLIER NOTES]])),"PTE Validar Enel","ABIERTO"))</f>
        <v>CERRADO</v>
      </c>
      <c r="P1100" s="154" t="str">
        <f>IF(PL[[#This Row],[ESTADO]]="CERRADO","Cerrados IUP",IF(PL[[#This Row],[ESTADO]]="PTE Validar Enel","Pendiente cierre ENEL",IF(ISNUMBER(SEARCH("suministro",PL[[#This Row],[SUPPLIER NOTES]])),"Suministros",IF(PL[[#This Row],[SC]]="SOCIAL","Social",IF(ISNUMBER(SEARCH("monolito",PL[[#This Row],[DESCRIPTION]])),"Monolitos","Varios")))))</f>
        <v>Cerrados IUP</v>
      </c>
      <c r="Q11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1" spans="1:17" s="157" customFormat="1" hidden="1" x14ac:dyDescent="0.2">
      <c r="A1101" s="151" t="s">
        <v>2473</v>
      </c>
      <c r="B1101" s="154" t="s">
        <v>929</v>
      </c>
      <c r="C1101" s="152">
        <v>10</v>
      </c>
      <c r="D1101" s="153" t="s">
        <v>3385</v>
      </c>
      <c r="E1101" s="154" t="s">
        <v>2474</v>
      </c>
      <c r="F1101" s="154" t="s">
        <v>2475</v>
      </c>
      <c r="G1101" s="154" t="s">
        <v>1290</v>
      </c>
      <c r="H1101" s="154"/>
      <c r="I1101" s="154"/>
      <c r="J1101" s="154" t="s">
        <v>74</v>
      </c>
      <c r="K1101" s="154" t="s">
        <v>3394</v>
      </c>
      <c r="L1101" s="154"/>
      <c r="M1101" s="156"/>
      <c r="N1101" s="154" t="str">
        <f>IF(ISNUMBER(PL[[#This Row],[CTO]]),"CTO "&amp;PL[[#This Row],[CTO]],"Otros")</f>
        <v>CTO 10</v>
      </c>
      <c r="O1101" s="154" t="str">
        <f>IF(PL[[#This Row],[STATUS IUP]]="CERRADO","CERRADO",IF(ISNUMBER(SEARCH("validacion de enel",PL[[#This Row],[SUPPLIER NOTES]])),"PTE Validar Enel","ABIERTO"))</f>
        <v>CERRADO</v>
      </c>
      <c r="P1101" s="154" t="str">
        <f>IF(PL[[#This Row],[ESTADO]]="CERRADO","Cerrados IUP",IF(PL[[#This Row],[ESTADO]]="PTE Validar Enel","Pendiente cierre ENEL",IF(ISNUMBER(SEARCH("suministro",PL[[#This Row],[SUPPLIER NOTES]])),"Suministros",IF(PL[[#This Row],[SC]]="SOCIAL","Social",IF(ISNUMBER(SEARCH("monolito",PL[[#This Row],[DESCRIPTION]])),"Monolitos","Varios")))))</f>
        <v>Cerrados IUP</v>
      </c>
      <c r="Q11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2" spans="1:17" s="157" customFormat="1" hidden="1" x14ac:dyDescent="0.2">
      <c r="A1102" s="151" t="s">
        <v>1711</v>
      </c>
      <c r="B1102" s="154" t="s">
        <v>41</v>
      </c>
      <c r="C1102" s="152">
        <v>10</v>
      </c>
      <c r="D1102" s="153" t="s">
        <v>3385</v>
      </c>
      <c r="E1102" s="154" t="s">
        <v>1712</v>
      </c>
      <c r="F1102" s="154" t="s">
        <v>1713</v>
      </c>
      <c r="G1102" s="154" t="s">
        <v>1290</v>
      </c>
      <c r="H1102" s="154"/>
      <c r="I1102" s="154"/>
      <c r="J1102" s="154" t="s">
        <v>74</v>
      </c>
      <c r="K1102" s="154" t="s">
        <v>3394</v>
      </c>
      <c r="L1102" s="154"/>
      <c r="M1102" s="156"/>
      <c r="N1102" s="154" t="str">
        <f>IF(ISNUMBER(PL[[#This Row],[CTO]]),"CTO "&amp;PL[[#This Row],[CTO]],"Otros")</f>
        <v>CTO 10</v>
      </c>
      <c r="O1102" s="154" t="str">
        <f>IF(PL[[#This Row],[STATUS IUP]]="CERRADO","CERRADO",IF(ISNUMBER(SEARCH("validacion de enel",PL[[#This Row],[SUPPLIER NOTES]])),"PTE Validar Enel","ABIERTO"))</f>
        <v>CERRADO</v>
      </c>
      <c r="P1102" s="154" t="str">
        <f>IF(PL[[#This Row],[ESTADO]]="CERRADO","Cerrados IUP",IF(PL[[#This Row],[ESTADO]]="PTE Validar Enel","Pendiente cierre ENEL",IF(ISNUMBER(SEARCH("suministro",PL[[#This Row],[SUPPLIER NOTES]])),"Suministros",IF(PL[[#This Row],[SC]]="SOCIAL","Social",IF(ISNUMBER(SEARCH("monolito",PL[[#This Row],[DESCRIPTION]])),"Monolitos","Varios")))))</f>
        <v>Cerrados IUP</v>
      </c>
      <c r="Q11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3" spans="1:17" s="157" customFormat="1" hidden="1" x14ac:dyDescent="0.2">
      <c r="A1103" s="151" t="s">
        <v>1708</v>
      </c>
      <c r="B1103" s="154" t="s">
        <v>929</v>
      </c>
      <c r="C1103" s="152">
        <v>10</v>
      </c>
      <c r="D1103" s="153" t="s">
        <v>3385</v>
      </c>
      <c r="E1103" s="154" t="s">
        <v>1709</v>
      </c>
      <c r="F1103" s="154" t="s">
        <v>1710</v>
      </c>
      <c r="G1103" s="154" t="s">
        <v>1290</v>
      </c>
      <c r="H1103" s="154"/>
      <c r="I1103" s="154"/>
      <c r="J1103" s="154" t="s">
        <v>74</v>
      </c>
      <c r="K1103" s="154" t="s">
        <v>3394</v>
      </c>
      <c r="L1103" s="154"/>
      <c r="M1103" s="156"/>
      <c r="N1103" s="154" t="str">
        <f>IF(ISNUMBER(PL[[#This Row],[CTO]]),"CTO "&amp;PL[[#This Row],[CTO]],"Otros")</f>
        <v>CTO 10</v>
      </c>
      <c r="O1103" s="154" t="str">
        <f>IF(PL[[#This Row],[STATUS IUP]]="CERRADO","CERRADO",IF(ISNUMBER(SEARCH("validacion de enel",PL[[#This Row],[SUPPLIER NOTES]])),"PTE Validar Enel","ABIERTO"))</f>
        <v>CERRADO</v>
      </c>
      <c r="P1103" s="154" t="str">
        <f>IF(PL[[#This Row],[ESTADO]]="CERRADO","Cerrados IUP",IF(PL[[#This Row],[ESTADO]]="PTE Validar Enel","Pendiente cierre ENEL",IF(ISNUMBER(SEARCH("suministro",PL[[#This Row],[SUPPLIER NOTES]])),"Suministros",IF(PL[[#This Row],[SC]]="SOCIAL","Social",IF(ISNUMBER(SEARCH("monolito",PL[[#This Row],[DESCRIPTION]])),"Monolitos","Varios")))))</f>
        <v>Cerrados IUP</v>
      </c>
      <c r="Q11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4" spans="1:17" s="157" customFormat="1" hidden="1" x14ac:dyDescent="0.2">
      <c r="A1104" s="151" t="s">
        <v>2621</v>
      </c>
      <c r="B1104" s="154" t="s">
        <v>1291</v>
      </c>
      <c r="C1104" s="152">
        <v>10</v>
      </c>
      <c r="D1104" s="153" t="s">
        <v>3385</v>
      </c>
      <c r="E1104" s="154" t="s">
        <v>2622</v>
      </c>
      <c r="F1104" s="154" t="s">
        <v>2623</v>
      </c>
      <c r="G1104" s="154" t="s">
        <v>1290</v>
      </c>
      <c r="H1104" s="154"/>
      <c r="I1104" s="154"/>
      <c r="J1104" s="154" t="s">
        <v>74</v>
      </c>
      <c r="K1104" s="154" t="s">
        <v>3394</v>
      </c>
      <c r="L1104" s="154"/>
      <c r="M1104" s="156"/>
      <c r="N1104" s="154" t="str">
        <f>IF(ISNUMBER(PL[[#This Row],[CTO]]),"CTO "&amp;PL[[#This Row],[CTO]],"Otros")</f>
        <v>CTO 10</v>
      </c>
      <c r="O1104" s="154" t="str">
        <f>IF(PL[[#This Row],[STATUS IUP]]="CERRADO","CERRADO",IF(ISNUMBER(SEARCH("validacion de enel",PL[[#This Row],[SUPPLIER NOTES]])),"PTE Validar Enel","ABIERTO"))</f>
        <v>CERRADO</v>
      </c>
      <c r="P1104" s="154" t="str">
        <f>IF(PL[[#This Row],[ESTADO]]="CERRADO","Cerrados IUP",IF(PL[[#This Row],[ESTADO]]="PTE Validar Enel","Pendiente cierre ENEL",IF(ISNUMBER(SEARCH("suministro",PL[[#This Row],[SUPPLIER NOTES]])),"Suministros",IF(PL[[#This Row],[SC]]="SOCIAL","Social",IF(ISNUMBER(SEARCH("monolito",PL[[#This Row],[DESCRIPTION]])),"Monolitos","Varios")))))</f>
        <v>Cerrados IUP</v>
      </c>
      <c r="Q11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5" spans="1:17" s="157" customFormat="1" hidden="1" x14ac:dyDescent="0.2">
      <c r="A1105" s="151" t="s">
        <v>1820</v>
      </c>
      <c r="B1105" s="154" t="s">
        <v>1291</v>
      </c>
      <c r="C1105" s="152">
        <v>10</v>
      </c>
      <c r="D1105" s="153" t="s">
        <v>3385</v>
      </c>
      <c r="E1105" s="154" t="s">
        <v>1821</v>
      </c>
      <c r="F1105" s="154" t="s">
        <v>1822</v>
      </c>
      <c r="G1105" s="154" t="s">
        <v>1290</v>
      </c>
      <c r="H1105" s="154"/>
      <c r="I1105" s="154"/>
      <c r="J1105" s="154" t="s">
        <v>74</v>
      </c>
      <c r="K1105" s="154" t="s">
        <v>3394</v>
      </c>
      <c r="L1105" s="154"/>
      <c r="M1105" s="156"/>
      <c r="N1105" s="154" t="str">
        <f>IF(ISNUMBER(PL[[#This Row],[CTO]]),"CTO "&amp;PL[[#This Row],[CTO]],"Otros")</f>
        <v>CTO 10</v>
      </c>
      <c r="O1105" s="154" t="str">
        <f>IF(PL[[#This Row],[STATUS IUP]]="CERRADO","CERRADO",IF(ISNUMBER(SEARCH("validacion de enel",PL[[#This Row],[SUPPLIER NOTES]])),"PTE Validar Enel","ABIERTO"))</f>
        <v>CERRADO</v>
      </c>
      <c r="P1105" s="154" t="str">
        <f>IF(PL[[#This Row],[ESTADO]]="CERRADO","Cerrados IUP",IF(PL[[#This Row],[ESTADO]]="PTE Validar Enel","Pendiente cierre ENEL",IF(ISNUMBER(SEARCH("suministro",PL[[#This Row],[SUPPLIER NOTES]])),"Suministros",IF(PL[[#This Row],[SC]]="SOCIAL","Social",IF(ISNUMBER(SEARCH("monolito",PL[[#This Row],[DESCRIPTION]])),"Monolitos","Varios")))))</f>
        <v>Cerrados IUP</v>
      </c>
      <c r="Q11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06" spans="1:17" s="157" customFormat="1" hidden="1" x14ac:dyDescent="0.2">
      <c r="A1106" s="151" t="s">
        <v>1912</v>
      </c>
      <c r="B1106" s="154" t="s">
        <v>1291</v>
      </c>
      <c r="C1106" s="152">
        <v>10</v>
      </c>
      <c r="D1106" s="153" t="s">
        <v>3385</v>
      </c>
      <c r="E1106" s="154" t="s">
        <v>1913</v>
      </c>
      <c r="F1106" s="154" t="s">
        <v>1914</v>
      </c>
      <c r="G1106" s="154" t="s">
        <v>43</v>
      </c>
      <c r="H1106" s="154"/>
      <c r="I1106" s="154"/>
      <c r="J1106" s="154" t="s">
        <v>74</v>
      </c>
      <c r="K1106" s="154" t="s">
        <v>3394</v>
      </c>
      <c r="L1106" s="154"/>
      <c r="M1106" s="156"/>
      <c r="N1106" s="154" t="str">
        <f>IF(ISNUMBER(PL[[#This Row],[CTO]]),"CTO "&amp;PL[[#This Row],[CTO]],"Otros")</f>
        <v>CTO 10</v>
      </c>
      <c r="O1106" s="154" t="str">
        <f>IF(PL[[#This Row],[STATUS IUP]]="CERRADO","CERRADO",IF(ISNUMBER(SEARCH("validacion de enel",PL[[#This Row],[SUPPLIER NOTES]])),"PTE Validar Enel","ABIERTO"))</f>
        <v>CERRADO</v>
      </c>
      <c r="P1106" s="154" t="str">
        <f>IF(PL[[#This Row],[ESTADO]]="CERRADO","Cerrados IUP",IF(PL[[#This Row],[ESTADO]]="PTE Validar Enel","Pendiente cierre ENEL",IF(ISNUMBER(SEARCH("suministro",PL[[#This Row],[SUPPLIER NOTES]])),"Suministros",IF(PL[[#This Row],[SC]]="SOCIAL","Social",IF(ISNUMBER(SEARCH("monolito",PL[[#This Row],[DESCRIPTION]])),"Monolitos","Varios")))))</f>
        <v>Cerrados IUP</v>
      </c>
      <c r="Q11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07" spans="1:17" ht="32" x14ac:dyDescent="0.2">
      <c r="A1107" s="86" t="s">
        <v>2476</v>
      </c>
      <c r="B1107" s="115" t="s">
        <v>1291</v>
      </c>
      <c r="C1107" s="52">
        <v>10</v>
      </c>
      <c r="D1107" s="88" t="s">
        <v>3385</v>
      </c>
      <c r="E1107" s="87" t="s">
        <v>2477</v>
      </c>
      <c r="F1107" s="115" t="s">
        <v>2478</v>
      </c>
      <c r="G1107" s="87" t="s">
        <v>43</v>
      </c>
      <c r="H1107" s="87" t="s">
        <v>3454</v>
      </c>
      <c r="I1107" s="87"/>
      <c r="J1107" s="87" t="s">
        <v>11</v>
      </c>
      <c r="K1107" s="87" t="s">
        <v>3393</v>
      </c>
      <c r="L1107" s="87"/>
      <c r="M1107" s="89"/>
      <c r="N1107" s="87" t="str">
        <f>IF(ISNUMBER(PL[[#This Row],[CTO]]),"CTO "&amp;PL[[#This Row],[CTO]],"Otros")</f>
        <v>CTO 10</v>
      </c>
      <c r="O1107" s="87" t="str">
        <f>IF(PL[[#This Row],[STATUS IUP]]="CERRADO","CERRADO",IF(ISNUMBER(SEARCH("validacion de enel",PL[[#This Row],[SUPPLIER NOTES]])),"PTE Validar Enel","ABIERTO"))</f>
        <v>PTE Validar Enel</v>
      </c>
      <c r="P1107"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107"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08" spans="1:17" ht="48" x14ac:dyDescent="0.2">
      <c r="A1108" s="86" t="s">
        <v>2681</v>
      </c>
      <c r="B1108" s="115" t="s">
        <v>1291</v>
      </c>
      <c r="C1108" s="52">
        <v>10</v>
      </c>
      <c r="D1108" s="88" t="s">
        <v>3385</v>
      </c>
      <c r="E1108" s="87" t="s">
        <v>2682</v>
      </c>
      <c r="F1108" s="115" t="s">
        <v>2683</v>
      </c>
      <c r="G1108" s="87" t="s">
        <v>43</v>
      </c>
      <c r="H1108" s="87" t="s">
        <v>3454</v>
      </c>
      <c r="I1108" s="87"/>
      <c r="J1108" s="87" t="s">
        <v>11</v>
      </c>
      <c r="K1108" s="87" t="s">
        <v>3393</v>
      </c>
      <c r="L1108" s="87"/>
      <c r="M1108" s="89"/>
      <c r="N1108" s="87" t="str">
        <f>IF(ISNUMBER(PL[[#This Row],[CTO]]),"CTO "&amp;PL[[#This Row],[CTO]],"Otros")</f>
        <v>CTO 10</v>
      </c>
      <c r="O1108" s="87" t="str">
        <f>IF(PL[[#This Row],[STATUS IUP]]="CERRADO","CERRADO",IF(ISNUMBER(SEARCH("validacion de enel",PL[[#This Row],[SUPPLIER NOTES]])),"PTE Validar Enel","ABIERTO"))</f>
        <v>PTE Validar Enel</v>
      </c>
      <c r="P1108"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108"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09" spans="1:17" s="157" customFormat="1" hidden="1" x14ac:dyDescent="0.2">
      <c r="A1109" s="151" t="s">
        <v>1705</v>
      </c>
      <c r="B1109" s="154" t="s">
        <v>41</v>
      </c>
      <c r="C1109" s="152">
        <v>10</v>
      </c>
      <c r="D1109" s="153" t="s">
        <v>3385</v>
      </c>
      <c r="E1109" s="154" t="s">
        <v>1706</v>
      </c>
      <c r="F1109" s="154" t="s">
        <v>1707</v>
      </c>
      <c r="G1109" s="154" t="s">
        <v>43</v>
      </c>
      <c r="H1109" s="154"/>
      <c r="I1109" s="154"/>
      <c r="J1109" s="154" t="s">
        <v>74</v>
      </c>
      <c r="K1109" s="154" t="s">
        <v>3394</v>
      </c>
      <c r="L1109" s="154"/>
      <c r="M1109" s="156"/>
      <c r="N1109" s="154" t="str">
        <f>IF(ISNUMBER(PL[[#This Row],[CTO]]),"CTO "&amp;PL[[#This Row],[CTO]],"Otros")</f>
        <v>CTO 10</v>
      </c>
      <c r="O1109" s="154" t="str">
        <f>IF(PL[[#This Row],[STATUS IUP]]="CERRADO","CERRADO",IF(ISNUMBER(SEARCH("validacion de enel",PL[[#This Row],[SUPPLIER NOTES]])),"PTE Validar Enel","ABIERTO"))</f>
        <v>CERRADO</v>
      </c>
      <c r="P1109" s="154" t="str">
        <f>IF(PL[[#This Row],[ESTADO]]="CERRADO","Cerrados IUP",IF(PL[[#This Row],[ESTADO]]="PTE Validar Enel","Pendiente cierre ENEL",IF(ISNUMBER(SEARCH("suministro",PL[[#This Row],[SUPPLIER NOTES]])),"Suministros",IF(PL[[#This Row],[SC]]="SOCIAL","Social",IF(ISNUMBER(SEARCH("monolito",PL[[#This Row],[DESCRIPTION]])),"Monolitos","Varios")))))</f>
        <v>Cerrados IUP</v>
      </c>
      <c r="Q11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0" spans="1:17" s="157" customFormat="1" hidden="1" x14ac:dyDescent="0.2">
      <c r="A1110" s="151" t="s">
        <v>2449</v>
      </c>
      <c r="B1110" s="154" t="s">
        <v>929</v>
      </c>
      <c r="C1110" s="152">
        <v>10</v>
      </c>
      <c r="D1110" s="153" t="s">
        <v>3385</v>
      </c>
      <c r="E1110" s="154" t="s">
        <v>2450</v>
      </c>
      <c r="F1110" s="154" t="s">
        <v>2451</v>
      </c>
      <c r="G1110" s="154" t="s">
        <v>43</v>
      </c>
      <c r="H1110" s="154"/>
      <c r="I1110" s="154"/>
      <c r="J1110" s="154" t="s">
        <v>74</v>
      </c>
      <c r="K1110" s="154" t="s">
        <v>3394</v>
      </c>
      <c r="L1110" s="154"/>
      <c r="M1110" s="156"/>
      <c r="N1110" s="154" t="str">
        <f>IF(ISNUMBER(PL[[#This Row],[CTO]]),"CTO "&amp;PL[[#This Row],[CTO]],"Otros")</f>
        <v>CTO 10</v>
      </c>
      <c r="O1110" s="154" t="str">
        <f>IF(PL[[#This Row],[STATUS IUP]]="CERRADO","CERRADO",IF(ISNUMBER(SEARCH("validacion de enel",PL[[#This Row],[SUPPLIER NOTES]])),"PTE Validar Enel","ABIERTO"))</f>
        <v>CERRADO</v>
      </c>
      <c r="P1110" s="154" t="str">
        <f>IF(PL[[#This Row],[ESTADO]]="CERRADO","Cerrados IUP",IF(PL[[#This Row],[ESTADO]]="PTE Validar Enel","Pendiente cierre ENEL",IF(ISNUMBER(SEARCH("suministro",PL[[#This Row],[SUPPLIER NOTES]])),"Suministros",IF(PL[[#This Row],[SC]]="SOCIAL","Social",IF(ISNUMBER(SEARCH("monolito",PL[[#This Row],[DESCRIPTION]])),"Monolitos","Varios")))))</f>
        <v>Cerrados IUP</v>
      </c>
      <c r="Q11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1" spans="1:17" s="157" customFormat="1" hidden="1" x14ac:dyDescent="0.2">
      <c r="A1111" s="151" t="s">
        <v>2762</v>
      </c>
      <c r="B1111" s="154" t="s">
        <v>929</v>
      </c>
      <c r="C1111" s="152">
        <v>10</v>
      </c>
      <c r="D1111" s="153" t="s">
        <v>3385</v>
      </c>
      <c r="E1111" s="154" t="s">
        <v>2763</v>
      </c>
      <c r="F1111" s="154" t="s">
        <v>2764</v>
      </c>
      <c r="G1111" s="154" t="s">
        <v>43</v>
      </c>
      <c r="H1111" s="154"/>
      <c r="I1111" s="154"/>
      <c r="J1111" s="154" t="s">
        <v>74</v>
      </c>
      <c r="K1111" s="154" t="s">
        <v>3394</v>
      </c>
      <c r="L1111" s="154"/>
      <c r="M1111" s="156"/>
      <c r="N1111" s="154" t="str">
        <f>IF(ISNUMBER(PL[[#This Row],[CTO]]),"CTO "&amp;PL[[#This Row],[CTO]],"Otros")</f>
        <v>CTO 10</v>
      </c>
      <c r="O1111" s="154" t="str">
        <f>IF(PL[[#This Row],[STATUS IUP]]="CERRADO","CERRADO",IF(ISNUMBER(SEARCH("validacion de enel",PL[[#This Row],[SUPPLIER NOTES]])),"PTE Validar Enel","ABIERTO"))</f>
        <v>CERRADO</v>
      </c>
      <c r="P1111" s="154" t="str">
        <f>IF(PL[[#This Row],[ESTADO]]="CERRADO","Cerrados IUP",IF(PL[[#This Row],[ESTADO]]="PTE Validar Enel","Pendiente cierre ENEL",IF(ISNUMBER(SEARCH("suministro",PL[[#This Row],[SUPPLIER NOTES]])),"Suministros",IF(PL[[#This Row],[SC]]="SOCIAL","Social",IF(ISNUMBER(SEARCH("monolito",PL[[#This Row],[DESCRIPTION]])),"Monolitos","Varios")))))</f>
        <v>Cerrados IUP</v>
      </c>
      <c r="Q11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2" spans="1:17" s="157" customFormat="1" hidden="1" x14ac:dyDescent="0.2">
      <c r="A1112" s="151" t="s">
        <v>1702</v>
      </c>
      <c r="B1112" s="154" t="s">
        <v>929</v>
      </c>
      <c r="C1112" s="152">
        <v>10</v>
      </c>
      <c r="D1112" s="153" t="s">
        <v>3385</v>
      </c>
      <c r="E1112" s="154" t="s">
        <v>1703</v>
      </c>
      <c r="F1112" s="154" t="s">
        <v>1704</v>
      </c>
      <c r="G1112" s="154" t="s">
        <v>43</v>
      </c>
      <c r="H1112" s="154"/>
      <c r="I1112" s="154"/>
      <c r="J1112" s="154" t="s">
        <v>74</v>
      </c>
      <c r="K1112" s="154" t="s">
        <v>3394</v>
      </c>
      <c r="L1112" s="154"/>
      <c r="M1112" s="156"/>
      <c r="N1112" s="154" t="str">
        <f>IF(ISNUMBER(PL[[#This Row],[CTO]]),"CTO "&amp;PL[[#This Row],[CTO]],"Otros")</f>
        <v>CTO 10</v>
      </c>
      <c r="O1112" s="154" t="str">
        <f>IF(PL[[#This Row],[STATUS IUP]]="CERRADO","CERRADO",IF(ISNUMBER(SEARCH("validacion de enel",PL[[#This Row],[SUPPLIER NOTES]])),"PTE Validar Enel","ABIERTO"))</f>
        <v>CERRADO</v>
      </c>
      <c r="P1112" s="154" t="str">
        <f>IF(PL[[#This Row],[ESTADO]]="CERRADO","Cerrados IUP",IF(PL[[#This Row],[ESTADO]]="PTE Validar Enel","Pendiente cierre ENEL",IF(ISNUMBER(SEARCH("suministro",PL[[#This Row],[SUPPLIER NOTES]])),"Suministros",IF(PL[[#This Row],[SC]]="SOCIAL","Social",IF(ISNUMBER(SEARCH("monolito",PL[[#This Row],[DESCRIPTION]])),"Monolitos","Varios")))))</f>
        <v>Cerrados IUP</v>
      </c>
      <c r="Q11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3" spans="1:17" s="157" customFormat="1" hidden="1" x14ac:dyDescent="0.2">
      <c r="A1113" s="151" t="s">
        <v>2890</v>
      </c>
      <c r="B1113" s="154" t="s">
        <v>929</v>
      </c>
      <c r="C1113" s="152">
        <v>10</v>
      </c>
      <c r="D1113" s="153" t="s">
        <v>3385</v>
      </c>
      <c r="E1113" s="154" t="s">
        <v>2891</v>
      </c>
      <c r="F1113" s="154" t="s">
        <v>2892</v>
      </c>
      <c r="G1113" s="154" t="s">
        <v>43</v>
      </c>
      <c r="H1113" s="154"/>
      <c r="I1113" s="154"/>
      <c r="J1113" s="154" t="s">
        <v>74</v>
      </c>
      <c r="K1113" s="154" t="s">
        <v>3394</v>
      </c>
      <c r="L1113" s="154"/>
      <c r="M1113" s="156"/>
      <c r="N1113" s="154" t="str">
        <f>IF(ISNUMBER(PL[[#This Row],[CTO]]),"CTO "&amp;PL[[#This Row],[CTO]],"Otros")</f>
        <v>CTO 10</v>
      </c>
      <c r="O1113" s="154" t="str">
        <f>IF(PL[[#This Row],[STATUS IUP]]="CERRADO","CERRADO",IF(ISNUMBER(SEARCH("validacion de enel",PL[[#This Row],[SUPPLIER NOTES]])),"PTE Validar Enel","ABIERTO"))</f>
        <v>CERRADO</v>
      </c>
      <c r="P1113" s="154" t="str">
        <f>IF(PL[[#This Row],[ESTADO]]="CERRADO","Cerrados IUP",IF(PL[[#This Row],[ESTADO]]="PTE Validar Enel","Pendiente cierre ENEL",IF(ISNUMBER(SEARCH("suministro",PL[[#This Row],[SUPPLIER NOTES]])),"Suministros",IF(PL[[#This Row],[SC]]="SOCIAL","Social",IF(ISNUMBER(SEARCH("monolito",PL[[#This Row],[DESCRIPTION]])),"Monolitos","Varios")))))</f>
        <v>Cerrados IUP</v>
      </c>
      <c r="Q11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4" spans="1:17" s="157" customFormat="1" hidden="1" x14ac:dyDescent="0.2">
      <c r="A1114" s="151" t="s">
        <v>2813</v>
      </c>
      <c r="B1114" s="154" t="s">
        <v>929</v>
      </c>
      <c r="C1114" s="152">
        <v>10</v>
      </c>
      <c r="D1114" s="153" t="s">
        <v>3385</v>
      </c>
      <c r="E1114" s="154" t="s">
        <v>2814</v>
      </c>
      <c r="F1114" s="154" t="s">
        <v>2815</v>
      </c>
      <c r="G1114" s="154" t="s">
        <v>43</v>
      </c>
      <c r="H1114" s="154"/>
      <c r="I1114" s="154"/>
      <c r="J1114" s="154" t="s">
        <v>74</v>
      </c>
      <c r="K1114" s="154" t="s">
        <v>3394</v>
      </c>
      <c r="L1114" s="154"/>
      <c r="M1114" s="156"/>
      <c r="N1114" s="154" t="str">
        <f>IF(ISNUMBER(PL[[#This Row],[CTO]]),"CTO "&amp;PL[[#This Row],[CTO]],"Otros")</f>
        <v>CTO 10</v>
      </c>
      <c r="O1114" s="154" t="str">
        <f>IF(PL[[#This Row],[STATUS IUP]]="CERRADO","CERRADO",IF(ISNUMBER(SEARCH("validacion de enel",PL[[#This Row],[SUPPLIER NOTES]])),"PTE Validar Enel","ABIERTO"))</f>
        <v>CERRADO</v>
      </c>
      <c r="P1114" s="154" t="str">
        <f>IF(PL[[#This Row],[ESTADO]]="CERRADO","Cerrados IUP",IF(PL[[#This Row],[ESTADO]]="PTE Validar Enel","Pendiente cierre ENEL",IF(ISNUMBER(SEARCH("suministro",PL[[#This Row],[SUPPLIER NOTES]])),"Suministros",IF(PL[[#This Row],[SC]]="SOCIAL","Social",IF(ISNUMBER(SEARCH("monolito",PL[[#This Row],[DESCRIPTION]])),"Monolitos","Varios")))))</f>
        <v>Cerrados IUP</v>
      </c>
      <c r="Q11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5" spans="1:17" s="157" customFormat="1" hidden="1" x14ac:dyDescent="0.2">
      <c r="A1115" s="151" t="s">
        <v>2678</v>
      </c>
      <c r="B1115" s="154" t="s">
        <v>1291</v>
      </c>
      <c r="C1115" s="152">
        <v>10</v>
      </c>
      <c r="D1115" s="153" t="s">
        <v>3385</v>
      </c>
      <c r="E1115" s="154" t="s">
        <v>2679</v>
      </c>
      <c r="F1115" s="154" t="s">
        <v>2680</v>
      </c>
      <c r="G1115" s="154" t="s">
        <v>43</v>
      </c>
      <c r="H1115" s="154"/>
      <c r="I1115" s="154"/>
      <c r="J1115" s="154" t="s">
        <v>74</v>
      </c>
      <c r="K1115" s="154" t="s">
        <v>3394</v>
      </c>
      <c r="L1115" s="154"/>
      <c r="M1115" s="156"/>
      <c r="N1115" s="154" t="str">
        <f>IF(ISNUMBER(PL[[#This Row],[CTO]]),"CTO "&amp;PL[[#This Row],[CTO]],"Otros")</f>
        <v>CTO 10</v>
      </c>
      <c r="O1115" s="154" t="str">
        <f>IF(PL[[#This Row],[STATUS IUP]]="CERRADO","CERRADO",IF(ISNUMBER(SEARCH("validacion de enel",PL[[#This Row],[SUPPLIER NOTES]])),"PTE Validar Enel","ABIERTO"))</f>
        <v>CERRADO</v>
      </c>
      <c r="P1115" s="154" t="str">
        <f>IF(PL[[#This Row],[ESTADO]]="CERRADO","Cerrados IUP",IF(PL[[#This Row],[ESTADO]]="PTE Validar Enel","Pendiente cierre ENEL",IF(ISNUMBER(SEARCH("suministro",PL[[#This Row],[SUPPLIER NOTES]])),"Suministros",IF(PL[[#This Row],[SC]]="SOCIAL","Social",IF(ISNUMBER(SEARCH("monolito",PL[[#This Row],[DESCRIPTION]])),"Monolitos","Varios")))))</f>
        <v>Cerrados IUP</v>
      </c>
      <c r="Q11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116" spans="1:17" s="157" customFormat="1" hidden="1" x14ac:dyDescent="0.2">
      <c r="A1116" s="151" t="s">
        <v>2618</v>
      </c>
      <c r="B1116" s="154" t="s">
        <v>41</v>
      </c>
      <c r="C1116" s="152">
        <v>10</v>
      </c>
      <c r="D1116" s="153" t="s">
        <v>3385</v>
      </c>
      <c r="E1116" s="154" t="s">
        <v>2619</v>
      </c>
      <c r="F1116" s="154" t="s">
        <v>2620</v>
      </c>
      <c r="G1116" s="154" t="s">
        <v>1289</v>
      </c>
      <c r="H1116" s="154"/>
      <c r="I1116" s="154"/>
      <c r="J1116" s="154" t="s">
        <v>74</v>
      </c>
      <c r="K1116" s="154" t="s">
        <v>3394</v>
      </c>
      <c r="L1116" s="154"/>
      <c r="M1116" s="156"/>
      <c r="N1116" s="154" t="str">
        <f>IF(ISNUMBER(PL[[#This Row],[CTO]]),"CTO "&amp;PL[[#This Row],[CTO]],"Otros")</f>
        <v>CTO 10</v>
      </c>
      <c r="O1116" s="154" t="str">
        <f>IF(PL[[#This Row],[STATUS IUP]]="CERRADO","CERRADO",IF(ISNUMBER(SEARCH("validacion de enel",PL[[#This Row],[SUPPLIER NOTES]])),"PTE Validar Enel","ABIERTO"))</f>
        <v>CERRADO</v>
      </c>
      <c r="P1116" s="154" t="str">
        <f>IF(PL[[#This Row],[ESTADO]]="CERRADO","Cerrados IUP",IF(PL[[#This Row],[ESTADO]]="PTE Validar Enel","Pendiente cierre ENEL",IF(ISNUMBER(SEARCH("suministro",PL[[#This Row],[SUPPLIER NOTES]])),"Suministros",IF(PL[[#This Row],[SC]]="SOCIAL","Social",IF(ISNUMBER(SEARCH("monolito",PL[[#This Row],[DESCRIPTION]])),"Monolitos","Varios")))))</f>
        <v>Cerrados IUP</v>
      </c>
      <c r="Q11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17" spans="1:17" s="157" customFormat="1" hidden="1" x14ac:dyDescent="0.2">
      <c r="A1117" s="151" t="s">
        <v>1699</v>
      </c>
      <c r="B1117" s="154" t="s">
        <v>41</v>
      </c>
      <c r="C1117" s="152">
        <v>10</v>
      </c>
      <c r="D1117" s="153" t="s">
        <v>3385</v>
      </c>
      <c r="E1117" s="154" t="s">
        <v>1700</v>
      </c>
      <c r="F1117" s="154" t="s">
        <v>1701</v>
      </c>
      <c r="G1117" s="154" t="s">
        <v>1289</v>
      </c>
      <c r="H1117" s="154" t="s">
        <v>3458</v>
      </c>
      <c r="I1117" s="154" t="s">
        <v>3475</v>
      </c>
      <c r="J1117" s="154" t="s">
        <v>74</v>
      </c>
      <c r="K1117" s="154" t="s">
        <v>3394</v>
      </c>
      <c r="L1117" s="155">
        <v>46288</v>
      </c>
      <c r="M1117" s="156"/>
      <c r="N1117" s="154" t="str">
        <f>IF(ISNUMBER(PL[[#This Row],[CTO]]),"CTO "&amp;PL[[#This Row],[CTO]],"Otros")</f>
        <v>CTO 10</v>
      </c>
      <c r="O1117" s="154" t="str">
        <f>IF(PL[[#This Row],[STATUS IUP]]="CERRADO","CERRADO",IF(ISNUMBER(SEARCH("validacion de enel",PL[[#This Row],[SUPPLIER NOTES]])),"PTE Validar Enel","ABIERTO"))</f>
        <v>CERRADO</v>
      </c>
      <c r="P1117" s="154" t="str">
        <f>IF(PL[[#This Row],[ESTADO]]="CERRADO","Cerrados IUP",IF(PL[[#This Row],[ESTADO]]="PTE Validar Enel","Pendiente cierre ENEL",IF(ISNUMBER(SEARCH("suministro",PL[[#This Row],[SUPPLIER NOTES]])),"Suministros",IF(PL[[#This Row],[SC]]="SOCIAL","Social",IF(ISNUMBER(SEARCH("monolito",PL[[#This Row],[DESCRIPTION]])),"Monolitos","Varios")))))</f>
        <v>Cerrados IUP</v>
      </c>
      <c r="Q11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18" spans="1:17" s="157" customFormat="1" hidden="1" x14ac:dyDescent="0.2">
      <c r="A1118" s="151" t="s">
        <v>2653</v>
      </c>
      <c r="B1118" s="154" t="s">
        <v>41</v>
      </c>
      <c r="C1118" s="152">
        <v>10</v>
      </c>
      <c r="D1118" s="153" t="s">
        <v>3385</v>
      </c>
      <c r="E1118" s="154" t="s">
        <v>2654</v>
      </c>
      <c r="F1118" s="154" t="s">
        <v>2655</v>
      </c>
      <c r="G1118" s="154" t="s">
        <v>1289</v>
      </c>
      <c r="H1118" s="154"/>
      <c r="I1118" s="154"/>
      <c r="J1118" s="154" t="s">
        <v>74</v>
      </c>
      <c r="K1118" s="154" t="s">
        <v>3394</v>
      </c>
      <c r="L1118" s="154"/>
      <c r="M1118" s="156"/>
      <c r="N1118" s="154" t="str">
        <f>IF(ISNUMBER(PL[[#This Row],[CTO]]),"CTO "&amp;PL[[#This Row],[CTO]],"Otros")</f>
        <v>CTO 10</v>
      </c>
      <c r="O1118" s="154" t="str">
        <f>IF(PL[[#This Row],[STATUS IUP]]="CERRADO","CERRADO",IF(ISNUMBER(SEARCH("validacion de enel",PL[[#This Row],[SUPPLIER NOTES]])),"PTE Validar Enel","ABIERTO"))</f>
        <v>CERRADO</v>
      </c>
      <c r="P1118" s="154" t="str">
        <f>IF(PL[[#This Row],[ESTADO]]="CERRADO","Cerrados IUP",IF(PL[[#This Row],[ESTADO]]="PTE Validar Enel","Pendiente cierre ENEL",IF(ISNUMBER(SEARCH("suministro",PL[[#This Row],[SUPPLIER NOTES]])),"Suministros",IF(PL[[#This Row],[SC]]="SOCIAL","Social",IF(ISNUMBER(SEARCH("monolito",PL[[#This Row],[DESCRIPTION]])),"Monolitos","Varios")))))</f>
        <v>Cerrados IUP</v>
      </c>
      <c r="Q11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19" spans="1:17" s="157" customFormat="1" hidden="1" x14ac:dyDescent="0.2">
      <c r="A1119" s="151" t="s">
        <v>1696</v>
      </c>
      <c r="B1119" s="154" t="s">
        <v>41</v>
      </c>
      <c r="C1119" s="152">
        <v>10</v>
      </c>
      <c r="D1119" s="153" t="s">
        <v>3385</v>
      </c>
      <c r="E1119" s="154" t="s">
        <v>1697</v>
      </c>
      <c r="F1119" s="154" t="s">
        <v>1698</v>
      </c>
      <c r="G1119" s="154" t="s">
        <v>1289</v>
      </c>
      <c r="H1119" s="154"/>
      <c r="I1119" s="154"/>
      <c r="J1119" s="154" t="s">
        <v>74</v>
      </c>
      <c r="K1119" s="154" t="s">
        <v>3394</v>
      </c>
      <c r="L1119" s="154"/>
      <c r="M1119" s="156"/>
      <c r="N1119" s="154" t="str">
        <f>IF(ISNUMBER(PL[[#This Row],[CTO]]),"CTO "&amp;PL[[#This Row],[CTO]],"Otros")</f>
        <v>CTO 10</v>
      </c>
      <c r="O1119" s="154" t="str">
        <f>IF(PL[[#This Row],[STATUS IUP]]="CERRADO","CERRADO",IF(ISNUMBER(SEARCH("validacion de enel",PL[[#This Row],[SUPPLIER NOTES]])),"PTE Validar Enel","ABIERTO"))</f>
        <v>CERRADO</v>
      </c>
      <c r="P1119" s="154" t="str">
        <f>IF(PL[[#This Row],[ESTADO]]="CERRADO","Cerrados IUP",IF(PL[[#This Row],[ESTADO]]="PTE Validar Enel","Pendiente cierre ENEL",IF(ISNUMBER(SEARCH("suministro",PL[[#This Row],[SUPPLIER NOTES]])),"Suministros",IF(PL[[#This Row],[SC]]="SOCIAL","Social",IF(ISNUMBER(SEARCH("monolito",PL[[#This Row],[DESCRIPTION]])),"Monolitos","Varios")))))</f>
        <v>Cerrados IUP</v>
      </c>
      <c r="Q11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0" spans="1:17" s="157" customFormat="1" hidden="1" x14ac:dyDescent="0.2">
      <c r="A1120" s="151" t="s">
        <v>1909</v>
      </c>
      <c r="B1120" s="154" t="s">
        <v>41</v>
      </c>
      <c r="C1120" s="152">
        <v>10</v>
      </c>
      <c r="D1120" s="153" t="s">
        <v>3385</v>
      </c>
      <c r="E1120" s="154" t="s">
        <v>1910</v>
      </c>
      <c r="F1120" s="154" t="s">
        <v>1911</v>
      </c>
      <c r="G1120" s="154" t="s">
        <v>1289</v>
      </c>
      <c r="H1120" s="154"/>
      <c r="I1120" s="154" t="s">
        <v>3475</v>
      </c>
      <c r="J1120" s="154" t="s">
        <v>74</v>
      </c>
      <c r="K1120" s="154" t="s">
        <v>3394</v>
      </c>
      <c r="L1120" s="155">
        <v>46288</v>
      </c>
      <c r="M1120" s="156"/>
      <c r="N1120" s="154" t="str">
        <f>IF(ISNUMBER(PL[[#This Row],[CTO]]),"CTO "&amp;PL[[#This Row],[CTO]],"Otros")</f>
        <v>CTO 10</v>
      </c>
      <c r="O1120" s="154" t="str">
        <f>IF(PL[[#This Row],[STATUS IUP]]="CERRADO","CERRADO",IF(ISNUMBER(SEARCH("validacion de enel",PL[[#This Row],[SUPPLIER NOTES]])),"PTE Validar Enel","ABIERTO"))</f>
        <v>CERRADO</v>
      </c>
      <c r="P1120" s="154" t="str">
        <f>IF(PL[[#This Row],[ESTADO]]="CERRADO","Cerrados IUP",IF(PL[[#This Row],[ESTADO]]="PTE Validar Enel","Pendiente cierre ENEL",IF(ISNUMBER(SEARCH("suministro",PL[[#This Row],[SUPPLIER NOTES]])),"Suministros",IF(PL[[#This Row],[SC]]="SOCIAL","Social",IF(ISNUMBER(SEARCH("monolito",PL[[#This Row],[DESCRIPTION]])),"Monolitos","Varios")))))</f>
        <v>Cerrados IUP</v>
      </c>
      <c r="Q11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1" spans="1:17" s="157" customFormat="1" hidden="1" x14ac:dyDescent="0.2">
      <c r="A1121" s="151" t="s">
        <v>2624</v>
      </c>
      <c r="B1121" s="154" t="s">
        <v>41</v>
      </c>
      <c r="C1121" s="152">
        <v>10</v>
      </c>
      <c r="D1121" s="153" t="s">
        <v>3385</v>
      </c>
      <c r="E1121" s="154" t="s">
        <v>2625</v>
      </c>
      <c r="F1121" s="154" t="s">
        <v>2626</v>
      </c>
      <c r="G1121" s="154" t="s">
        <v>1289</v>
      </c>
      <c r="H1121" s="154"/>
      <c r="I1121" s="154"/>
      <c r="J1121" s="154" t="s">
        <v>74</v>
      </c>
      <c r="K1121" s="154" t="s">
        <v>3394</v>
      </c>
      <c r="L1121" s="154"/>
      <c r="M1121" s="156"/>
      <c r="N1121" s="154" t="str">
        <f>IF(ISNUMBER(PL[[#This Row],[CTO]]),"CTO "&amp;PL[[#This Row],[CTO]],"Otros")</f>
        <v>CTO 10</v>
      </c>
      <c r="O1121" s="154" t="str">
        <f>IF(PL[[#This Row],[STATUS IUP]]="CERRADO","CERRADO",IF(ISNUMBER(SEARCH("validacion de enel",PL[[#This Row],[SUPPLIER NOTES]])),"PTE Validar Enel","ABIERTO"))</f>
        <v>CERRADO</v>
      </c>
      <c r="P1121" s="154" t="str">
        <f>IF(PL[[#This Row],[ESTADO]]="CERRADO","Cerrados IUP",IF(PL[[#This Row],[ESTADO]]="PTE Validar Enel","Pendiente cierre ENEL",IF(ISNUMBER(SEARCH("suministro",PL[[#This Row],[SUPPLIER NOTES]])),"Suministros",IF(PL[[#This Row],[SC]]="SOCIAL","Social",IF(ISNUMBER(SEARCH("monolito",PL[[#This Row],[DESCRIPTION]])),"Monolitos","Varios")))))</f>
        <v>Cerrados IUP</v>
      </c>
      <c r="Q11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2" spans="1:17" s="157" customFormat="1" hidden="1" x14ac:dyDescent="0.2">
      <c r="A1122" s="151" t="s">
        <v>2690</v>
      </c>
      <c r="B1122" s="154" t="s">
        <v>41</v>
      </c>
      <c r="C1122" s="152">
        <v>10</v>
      </c>
      <c r="D1122" s="153" t="s">
        <v>3385</v>
      </c>
      <c r="E1122" s="154" t="s">
        <v>2691</v>
      </c>
      <c r="F1122" s="154" t="s">
        <v>2692</v>
      </c>
      <c r="G1122" s="154" t="s">
        <v>1289</v>
      </c>
      <c r="H1122" s="154" t="s">
        <v>73</v>
      </c>
      <c r="I1122" s="154" t="s">
        <v>73</v>
      </c>
      <c r="J1122" s="154" t="s">
        <v>74</v>
      </c>
      <c r="K1122" s="154" t="s">
        <v>3394</v>
      </c>
      <c r="L1122" s="161">
        <v>46212</v>
      </c>
      <c r="M1122" s="160">
        <v>46212</v>
      </c>
      <c r="N1122" s="154" t="str">
        <f>IF(ISNUMBER(PL[[#This Row],[CTO]]),"CTO "&amp;PL[[#This Row],[CTO]],"Otros")</f>
        <v>CTO 10</v>
      </c>
      <c r="O1122" s="154" t="str">
        <f>IF(PL[[#This Row],[STATUS IUP]]="CERRADO","CERRADO",IF(ISNUMBER(SEARCH("validacion de enel",PL[[#This Row],[SUPPLIER NOTES]])),"PTE Validar Enel","ABIERTO"))</f>
        <v>CERRADO</v>
      </c>
      <c r="P1122" s="154" t="str">
        <f>IF(PL[[#This Row],[ESTADO]]="CERRADO","Cerrados IUP",IF(PL[[#This Row],[ESTADO]]="PTE Validar Enel","Pendiente cierre ENEL",IF(ISNUMBER(SEARCH("suministro",PL[[#This Row],[SUPPLIER NOTES]])),"Suministros",IF(PL[[#This Row],[SC]]="SOCIAL","Social",IF(ISNUMBER(SEARCH("monolito",PL[[#This Row],[DESCRIPTION]])),"Monolitos","Varios")))))</f>
        <v>Cerrados IUP</v>
      </c>
      <c r="Q11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3" spans="1:17" s="157" customFormat="1" hidden="1" x14ac:dyDescent="0.2">
      <c r="A1123" s="151" t="s">
        <v>2586</v>
      </c>
      <c r="B1123" s="154" t="s">
        <v>41</v>
      </c>
      <c r="C1123" s="152">
        <v>10</v>
      </c>
      <c r="D1123" s="153" t="s">
        <v>3385</v>
      </c>
      <c r="E1123" s="154" t="s">
        <v>2587</v>
      </c>
      <c r="F1123" s="154" t="s">
        <v>2588</v>
      </c>
      <c r="G1123" s="154" t="s">
        <v>1289</v>
      </c>
      <c r="H1123" s="154"/>
      <c r="I1123" s="154"/>
      <c r="J1123" s="154" t="s">
        <v>74</v>
      </c>
      <c r="K1123" s="154" t="s">
        <v>3394</v>
      </c>
      <c r="L1123" s="154"/>
      <c r="M1123" s="156"/>
      <c r="N1123" s="154" t="str">
        <f>IF(ISNUMBER(PL[[#This Row],[CTO]]),"CTO "&amp;PL[[#This Row],[CTO]],"Otros")</f>
        <v>CTO 10</v>
      </c>
      <c r="O1123" s="154" t="str">
        <f>IF(PL[[#This Row],[STATUS IUP]]="CERRADO","CERRADO",IF(ISNUMBER(SEARCH("validacion de enel",PL[[#This Row],[SUPPLIER NOTES]])),"PTE Validar Enel","ABIERTO"))</f>
        <v>CERRADO</v>
      </c>
      <c r="P1123" s="154" t="str">
        <f>IF(PL[[#This Row],[ESTADO]]="CERRADO","Cerrados IUP",IF(PL[[#This Row],[ESTADO]]="PTE Validar Enel","Pendiente cierre ENEL",IF(ISNUMBER(SEARCH("suministro",PL[[#This Row],[SUPPLIER NOTES]])),"Suministros",IF(PL[[#This Row],[SC]]="SOCIAL","Social",IF(ISNUMBER(SEARCH("monolito",PL[[#This Row],[DESCRIPTION]])),"Monolitos","Varios")))))</f>
        <v>Cerrados IUP</v>
      </c>
      <c r="Q11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4" spans="1:17" s="157" customFormat="1" hidden="1" x14ac:dyDescent="0.2">
      <c r="A1124" s="151" t="s">
        <v>2810</v>
      </c>
      <c r="B1124" s="154" t="s">
        <v>41</v>
      </c>
      <c r="C1124" s="152">
        <v>10</v>
      </c>
      <c r="D1124" s="153" t="s">
        <v>3385</v>
      </c>
      <c r="E1124" s="154" t="s">
        <v>2811</v>
      </c>
      <c r="F1124" s="154" t="s">
        <v>2812</v>
      </c>
      <c r="G1124" s="154" t="s">
        <v>1289</v>
      </c>
      <c r="H1124" s="154"/>
      <c r="I1124" s="154"/>
      <c r="J1124" s="154" t="s">
        <v>74</v>
      </c>
      <c r="K1124" s="154" t="s">
        <v>3394</v>
      </c>
      <c r="L1124" s="154"/>
      <c r="M1124" s="156"/>
      <c r="N1124" s="154" t="str">
        <f>IF(ISNUMBER(PL[[#This Row],[CTO]]),"CTO "&amp;PL[[#This Row],[CTO]],"Otros")</f>
        <v>CTO 10</v>
      </c>
      <c r="O1124" s="154" t="str">
        <f>IF(PL[[#This Row],[STATUS IUP]]="CERRADO","CERRADO",IF(ISNUMBER(SEARCH("validacion de enel",PL[[#This Row],[SUPPLIER NOTES]])),"PTE Validar Enel","ABIERTO"))</f>
        <v>CERRADO</v>
      </c>
      <c r="P1124" s="154" t="str">
        <f>IF(PL[[#This Row],[ESTADO]]="CERRADO","Cerrados IUP",IF(PL[[#This Row],[ESTADO]]="PTE Validar Enel","Pendiente cierre ENEL",IF(ISNUMBER(SEARCH("suministro",PL[[#This Row],[SUPPLIER NOTES]])),"Suministros",IF(PL[[#This Row],[SC]]="SOCIAL","Social",IF(ISNUMBER(SEARCH("monolito",PL[[#This Row],[DESCRIPTION]])),"Monolitos","Varios")))))</f>
        <v>Cerrados IUP</v>
      </c>
      <c r="Q11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5" spans="1:17" s="157" customFormat="1" hidden="1" x14ac:dyDescent="0.2">
      <c r="A1125" s="151" t="s">
        <v>2693</v>
      </c>
      <c r="B1125" s="154" t="s">
        <v>41</v>
      </c>
      <c r="C1125" s="152">
        <v>10</v>
      </c>
      <c r="D1125" s="153" t="s">
        <v>3385</v>
      </c>
      <c r="E1125" s="154" t="s">
        <v>2694</v>
      </c>
      <c r="F1125" s="154" t="s">
        <v>2695</v>
      </c>
      <c r="G1125" s="154" t="s">
        <v>1289</v>
      </c>
      <c r="H1125" s="154"/>
      <c r="I1125" s="154"/>
      <c r="J1125" s="154" t="s">
        <v>74</v>
      </c>
      <c r="K1125" s="154" t="s">
        <v>3394</v>
      </c>
      <c r="L1125" s="154"/>
      <c r="M1125" s="156"/>
      <c r="N1125" s="154" t="str">
        <f>IF(ISNUMBER(PL[[#This Row],[CTO]]),"CTO "&amp;PL[[#This Row],[CTO]],"Otros")</f>
        <v>CTO 10</v>
      </c>
      <c r="O1125" s="154" t="str">
        <f>IF(PL[[#This Row],[STATUS IUP]]="CERRADO","CERRADO",IF(ISNUMBER(SEARCH("validacion de enel",PL[[#This Row],[SUPPLIER NOTES]])),"PTE Validar Enel","ABIERTO"))</f>
        <v>CERRADO</v>
      </c>
      <c r="P1125" s="154" t="str">
        <f>IF(PL[[#This Row],[ESTADO]]="CERRADO","Cerrados IUP",IF(PL[[#This Row],[ESTADO]]="PTE Validar Enel","Pendiente cierre ENEL",IF(ISNUMBER(SEARCH("suministro",PL[[#This Row],[SUPPLIER NOTES]])),"Suministros",IF(PL[[#This Row],[SC]]="SOCIAL","Social",IF(ISNUMBER(SEARCH("monolito",PL[[#This Row],[DESCRIPTION]])),"Monolitos","Varios")))))</f>
        <v>Cerrados IUP</v>
      </c>
      <c r="Q11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6" spans="1:17" s="157" customFormat="1" hidden="1" x14ac:dyDescent="0.2">
      <c r="A1126" s="151" t="s">
        <v>2696</v>
      </c>
      <c r="B1126" s="154" t="s">
        <v>41</v>
      </c>
      <c r="C1126" s="152">
        <v>10</v>
      </c>
      <c r="D1126" s="153" t="s">
        <v>3385</v>
      </c>
      <c r="E1126" s="154" t="s">
        <v>2697</v>
      </c>
      <c r="F1126" s="154" t="s">
        <v>2698</v>
      </c>
      <c r="G1126" s="154" t="s">
        <v>1289</v>
      </c>
      <c r="H1126" s="154"/>
      <c r="I1126" s="154"/>
      <c r="J1126" s="154" t="s">
        <v>74</v>
      </c>
      <c r="K1126" s="154" t="s">
        <v>3394</v>
      </c>
      <c r="L1126" s="154"/>
      <c r="M1126" s="156"/>
      <c r="N1126" s="154" t="str">
        <f>IF(ISNUMBER(PL[[#This Row],[CTO]]),"CTO "&amp;PL[[#This Row],[CTO]],"Otros")</f>
        <v>CTO 10</v>
      </c>
      <c r="O1126" s="154" t="str">
        <f>IF(PL[[#This Row],[STATUS IUP]]="CERRADO","CERRADO",IF(ISNUMBER(SEARCH("validacion de enel",PL[[#This Row],[SUPPLIER NOTES]])),"PTE Validar Enel","ABIERTO"))</f>
        <v>CERRADO</v>
      </c>
      <c r="P1126" s="154" t="str">
        <f>IF(PL[[#This Row],[ESTADO]]="CERRADO","Cerrados IUP",IF(PL[[#This Row],[ESTADO]]="PTE Validar Enel","Pendiente cierre ENEL",IF(ISNUMBER(SEARCH("suministro",PL[[#This Row],[SUPPLIER NOTES]])),"Suministros",IF(PL[[#This Row],[SC]]="SOCIAL","Social",IF(ISNUMBER(SEARCH("monolito",PL[[#This Row],[DESCRIPTION]])),"Monolitos","Varios")))))</f>
        <v>Cerrados IUP</v>
      </c>
      <c r="Q11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7" spans="1:17" s="157" customFormat="1" hidden="1" x14ac:dyDescent="0.2">
      <c r="A1127" s="151" t="s">
        <v>2887</v>
      </c>
      <c r="B1127" s="154" t="s">
        <v>41</v>
      </c>
      <c r="C1127" s="152">
        <v>10</v>
      </c>
      <c r="D1127" s="153" t="s">
        <v>3385</v>
      </c>
      <c r="E1127" s="154" t="s">
        <v>2888</v>
      </c>
      <c r="F1127" s="154" t="s">
        <v>2889</v>
      </c>
      <c r="G1127" s="154" t="s">
        <v>1289</v>
      </c>
      <c r="H1127" s="154"/>
      <c r="I1127" s="154"/>
      <c r="J1127" s="154" t="s">
        <v>74</v>
      </c>
      <c r="K1127" s="154" t="s">
        <v>3394</v>
      </c>
      <c r="L1127" s="154"/>
      <c r="M1127" s="156"/>
      <c r="N1127" s="154" t="str">
        <f>IF(ISNUMBER(PL[[#This Row],[CTO]]),"CTO "&amp;PL[[#This Row],[CTO]],"Otros")</f>
        <v>CTO 10</v>
      </c>
      <c r="O1127" s="154" t="str">
        <f>IF(PL[[#This Row],[STATUS IUP]]="CERRADO","CERRADO",IF(ISNUMBER(SEARCH("validacion de enel",PL[[#This Row],[SUPPLIER NOTES]])),"PTE Validar Enel","ABIERTO"))</f>
        <v>CERRADO</v>
      </c>
      <c r="P1127" s="154" t="str">
        <f>IF(PL[[#This Row],[ESTADO]]="CERRADO","Cerrados IUP",IF(PL[[#This Row],[ESTADO]]="PTE Validar Enel","Pendiente cierre ENEL",IF(ISNUMBER(SEARCH("suministro",PL[[#This Row],[SUPPLIER NOTES]])),"Suministros",IF(PL[[#This Row],[SC]]="SOCIAL","Social",IF(ISNUMBER(SEARCH("monolito",PL[[#This Row],[DESCRIPTION]])),"Monolitos","Varios")))))</f>
        <v>Cerrados IUP</v>
      </c>
      <c r="Q11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8" spans="1:17" s="157" customFormat="1" hidden="1" x14ac:dyDescent="0.2">
      <c r="A1128" s="151" t="s">
        <v>2391</v>
      </c>
      <c r="B1128" s="154" t="s">
        <v>41</v>
      </c>
      <c r="C1128" s="152">
        <v>10</v>
      </c>
      <c r="D1128" s="153" t="s">
        <v>3385</v>
      </c>
      <c r="E1128" s="154" t="s">
        <v>2392</v>
      </c>
      <c r="F1128" s="154" t="s">
        <v>2393</v>
      </c>
      <c r="G1128" s="154" t="s">
        <v>1289</v>
      </c>
      <c r="H1128" s="154"/>
      <c r="I1128" s="154"/>
      <c r="J1128" s="154" t="s">
        <v>74</v>
      </c>
      <c r="K1128" s="154" t="s">
        <v>3394</v>
      </c>
      <c r="L1128" s="154"/>
      <c r="M1128" s="156"/>
      <c r="N1128" s="154" t="str">
        <f>IF(ISNUMBER(PL[[#This Row],[CTO]]),"CTO "&amp;PL[[#This Row],[CTO]],"Otros")</f>
        <v>CTO 10</v>
      </c>
      <c r="O1128" s="154" t="str">
        <f>IF(PL[[#This Row],[STATUS IUP]]="CERRADO","CERRADO",IF(ISNUMBER(SEARCH("validacion de enel",PL[[#This Row],[SUPPLIER NOTES]])),"PTE Validar Enel","ABIERTO"))</f>
        <v>CERRADO</v>
      </c>
      <c r="P1128" s="154" t="str">
        <f>IF(PL[[#This Row],[ESTADO]]="CERRADO","Cerrados IUP",IF(PL[[#This Row],[ESTADO]]="PTE Validar Enel","Pendiente cierre ENEL",IF(ISNUMBER(SEARCH("suministro",PL[[#This Row],[SUPPLIER NOTES]])),"Suministros",IF(PL[[#This Row],[SC]]="SOCIAL","Social",IF(ISNUMBER(SEARCH("monolito",PL[[#This Row],[DESCRIPTION]])),"Monolitos","Varios")))))</f>
        <v>Cerrados IUP</v>
      </c>
      <c r="Q11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29" spans="1:17" s="157" customFormat="1" hidden="1" x14ac:dyDescent="0.2">
      <c r="A1129" s="151" t="s">
        <v>2443</v>
      </c>
      <c r="B1129" s="154" t="s">
        <v>41</v>
      </c>
      <c r="C1129" s="152">
        <v>10</v>
      </c>
      <c r="D1129" s="153" t="s">
        <v>3385</v>
      </c>
      <c r="E1129" s="154" t="s">
        <v>2444</v>
      </c>
      <c r="F1129" s="154" t="s">
        <v>2445</v>
      </c>
      <c r="G1129" s="154" t="s">
        <v>1289</v>
      </c>
      <c r="H1129" s="154"/>
      <c r="I1129" s="154"/>
      <c r="J1129" s="154" t="s">
        <v>74</v>
      </c>
      <c r="K1129" s="154" t="s">
        <v>3394</v>
      </c>
      <c r="L1129" s="154"/>
      <c r="M1129" s="156"/>
      <c r="N1129" s="154" t="str">
        <f>IF(ISNUMBER(PL[[#This Row],[CTO]]),"CTO "&amp;PL[[#This Row],[CTO]],"Otros")</f>
        <v>CTO 10</v>
      </c>
      <c r="O1129" s="154" t="str">
        <f>IF(PL[[#This Row],[STATUS IUP]]="CERRADO","CERRADO",IF(ISNUMBER(SEARCH("validacion de enel",PL[[#This Row],[SUPPLIER NOTES]])),"PTE Validar Enel","ABIERTO"))</f>
        <v>CERRADO</v>
      </c>
      <c r="P1129" s="154" t="str">
        <f>IF(PL[[#This Row],[ESTADO]]="CERRADO","Cerrados IUP",IF(PL[[#This Row],[ESTADO]]="PTE Validar Enel","Pendiente cierre ENEL",IF(ISNUMBER(SEARCH("suministro",PL[[#This Row],[SUPPLIER NOTES]])),"Suministros",IF(PL[[#This Row],[SC]]="SOCIAL","Social",IF(ISNUMBER(SEARCH("monolito",PL[[#This Row],[DESCRIPTION]])),"Monolitos","Varios")))))</f>
        <v>Cerrados IUP</v>
      </c>
      <c r="Q11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0" spans="1:17" s="157" customFormat="1" hidden="1" x14ac:dyDescent="0.2">
      <c r="A1130" s="151" t="s">
        <v>2446</v>
      </c>
      <c r="B1130" s="154" t="s">
        <v>41</v>
      </c>
      <c r="C1130" s="152">
        <v>10</v>
      </c>
      <c r="D1130" s="153" t="s">
        <v>3385</v>
      </c>
      <c r="E1130" s="154" t="s">
        <v>2447</v>
      </c>
      <c r="F1130" s="154" t="s">
        <v>2448</v>
      </c>
      <c r="G1130" s="154" t="s">
        <v>1289</v>
      </c>
      <c r="H1130" s="154"/>
      <c r="I1130" s="154"/>
      <c r="J1130" s="154" t="s">
        <v>74</v>
      </c>
      <c r="K1130" s="154" t="s">
        <v>3394</v>
      </c>
      <c r="L1130" s="154"/>
      <c r="M1130" s="156"/>
      <c r="N1130" s="154" t="str">
        <f>IF(ISNUMBER(PL[[#This Row],[CTO]]),"CTO "&amp;PL[[#This Row],[CTO]],"Otros")</f>
        <v>CTO 10</v>
      </c>
      <c r="O1130" s="154" t="str">
        <f>IF(PL[[#This Row],[STATUS IUP]]="CERRADO","CERRADO",IF(ISNUMBER(SEARCH("validacion de enel",PL[[#This Row],[SUPPLIER NOTES]])),"PTE Validar Enel","ABIERTO"))</f>
        <v>CERRADO</v>
      </c>
      <c r="P1130" s="154" t="str">
        <f>IF(PL[[#This Row],[ESTADO]]="CERRADO","Cerrados IUP",IF(PL[[#This Row],[ESTADO]]="PTE Validar Enel","Pendiente cierre ENEL",IF(ISNUMBER(SEARCH("suministro",PL[[#This Row],[SUPPLIER NOTES]])),"Suministros",IF(PL[[#This Row],[SC]]="SOCIAL","Social",IF(ISNUMBER(SEARCH("monolito",PL[[#This Row],[DESCRIPTION]])),"Monolitos","Varios")))))</f>
        <v>Cerrados IUP</v>
      </c>
      <c r="Q11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1" spans="1:17" s="157" customFormat="1" hidden="1" x14ac:dyDescent="0.2">
      <c r="A1131" s="151" t="s">
        <v>1582</v>
      </c>
      <c r="B1131" s="154" t="s">
        <v>41</v>
      </c>
      <c r="C1131" s="152">
        <v>10</v>
      </c>
      <c r="D1131" s="153" t="s">
        <v>3385</v>
      </c>
      <c r="E1131" s="154" t="s">
        <v>1583</v>
      </c>
      <c r="F1131" s="154" t="s">
        <v>1584</v>
      </c>
      <c r="G1131" s="154" t="s">
        <v>1289</v>
      </c>
      <c r="H1131" s="154"/>
      <c r="I1131" s="154"/>
      <c r="J1131" s="154" t="s">
        <v>74</v>
      </c>
      <c r="K1131" s="154" t="s">
        <v>3394</v>
      </c>
      <c r="L1131" s="154"/>
      <c r="M1131" s="156"/>
      <c r="N1131" s="154" t="str">
        <f>IF(ISNUMBER(PL[[#This Row],[CTO]]),"CTO "&amp;PL[[#This Row],[CTO]],"Otros")</f>
        <v>CTO 10</v>
      </c>
      <c r="O1131" s="154" t="str">
        <f>IF(PL[[#This Row],[STATUS IUP]]="CERRADO","CERRADO",IF(ISNUMBER(SEARCH("validacion de enel",PL[[#This Row],[SUPPLIER NOTES]])),"PTE Validar Enel","ABIERTO"))</f>
        <v>CERRADO</v>
      </c>
      <c r="P1131" s="154" t="str">
        <f>IF(PL[[#This Row],[ESTADO]]="CERRADO","Cerrados IUP",IF(PL[[#This Row],[ESTADO]]="PTE Validar Enel","Pendiente cierre ENEL",IF(ISNUMBER(SEARCH("suministro",PL[[#This Row],[SUPPLIER NOTES]])),"Suministros",IF(PL[[#This Row],[SC]]="SOCIAL","Social",IF(ISNUMBER(SEARCH("monolito",PL[[#This Row],[DESCRIPTION]])),"Monolitos","Varios")))))</f>
        <v>Cerrados IUP</v>
      </c>
      <c r="Q11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2" spans="1:17" s="157" customFormat="1" hidden="1" x14ac:dyDescent="0.2">
      <c r="A1132" s="151" t="s">
        <v>2702</v>
      </c>
      <c r="B1132" s="154" t="s">
        <v>41</v>
      </c>
      <c r="C1132" s="152">
        <v>10</v>
      </c>
      <c r="D1132" s="153" t="s">
        <v>3385</v>
      </c>
      <c r="E1132" s="154" t="s">
        <v>2703</v>
      </c>
      <c r="F1132" s="154" t="s">
        <v>2704</v>
      </c>
      <c r="G1132" s="154" t="s">
        <v>1289</v>
      </c>
      <c r="H1132" s="154"/>
      <c r="I1132" s="154"/>
      <c r="J1132" s="154" t="s">
        <v>74</v>
      </c>
      <c r="K1132" s="154" t="s">
        <v>3394</v>
      </c>
      <c r="L1132" s="154"/>
      <c r="M1132" s="156"/>
      <c r="N1132" s="154" t="str">
        <f>IF(ISNUMBER(PL[[#This Row],[CTO]]),"CTO "&amp;PL[[#This Row],[CTO]],"Otros")</f>
        <v>CTO 10</v>
      </c>
      <c r="O1132" s="154" t="str">
        <f>IF(PL[[#This Row],[STATUS IUP]]="CERRADO","CERRADO",IF(ISNUMBER(SEARCH("validacion de enel",PL[[#This Row],[SUPPLIER NOTES]])),"PTE Validar Enel","ABIERTO"))</f>
        <v>CERRADO</v>
      </c>
      <c r="P1132" s="154" t="str">
        <f>IF(PL[[#This Row],[ESTADO]]="CERRADO","Cerrados IUP",IF(PL[[#This Row],[ESTADO]]="PTE Validar Enel","Pendiente cierre ENEL",IF(ISNUMBER(SEARCH("suministro",PL[[#This Row],[SUPPLIER NOTES]])),"Suministros",IF(PL[[#This Row],[SC]]="SOCIAL","Social",IF(ISNUMBER(SEARCH("monolito",PL[[#This Row],[DESCRIPTION]])),"Monolitos","Varios")))))</f>
        <v>Cerrados IUP</v>
      </c>
      <c r="Q11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3" spans="1:17" s="157" customFormat="1" hidden="1" x14ac:dyDescent="0.2">
      <c r="A1133" s="151" t="s">
        <v>1906</v>
      </c>
      <c r="B1133" s="154" t="s">
        <v>41</v>
      </c>
      <c r="C1133" s="152">
        <v>10</v>
      </c>
      <c r="D1133" s="153" t="s">
        <v>3385</v>
      </c>
      <c r="E1133" s="154" t="s">
        <v>1907</v>
      </c>
      <c r="F1133" s="154" t="s">
        <v>1908</v>
      </c>
      <c r="G1133" s="154" t="s">
        <v>1289</v>
      </c>
      <c r="H1133" s="154"/>
      <c r="I1133" s="154"/>
      <c r="J1133" s="154" t="s">
        <v>74</v>
      </c>
      <c r="K1133" s="154" t="s">
        <v>3394</v>
      </c>
      <c r="L1133" s="154"/>
      <c r="M1133" s="156"/>
      <c r="N1133" s="154" t="str">
        <f>IF(ISNUMBER(PL[[#This Row],[CTO]]),"CTO "&amp;PL[[#This Row],[CTO]],"Otros")</f>
        <v>CTO 10</v>
      </c>
      <c r="O1133" s="154" t="str">
        <f>IF(PL[[#This Row],[STATUS IUP]]="CERRADO","CERRADO",IF(ISNUMBER(SEARCH("validacion de enel",PL[[#This Row],[SUPPLIER NOTES]])),"PTE Validar Enel","ABIERTO"))</f>
        <v>CERRADO</v>
      </c>
      <c r="P1133" s="154" t="str">
        <f>IF(PL[[#This Row],[ESTADO]]="CERRADO","Cerrados IUP",IF(PL[[#This Row],[ESTADO]]="PTE Validar Enel","Pendiente cierre ENEL",IF(ISNUMBER(SEARCH("suministro",PL[[#This Row],[SUPPLIER NOTES]])),"Suministros",IF(PL[[#This Row],[SC]]="SOCIAL","Social",IF(ISNUMBER(SEARCH("monolito",PL[[#This Row],[DESCRIPTION]])),"Monolitos","Varios")))))</f>
        <v>Cerrados IUP</v>
      </c>
      <c r="Q113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4" spans="1:17" s="157" customFormat="1" hidden="1" x14ac:dyDescent="0.2">
      <c r="A1134" s="151" t="s">
        <v>2705</v>
      </c>
      <c r="B1134" s="154" t="s">
        <v>1314</v>
      </c>
      <c r="C1134" s="152">
        <v>10</v>
      </c>
      <c r="D1134" s="153" t="s">
        <v>3385</v>
      </c>
      <c r="E1134" s="154" t="s">
        <v>2706</v>
      </c>
      <c r="F1134" s="154" t="s">
        <v>2707</v>
      </c>
      <c r="G1134" s="154" t="s">
        <v>1289</v>
      </c>
      <c r="H1134" s="154"/>
      <c r="I1134" s="154"/>
      <c r="J1134" s="154" t="s">
        <v>74</v>
      </c>
      <c r="K1134" s="154" t="s">
        <v>3394</v>
      </c>
      <c r="L1134" s="154"/>
      <c r="M1134" s="156"/>
      <c r="N1134" s="154" t="str">
        <f>IF(ISNUMBER(PL[[#This Row],[CTO]]),"CTO "&amp;PL[[#This Row],[CTO]],"Otros")</f>
        <v>CTO 10</v>
      </c>
      <c r="O1134" s="154" t="str">
        <f>IF(PL[[#This Row],[STATUS IUP]]="CERRADO","CERRADO",IF(ISNUMBER(SEARCH("validacion de enel",PL[[#This Row],[SUPPLIER NOTES]])),"PTE Validar Enel","ABIERTO"))</f>
        <v>CERRADO</v>
      </c>
      <c r="P1134" s="154" t="str">
        <f>IF(PL[[#This Row],[ESTADO]]="CERRADO","Cerrados IUP",IF(PL[[#This Row],[ESTADO]]="PTE Validar Enel","Pendiente cierre ENEL",IF(ISNUMBER(SEARCH("suministro",PL[[#This Row],[SUPPLIER NOTES]])),"Suministros",IF(PL[[#This Row],[SC]]="SOCIAL","Social",IF(ISNUMBER(SEARCH("monolito",PL[[#This Row],[DESCRIPTION]])),"Monolitos","Varios")))))</f>
        <v>Cerrados IUP</v>
      </c>
      <c r="Q113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5" spans="1:17" s="157" customFormat="1" hidden="1" x14ac:dyDescent="0.2">
      <c r="A1135" s="151" t="s">
        <v>1903</v>
      </c>
      <c r="B1135" s="154" t="s">
        <v>1314</v>
      </c>
      <c r="C1135" s="152">
        <v>10</v>
      </c>
      <c r="D1135" s="153" t="s">
        <v>3385</v>
      </c>
      <c r="E1135" s="154" t="s">
        <v>1904</v>
      </c>
      <c r="F1135" s="154" t="s">
        <v>1905</v>
      </c>
      <c r="G1135" s="154" t="s">
        <v>1289</v>
      </c>
      <c r="H1135" s="154"/>
      <c r="I1135" s="154"/>
      <c r="J1135" s="154" t="s">
        <v>74</v>
      </c>
      <c r="K1135" s="154" t="s">
        <v>3394</v>
      </c>
      <c r="L1135" s="154"/>
      <c r="M1135" s="156"/>
      <c r="N1135" s="154" t="str">
        <f>IF(ISNUMBER(PL[[#This Row],[CTO]]),"CTO "&amp;PL[[#This Row],[CTO]],"Otros")</f>
        <v>CTO 10</v>
      </c>
      <c r="O1135" s="154" t="str">
        <f>IF(PL[[#This Row],[STATUS IUP]]="CERRADO","CERRADO",IF(ISNUMBER(SEARCH("validacion de enel",PL[[#This Row],[SUPPLIER NOTES]])),"PTE Validar Enel","ABIERTO"))</f>
        <v>CERRADO</v>
      </c>
      <c r="P1135" s="154" t="str">
        <f>IF(PL[[#This Row],[ESTADO]]="CERRADO","Cerrados IUP",IF(PL[[#This Row],[ESTADO]]="PTE Validar Enel","Pendiente cierre ENEL",IF(ISNUMBER(SEARCH("suministro",PL[[#This Row],[SUPPLIER NOTES]])),"Suministros",IF(PL[[#This Row],[SC]]="SOCIAL","Social",IF(ISNUMBER(SEARCH("monolito",PL[[#This Row],[DESCRIPTION]])),"Monolitos","Varios")))))</f>
        <v>Cerrados IUP</v>
      </c>
      <c r="Q11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6" spans="1:17" s="157" customFormat="1" hidden="1" x14ac:dyDescent="0.2">
      <c r="A1136" s="151" t="s">
        <v>2708</v>
      </c>
      <c r="B1136" s="154" t="s">
        <v>1314</v>
      </c>
      <c r="C1136" s="152">
        <v>10</v>
      </c>
      <c r="D1136" s="153" t="s">
        <v>3385</v>
      </c>
      <c r="E1136" s="154" t="s">
        <v>2709</v>
      </c>
      <c r="F1136" s="154" t="s">
        <v>2710</v>
      </c>
      <c r="G1136" s="154" t="s">
        <v>1289</v>
      </c>
      <c r="H1136" s="154"/>
      <c r="I1136" s="154"/>
      <c r="J1136" s="154" t="s">
        <v>74</v>
      </c>
      <c r="K1136" s="154" t="s">
        <v>3394</v>
      </c>
      <c r="L1136" s="154"/>
      <c r="M1136" s="156"/>
      <c r="N1136" s="154" t="str">
        <f>IF(ISNUMBER(PL[[#This Row],[CTO]]),"CTO "&amp;PL[[#This Row],[CTO]],"Otros")</f>
        <v>CTO 10</v>
      </c>
      <c r="O1136" s="154" t="str">
        <f>IF(PL[[#This Row],[STATUS IUP]]="CERRADO","CERRADO",IF(ISNUMBER(SEARCH("validacion de enel",PL[[#This Row],[SUPPLIER NOTES]])),"PTE Validar Enel","ABIERTO"))</f>
        <v>CERRADO</v>
      </c>
      <c r="P1136" s="154" t="str">
        <f>IF(PL[[#This Row],[ESTADO]]="CERRADO","Cerrados IUP",IF(PL[[#This Row],[ESTADO]]="PTE Validar Enel","Pendiente cierre ENEL",IF(ISNUMBER(SEARCH("suministro",PL[[#This Row],[SUPPLIER NOTES]])),"Suministros",IF(PL[[#This Row],[SC]]="SOCIAL","Social",IF(ISNUMBER(SEARCH("monolito",PL[[#This Row],[DESCRIPTION]])),"Monolitos","Varios")))))</f>
        <v>Cerrados IUP</v>
      </c>
      <c r="Q113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7" spans="1:17" s="157" customFormat="1" hidden="1" x14ac:dyDescent="0.2">
      <c r="A1137" s="151" t="s">
        <v>2650</v>
      </c>
      <c r="B1137" s="154" t="s">
        <v>1314</v>
      </c>
      <c r="C1137" s="152">
        <v>10</v>
      </c>
      <c r="D1137" s="153" t="s">
        <v>3385</v>
      </c>
      <c r="E1137" s="154" t="s">
        <v>2651</v>
      </c>
      <c r="F1137" s="154" t="s">
        <v>2652</v>
      </c>
      <c r="G1137" s="154" t="s">
        <v>1289</v>
      </c>
      <c r="H1137" s="154"/>
      <c r="I1137" s="154"/>
      <c r="J1137" s="154" t="s">
        <v>74</v>
      </c>
      <c r="K1137" s="154" t="s">
        <v>3394</v>
      </c>
      <c r="L1137" s="154"/>
      <c r="M1137" s="156"/>
      <c r="N1137" s="154" t="str">
        <f>IF(ISNUMBER(PL[[#This Row],[CTO]]),"CTO "&amp;PL[[#This Row],[CTO]],"Otros")</f>
        <v>CTO 10</v>
      </c>
      <c r="O1137" s="154" t="str">
        <f>IF(PL[[#This Row],[STATUS IUP]]="CERRADO","CERRADO",IF(ISNUMBER(SEARCH("validacion de enel",PL[[#This Row],[SUPPLIER NOTES]])),"PTE Validar Enel","ABIERTO"))</f>
        <v>CERRADO</v>
      </c>
      <c r="P1137" s="154" t="str">
        <f>IF(PL[[#This Row],[ESTADO]]="CERRADO","Cerrados IUP",IF(PL[[#This Row],[ESTADO]]="PTE Validar Enel","Pendiente cierre ENEL",IF(ISNUMBER(SEARCH("suministro",PL[[#This Row],[SUPPLIER NOTES]])),"Suministros",IF(PL[[#This Row],[SC]]="SOCIAL","Social",IF(ISNUMBER(SEARCH("monolito",PL[[#This Row],[DESCRIPTION]])),"Monolitos","Varios")))))</f>
        <v>Cerrados IUP</v>
      </c>
      <c r="Q11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8" spans="1:17" s="157" customFormat="1" hidden="1" x14ac:dyDescent="0.2">
      <c r="A1138" s="151" t="s">
        <v>2711</v>
      </c>
      <c r="B1138" s="154" t="s">
        <v>41</v>
      </c>
      <c r="C1138" s="152">
        <v>10</v>
      </c>
      <c r="D1138" s="153" t="s">
        <v>3385</v>
      </c>
      <c r="E1138" s="154" t="s">
        <v>2712</v>
      </c>
      <c r="F1138" s="154" t="s">
        <v>2713</v>
      </c>
      <c r="G1138" s="154" t="s">
        <v>1289</v>
      </c>
      <c r="H1138" s="154"/>
      <c r="I1138" s="154"/>
      <c r="J1138" s="154" t="s">
        <v>74</v>
      </c>
      <c r="K1138" s="154" t="s">
        <v>3394</v>
      </c>
      <c r="L1138" s="154"/>
      <c r="M1138" s="156"/>
      <c r="N1138" s="154" t="str">
        <f>IF(ISNUMBER(PL[[#This Row],[CTO]]),"CTO "&amp;PL[[#This Row],[CTO]],"Otros")</f>
        <v>CTO 10</v>
      </c>
      <c r="O1138" s="154" t="str">
        <f>IF(PL[[#This Row],[STATUS IUP]]="CERRADO","CERRADO",IF(ISNUMBER(SEARCH("validacion de enel",PL[[#This Row],[SUPPLIER NOTES]])),"PTE Validar Enel","ABIERTO"))</f>
        <v>CERRADO</v>
      </c>
      <c r="P1138" s="154" t="str">
        <f>IF(PL[[#This Row],[ESTADO]]="CERRADO","Cerrados IUP",IF(PL[[#This Row],[ESTADO]]="PTE Validar Enel","Pendiente cierre ENEL",IF(ISNUMBER(SEARCH("suministro",PL[[#This Row],[SUPPLIER NOTES]])),"Suministros",IF(PL[[#This Row],[SC]]="SOCIAL","Social",IF(ISNUMBER(SEARCH("monolito",PL[[#This Row],[DESCRIPTION]])),"Monolitos","Varios")))))</f>
        <v>Cerrados IUP</v>
      </c>
      <c r="Q11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39" spans="1:17" s="157" customFormat="1" hidden="1" x14ac:dyDescent="0.2">
      <c r="A1139" s="151" t="s">
        <v>2388</v>
      </c>
      <c r="B1139" s="154" t="s">
        <v>41</v>
      </c>
      <c r="C1139" s="152">
        <v>10</v>
      </c>
      <c r="D1139" s="153" t="s">
        <v>3385</v>
      </c>
      <c r="E1139" s="154" t="s">
        <v>2389</v>
      </c>
      <c r="F1139" s="154" t="s">
        <v>2390</v>
      </c>
      <c r="G1139" s="154" t="s">
        <v>1289</v>
      </c>
      <c r="H1139" s="154"/>
      <c r="I1139" s="154"/>
      <c r="J1139" s="154" t="s">
        <v>74</v>
      </c>
      <c r="K1139" s="154" t="s">
        <v>3394</v>
      </c>
      <c r="L1139" s="154"/>
      <c r="M1139" s="156"/>
      <c r="N1139" s="154" t="str">
        <f>IF(ISNUMBER(PL[[#This Row],[CTO]]),"CTO "&amp;PL[[#This Row],[CTO]],"Otros")</f>
        <v>CTO 10</v>
      </c>
      <c r="O1139" s="154" t="str">
        <f>IF(PL[[#This Row],[STATUS IUP]]="CERRADO","CERRADO",IF(ISNUMBER(SEARCH("validacion de enel",PL[[#This Row],[SUPPLIER NOTES]])),"PTE Validar Enel","ABIERTO"))</f>
        <v>CERRADO</v>
      </c>
      <c r="P1139" s="154" t="str">
        <f>IF(PL[[#This Row],[ESTADO]]="CERRADO","Cerrados IUP",IF(PL[[#This Row],[ESTADO]]="PTE Validar Enel","Pendiente cierre ENEL",IF(ISNUMBER(SEARCH("suministro",PL[[#This Row],[SUPPLIER NOTES]])),"Suministros",IF(PL[[#This Row],[SC]]="SOCIAL","Social",IF(ISNUMBER(SEARCH("monolito",PL[[#This Row],[DESCRIPTION]])),"Monolitos","Varios")))))</f>
        <v>Cerrados IUP</v>
      </c>
      <c r="Q11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0" spans="1:17" s="157" customFormat="1" hidden="1" x14ac:dyDescent="0.2">
      <c r="A1140" s="151" t="s">
        <v>2001</v>
      </c>
      <c r="B1140" s="154" t="s">
        <v>41</v>
      </c>
      <c r="C1140" s="152">
        <v>10</v>
      </c>
      <c r="D1140" s="153" t="s">
        <v>3385</v>
      </c>
      <c r="E1140" s="154" t="s">
        <v>2002</v>
      </c>
      <c r="F1140" s="154" t="s">
        <v>2003</v>
      </c>
      <c r="G1140" s="154" t="s">
        <v>1289</v>
      </c>
      <c r="H1140" s="154"/>
      <c r="I1140" s="154"/>
      <c r="J1140" s="154" t="s">
        <v>74</v>
      </c>
      <c r="K1140" s="154" t="s">
        <v>3394</v>
      </c>
      <c r="L1140" s="154"/>
      <c r="M1140" s="156"/>
      <c r="N1140" s="154" t="str">
        <f>IF(ISNUMBER(PL[[#This Row],[CTO]]),"CTO "&amp;PL[[#This Row],[CTO]],"Otros")</f>
        <v>CTO 10</v>
      </c>
      <c r="O1140" s="154" t="str">
        <f>IF(PL[[#This Row],[STATUS IUP]]="CERRADO","CERRADO",IF(ISNUMBER(SEARCH("validacion de enel",PL[[#This Row],[SUPPLIER NOTES]])),"PTE Validar Enel","ABIERTO"))</f>
        <v>CERRADO</v>
      </c>
      <c r="P1140" s="154" t="str">
        <f>IF(PL[[#This Row],[ESTADO]]="CERRADO","Cerrados IUP",IF(PL[[#This Row],[ESTADO]]="PTE Validar Enel","Pendiente cierre ENEL",IF(ISNUMBER(SEARCH("suministro",PL[[#This Row],[SUPPLIER NOTES]])),"Suministros",IF(PL[[#This Row],[SC]]="SOCIAL","Social",IF(ISNUMBER(SEARCH("monolito",PL[[#This Row],[DESCRIPTION]])),"Monolitos","Varios")))))</f>
        <v>Cerrados IUP</v>
      </c>
      <c r="Q11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1" spans="1:17" s="157" customFormat="1" hidden="1" x14ac:dyDescent="0.2">
      <c r="A1141" s="151" t="s">
        <v>2385</v>
      </c>
      <c r="B1141" s="154" t="s">
        <v>1291</v>
      </c>
      <c r="C1141" s="152">
        <v>10</v>
      </c>
      <c r="D1141" s="153" t="s">
        <v>3385</v>
      </c>
      <c r="E1141" s="154" t="s">
        <v>2386</v>
      </c>
      <c r="F1141" s="154" t="s">
        <v>2387</v>
      </c>
      <c r="G1141" s="154" t="s">
        <v>1289</v>
      </c>
      <c r="H1141" s="154"/>
      <c r="I1141" s="154"/>
      <c r="J1141" s="154" t="s">
        <v>74</v>
      </c>
      <c r="K1141" s="154" t="s">
        <v>3394</v>
      </c>
      <c r="L1141" s="154"/>
      <c r="M1141" s="156"/>
      <c r="N1141" s="154" t="str">
        <f>IF(ISNUMBER(PL[[#This Row],[CTO]]),"CTO "&amp;PL[[#This Row],[CTO]],"Otros")</f>
        <v>CTO 10</v>
      </c>
      <c r="O1141" s="154" t="str">
        <f>IF(PL[[#This Row],[STATUS IUP]]="CERRADO","CERRADO",IF(ISNUMBER(SEARCH("validacion de enel",PL[[#This Row],[SUPPLIER NOTES]])),"PTE Validar Enel","ABIERTO"))</f>
        <v>CERRADO</v>
      </c>
      <c r="P1141" s="154" t="str">
        <f>IF(PL[[#This Row],[ESTADO]]="CERRADO","Cerrados IUP",IF(PL[[#This Row],[ESTADO]]="PTE Validar Enel","Pendiente cierre ENEL",IF(ISNUMBER(SEARCH("suministro",PL[[#This Row],[SUPPLIER NOTES]])),"Suministros",IF(PL[[#This Row],[SC]]="SOCIAL","Social",IF(ISNUMBER(SEARCH("monolito",PL[[#This Row],[DESCRIPTION]])),"Monolitos","Varios")))))</f>
        <v>Cerrados IUP</v>
      </c>
      <c r="Q11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2" spans="1:17" s="157" customFormat="1" hidden="1" x14ac:dyDescent="0.2">
      <c r="A1142" s="151" t="s">
        <v>2647</v>
      </c>
      <c r="B1142" s="154" t="s">
        <v>1291</v>
      </c>
      <c r="C1142" s="152">
        <v>10</v>
      </c>
      <c r="D1142" s="153" t="s">
        <v>3385</v>
      </c>
      <c r="E1142" s="154" t="s">
        <v>2648</v>
      </c>
      <c r="F1142" s="154" t="s">
        <v>2649</v>
      </c>
      <c r="G1142" s="154" t="s">
        <v>1289</v>
      </c>
      <c r="H1142" s="154"/>
      <c r="I1142" s="154"/>
      <c r="J1142" s="154" t="s">
        <v>74</v>
      </c>
      <c r="K1142" s="154" t="s">
        <v>3394</v>
      </c>
      <c r="L1142" s="154"/>
      <c r="M1142" s="156"/>
      <c r="N1142" s="154" t="str">
        <f>IF(ISNUMBER(PL[[#This Row],[CTO]]),"CTO "&amp;PL[[#This Row],[CTO]],"Otros")</f>
        <v>CTO 10</v>
      </c>
      <c r="O1142" s="154" t="str">
        <f>IF(PL[[#This Row],[STATUS IUP]]="CERRADO","CERRADO",IF(ISNUMBER(SEARCH("validacion de enel",PL[[#This Row],[SUPPLIER NOTES]])),"PTE Validar Enel","ABIERTO"))</f>
        <v>CERRADO</v>
      </c>
      <c r="P1142" s="154" t="str">
        <f>IF(PL[[#This Row],[ESTADO]]="CERRADO","Cerrados IUP",IF(PL[[#This Row],[ESTADO]]="PTE Validar Enel","Pendiente cierre ENEL",IF(ISNUMBER(SEARCH("suministro",PL[[#This Row],[SUPPLIER NOTES]])),"Suministros",IF(PL[[#This Row],[SC]]="SOCIAL","Social",IF(ISNUMBER(SEARCH("monolito",PL[[#This Row],[DESCRIPTION]])),"Monolitos","Varios")))))</f>
        <v>Cerrados IUP</v>
      </c>
      <c r="Q11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3" spans="1:17" s="157" customFormat="1" hidden="1" x14ac:dyDescent="0.2">
      <c r="A1143" s="151" t="s">
        <v>2816</v>
      </c>
      <c r="B1143" s="154" t="s">
        <v>41</v>
      </c>
      <c r="C1143" s="152">
        <v>10</v>
      </c>
      <c r="D1143" s="153" t="s">
        <v>3385</v>
      </c>
      <c r="E1143" s="154" t="s">
        <v>2817</v>
      </c>
      <c r="F1143" s="154" t="s">
        <v>2818</v>
      </c>
      <c r="G1143" s="154" t="s">
        <v>1289</v>
      </c>
      <c r="H1143" s="154"/>
      <c r="I1143" s="154"/>
      <c r="J1143" s="154" t="s">
        <v>74</v>
      </c>
      <c r="K1143" s="154" t="s">
        <v>3394</v>
      </c>
      <c r="L1143" s="154"/>
      <c r="M1143" s="156"/>
      <c r="N1143" s="154" t="str">
        <f>IF(ISNUMBER(PL[[#This Row],[CTO]]),"CTO "&amp;PL[[#This Row],[CTO]],"Otros")</f>
        <v>CTO 10</v>
      </c>
      <c r="O1143" s="154" t="str">
        <f>IF(PL[[#This Row],[STATUS IUP]]="CERRADO","CERRADO",IF(ISNUMBER(SEARCH("validacion de enel",PL[[#This Row],[SUPPLIER NOTES]])),"PTE Validar Enel","ABIERTO"))</f>
        <v>CERRADO</v>
      </c>
      <c r="P1143" s="154" t="str">
        <f>IF(PL[[#This Row],[ESTADO]]="CERRADO","Cerrados IUP",IF(PL[[#This Row],[ESTADO]]="PTE Validar Enel","Pendiente cierre ENEL",IF(ISNUMBER(SEARCH("suministro",PL[[#This Row],[SUPPLIER NOTES]])),"Suministros",IF(PL[[#This Row],[SC]]="SOCIAL","Social",IF(ISNUMBER(SEARCH("monolito",PL[[#This Row],[DESCRIPTION]])),"Monolitos","Varios")))))</f>
        <v>Cerrados IUP</v>
      </c>
      <c r="Q11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4" spans="1:17" s="157" customFormat="1" hidden="1" x14ac:dyDescent="0.2">
      <c r="A1144" s="151" t="s">
        <v>2819</v>
      </c>
      <c r="B1144" s="154" t="s">
        <v>8</v>
      </c>
      <c r="C1144" s="152">
        <v>10</v>
      </c>
      <c r="D1144" s="153" t="s">
        <v>3385</v>
      </c>
      <c r="E1144" s="154" t="s">
        <v>2820</v>
      </c>
      <c r="F1144" s="154" t="s">
        <v>2821</v>
      </c>
      <c r="G1144" s="154" t="s">
        <v>1289</v>
      </c>
      <c r="H1144" s="154"/>
      <c r="I1144" s="154"/>
      <c r="J1144" s="154" t="s">
        <v>74</v>
      </c>
      <c r="K1144" s="154" t="s">
        <v>3394</v>
      </c>
      <c r="L1144" s="154"/>
      <c r="M1144" s="156"/>
      <c r="N1144" s="154" t="str">
        <f>IF(ISNUMBER(PL[[#This Row],[CTO]]),"CTO "&amp;PL[[#This Row],[CTO]],"Otros")</f>
        <v>CTO 10</v>
      </c>
      <c r="O1144" s="154" t="str">
        <f>IF(PL[[#This Row],[STATUS IUP]]="CERRADO","CERRADO",IF(ISNUMBER(SEARCH("validacion de enel",PL[[#This Row],[SUPPLIER NOTES]])),"PTE Validar Enel","ABIERTO"))</f>
        <v>CERRADO</v>
      </c>
      <c r="P1144" s="154" t="str">
        <f>IF(PL[[#This Row],[ESTADO]]="CERRADO","Cerrados IUP",IF(PL[[#This Row],[ESTADO]]="PTE Validar Enel","Pendiente cierre ENEL",IF(ISNUMBER(SEARCH("suministro",PL[[#This Row],[SUPPLIER NOTES]])),"Suministros",IF(PL[[#This Row],[SC]]="SOCIAL","Social",IF(ISNUMBER(SEARCH("monolito",PL[[#This Row],[DESCRIPTION]])),"Monolitos","Varios")))))</f>
        <v>Cerrados IUP</v>
      </c>
      <c r="Q11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5" spans="1:17" s="157" customFormat="1" hidden="1" x14ac:dyDescent="0.2">
      <c r="A1145" s="151" t="s">
        <v>1668</v>
      </c>
      <c r="B1145" s="154" t="s">
        <v>8</v>
      </c>
      <c r="C1145" s="152">
        <v>10</v>
      </c>
      <c r="D1145" s="153" t="s">
        <v>3385</v>
      </c>
      <c r="E1145" s="154" t="s">
        <v>1669</v>
      </c>
      <c r="F1145" s="154" t="s">
        <v>1670</v>
      </c>
      <c r="G1145" s="154" t="s">
        <v>216</v>
      </c>
      <c r="H1145" s="154"/>
      <c r="I1145" s="154"/>
      <c r="J1145" s="154" t="s">
        <v>74</v>
      </c>
      <c r="K1145" s="154" t="s">
        <v>3394</v>
      </c>
      <c r="L1145" s="154"/>
      <c r="M1145" s="156"/>
      <c r="N1145" s="154" t="str">
        <f>IF(ISNUMBER(PL[[#This Row],[CTO]]),"CTO "&amp;PL[[#This Row],[CTO]],"Otros")</f>
        <v>CTO 10</v>
      </c>
      <c r="O1145" s="154" t="str">
        <f>IF(PL[[#This Row],[STATUS IUP]]="CERRADO","CERRADO",IF(ISNUMBER(SEARCH("validacion de enel",PL[[#This Row],[SUPPLIER NOTES]])),"PTE Validar Enel","ABIERTO"))</f>
        <v>CERRADO</v>
      </c>
      <c r="P1145" s="154" t="str">
        <f>IF(PL[[#This Row],[ESTADO]]="CERRADO","Cerrados IUP",IF(PL[[#This Row],[ESTADO]]="PTE Validar Enel","Pendiente cierre ENEL",IF(ISNUMBER(SEARCH("suministro",PL[[#This Row],[SUPPLIER NOTES]])),"Suministros",IF(PL[[#This Row],[SC]]="SOCIAL","Social",IF(ISNUMBER(SEARCH("monolito",PL[[#This Row],[DESCRIPTION]])),"Monolitos","Varios")))))</f>
        <v>Cerrados IUP</v>
      </c>
      <c r="Q11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6" spans="1:17" s="157" customFormat="1" hidden="1" x14ac:dyDescent="0.2">
      <c r="A1146" s="151" t="s">
        <v>2822</v>
      </c>
      <c r="B1146" s="154" t="s">
        <v>8</v>
      </c>
      <c r="C1146" s="152">
        <v>10</v>
      </c>
      <c r="D1146" s="153" t="s">
        <v>3385</v>
      </c>
      <c r="E1146" s="154" t="s">
        <v>2823</v>
      </c>
      <c r="F1146" s="154" t="s">
        <v>2824</v>
      </c>
      <c r="G1146" s="154" t="s">
        <v>216</v>
      </c>
      <c r="H1146" s="154"/>
      <c r="I1146" s="154"/>
      <c r="J1146" s="154" t="s">
        <v>74</v>
      </c>
      <c r="K1146" s="154" t="s">
        <v>3394</v>
      </c>
      <c r="L1146" s="154"/>
      <c r="M1146" s="156"/>
      <c r="N1146" s="154" t="str">
        <f>IF(ISNUMBER(PL[[#This Row],[CTO]]),"CTO "&amp;PL[[#This Row],[CTO]],"Otros")</f>
        <v>CTO 10</v>
      </c>
      <c r="O1146" s="154" t="str">
        <f>IF(PL[[#This Row],[STATUS IUP]]="CERRADO","CERRADO",IF(ISNUMBER(SEARCH("validacion de enel",PL[[#This Row],[SUPPLIER NOTES]])),"PTE Validar Enel","ABIERTO"))</f>
        <v>CERRADO</v>
      </c>
      <c r="P1146" s="154" t="str">
        <f>IF(PL[[#This Row],[ESTADO]]="CERRADO","Cerrados IUP",IF(PL[[#This Row],[ESTADO]]="PTE Validar Enel","Pendiente cierre ENEL",IF(ISNUMBER(SEARCH("suministro",PL[[#This Row],[SUPPLIER NOTES]])),"Suministros",IF(PL[[#This Row],[SC]]="SOCIAL","Social",IF(ISNUMBER(SEARCH("monolito",PL[[#This Row],[DESCRIPTION]])),"Monolitos","Varios")))))</f>
        <v>Cerrados IUP</v>
      </c>
      <c r="Q11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7" spans="1:17" s="157" customFormat="1" hidden="1" x14ac:dyDescent="0.2">
      <c r="A1147" s="151" t="s">
        <v>2382</v>
      </c>
      <c r="B1147" s="154" t="s">
        <v>8</v>
      </c>
      <c r="C1147" s="152">
        <v>10</v>
      </c>
      <c r="D1147" s="153" t="s">
        <v>3385</v>
      </c>
      <c r="E1147" s="154" t="s">
        <v>2383</v>
      </c>
      <c r="F1147" s="154" t="s">
        <v>2384</v>
      </c>
      <c r="G1147" s="154" t="s">
        <v>216</v>
      </c>
      <c r="H1147" s="154"/>
      <c r="I1147" s="154"/>
      <c r="J1147" s="154" t="s">
        <v>74</v>
      </c>
      <c r="K1147" s="154" t="s">
        <v>3394</v>
      </c>
      <c r="L1147" s="154"/>
      <c r="M1147" s="156"/>
      <c r="N1147" s="154" t="str">
        <f>IF(ISNUMBER(PL[[#This Row],[CTO]]),"CTO "&amp;PL[[#This Row],[CTO]],"Otros")</f>
        <v>CTO 10</v>
      </c>
      <c r="O1147" s="154" t="str">
        <f>IF(PL[[#This Row],[STATUS IUP]]="CERRADO","CERRADO",IF(ISNUMBER(SEARCH("validacion de enel",PL[[#This Row],[SUPPLIER NOTES]])),"PTE Validar Enel","ABIERTO"))</f>
        <v>CERRADO</v>
      </c>
      <c r="P1147" s="154" t="str">
        <f>IF(PL[[#This Row],[ESTADO]]="CERRADO","Cerrados IUP",IF(PL[[#This Row],[ESTADO]]="PTE Validar Enel","Pendiente cierre ENEL",IF(ISNUMBER(SEARCH("suministro",PL[[#This Row],[SUPPLIER NOTES]])),"Suministros",IF(PL[[#This Row],[SC]]="SOCIAL","Social",IF(ISNUMBER(SEARCH("monolito",PL[[#This Row],[DESCRIPTION]])),"Monolitos","Varios")))))</f>
        <v>Cerrados IUP</v>
      </c>
      <c r="Q11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8" spans="1:17" s="157" customFormat="1" hidden="1" x14ac:dyDescent="0.2">
      <c r="A1148" s="151" t="s">
        <v>1900</v>
      </c>
      <c r="B1148" s="154" t="s">
        <v>1291</v>
      </c>
      <c r="C1148" s="152">
        <v>10</v>
      </c>
      <c r="D1148" s="153" t="s">
        <v>3385</v>
      </c>
      <c r="E1148" s="154" t="s">
        <v>1901</v>
      </c>
      <c r="F1148" s="154" t="s">
        <v>1902</v>
      </c>
      <c r="G1148" s="154" t="s">
        <v>128</v>
      </c>
      <c r="H1148" s="154" t="s">
        <v>3455</v>
      </c>
      <c r="I1148" s="154" t="s">
        <v>3475</v>
      </c>
      <c r="J1148" s="154" t="s">
        <v>74</v>
      </c>
      <c r="K1148" s="154" t="s">
        <v>3394</v>
      </c>
      <c r="L1148" s="155">
        <v>46282</v>
      </c>
      <c r="M1148" s="156"/>
      <c r="N1148" s="154" t="str">
        <f>IF(ISNUMBER(PL[[#This Row],[CTO]]),"CTO "&amp;PL[[#This Row],[CTO]],"Otros")</f>
        <v>CTO 10</v>
      </c>
      <c r="O1148" s="154" t="str">
        <f>IF(PL[[#This Row],[STATUS IUP]]="CERRADO","CERRADO",IF(ISNUMBER(SEARCH("validacion de enel",PL[[#This Row],[SUPPLIER NOTES]])),"PTE Validar Enel","ABIERTO"))</f>
        <v>CERRADO</v>
      </c>
      <c r="P1148" s="154" t="str">
        <f>IF(PL[[#This Row],[ESTADO]]="CERRADO","Cerrados IUP",IF(PL[[#This Row],[ESTADO]]="PTE Validar Enel","Pendiente cierre ENEL",IF(ISNUMBER(SEARCH("suministro",PL[[#This Row],[SUPPLIER NOTES]])),"Suministros",IF(PL[[#This Row],[SC]]="SOCIAL","Social",IF(ISNUMBER(SEARCH("monolito",PL[[#This Row],[DESCRIPTION]])),"Monolitos","Varios")))))</f>
        <v>Cerrados IUP</v>
      </c>
      <c r="Q11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49" spans="1:17" s="157" customFormat="1" hidden="1" x14ac:dyDescent="0.2">
      <c r="A1149" s="151" t="s">
        <v>1826</v>
      </c>
      <c r="B1149" s="154" t="s">
        <v>8</v>
      </c>
      <c r="C1149" s="152">
        <v>10</v>
      </c>
      <c r="D1149" s="153" t="s">
        <v>3385</v>
      </c>
      <c r="E1149" s="154" t="s">
        <v>1827</v>
      </c>
      <c r="F1149" s="154" t="s">
        <v>1828</v>
      </c>
      <c r="G1149" s="154" t="s">
        <v>128</v>
      </c>
      <c r="H1149" s="154" t="s">
        <v>3455</v>
      </c>
      <c r="I1149" s="154" t="s">
        <v>3475</v>
      </c>
      <c r="J1149" s="154" t="s">
        <v>74</v>
      </c>
      <c r="K1149" s="154" t="s">
        <v>3394</v>
      </c>
      <c r="L1149" s="155">
        <v>46282</v>
      </c>
      <c r="M1149" s="156"/>
      <c r="N1149" s="154" t="str">
        <f>IF(ISNUMBER(PL[[#This Row],[CTO]]),"CTO "&amp;PL[[#This Row],[CTO]],"Otros")</f>
        <v>CTO 10</v>
      </c>
      <c r="O1149" s="154" t="str">
        <f>IF(PL[[#This Row],[STATUS IUP]]="CERRADO","CERRADO",IF(ISNUMBER(SEARCH("validacion de enel",PL[[#This Row],[SUPPLIER NOTES]])),"PTE Validar Enel","ABIERTO"))</f>
        <v>CERRADO</v>
      </c>
      <c r="P1149" s="154" t="str">
        <f>IF(PL[[#This Row],[ESTADO]]="CERRADO","Cerrados IUP",IF(PL[[#This Row],[ESTADO]]="PTE Validar Enel","Pendiente cierre ENEL",IF(ISNUMBER(SEARCH("suministro",PL[[#This Row],[SUPPLIER NOTES]])),"Suministros",IF(PL[[#This Row],[SC]]="SOCIAL","Social",IF(ISNUMBER(SEARCH("monolito",PL[[#This Row],[DESCRIPTION]])),"Monolitos","Varios")))))</f>
        <v>Cerrados IUP</v>
      </c>
      <c r="Q11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0" spans="1:17" s="157" customFormat="1" hidden="1" x14ac:dyDescent="0.2">
      <c r="A1150" s="151" t="s">
        <v>2638</v>
      </c>
      <c r="B1150" s="154" t="s">
        <v>8</v>
      </c>
      <c r="C1150" s="152">
        <v>10</v>
      </c>
      <c r="D1150" s="153" t="s">
        <v>3385</v>
      </c>
      <c r="E1150" s="154" t="s">
        <v>2639</v>
      </c>
      <c r="F1150" s="154" t="s">
        <v>2640</v>
      </c>
      <c r="G1150" s="154" t="s">
        <v>128</v>
      </c>
      <c r="H1150" s="154"/>
      <c r="I1150" s="154" t="s">
        <v>3475</v>
      </c>
      <c r="J1150" s="154" t="s">
        <v>74</v>
      </c>
      <c r="K1150" s="154" t="s">
        <v>3394</v>
      </c>
      <c r="L1150" s="155">
        <v>46288</v>
      </c>
      <c r="M1150" s="156"/>
      <c r="N1150" s="154" t="str">
        <f>IF(ISNUMBER(PL[[#This Row],[CTO]]),"CTO "&amp;PL[[#This Row],[CTO]],"Otros")</f>
        <v>CTO 10</v>
      </c>
      <c r="O1150" s="154" t="str">
        <f>IF(PL[[#This Row],[STATUS IUP]]="CERRADO","CERRADO",IF(ISNUMBER(SEARCH("validacion de enel",PL[[#This Row],[SUPPLIER NOTES]])),"PTE Validar Enel","ABIERTO"))</f>
        <v>CERRADO</v>
      </c>
      <c r="P1150" s="154" t="str">
        <f>IF(PL[[#This Row],[ESTADO]]="CERRADO","Cerrados IUP",IF(PL[[#This Row],[ESTADO]]="PTE Validar Enel","Pendiente cierre ENEL",IF(ISNUMBER(SEARCH("suministro",PL[[#This Row],[SUPPLIER NOTES]])),"Suministros",IF(PL[[#This Row],[SC]]="SOCIAL","Social",IF(ISNUMBER(SEARCH("monolito",PL[[#This Row],[DESCRIPTION]])),"Monolitos","Varios")))))</f>
        <v>Cerrados IUP</v>
      </c>
      <c r="Q11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1" spans="1:17" s="157" customFormat="1" hidden="1" x14ac:dyDescent="0.2">
      <c r="A1151" s="151" t="s">
        <v>1671</v>
      </c>
      <c r="B1151" s="154" t="s">
        <v>8</v>
      </c>
      <c r="C1151" s="152">
        <v>10</v>
      </c>
      <c r="D1151" s="153" t="s">
        <v>3385</v>
      </c>
      <c r="E1151" s="154" t="s">
        <v>1672</v>
      </c>
      <c r="F1151" s="154" t="s">
        <v>1389</v>
      </c>
      <c r="G1151" s="154" t="s">
        <v>128</v>
      </c>
      <c r="H1151" s="154"/>
      <c r="I1151" s="154"/>
      <c r="J1151" s="154" t="s">
        <v>74</v>
      </c>
      <c r="K1151" s="154" t="s">
        <v>3394</v>
      </c>
      <c r="L1151" s="154"/>
      <c r="M1151" s="156"/>
      <c r="N1151" s="154" t="str">
        <f>IF(ISNUMBER(PL[[#This Row],[CTO]]),"CTO "&amp;PL[[#This Row],[CTO]],"Otros")</f>
        <v>CTO 10</v>
      </c>
      <c r="O1151" s="154" t="str">
        <f>IF(PL[[#This Row],[STATUS IUP]]="CERRADO","CERRADO",IF(ISNUMBER(SEARCH("validacion de enel",PL[[#This Row],[SUPPLIER NOTES]])),"PTE Validar Enel","ABIERTO"))</f>
        <v>CERRADO</v>
      </c>
      <c r="P1151" s="154" t="str">
        <f>IF(PL[[#This Row],[ESTADO]]="CERRADO","Cerrados IUP",IF(PL[[#This Row],[ESTADO]]="PTE Validar Enel","Pendiente cierre ENEL",IF(ISNUMBER(SEARCH("suministro",PL[[#This Row],[SUPPLIER NOTES]])),"Suministros",IF(PL[[#This Row],[SC]]="SOCIAL","Social",IF(ISNUMBER(SEARCH("monolito",PL[[#This Row],[DESCRIPTION]])),"Monolitos","Varios")))))</f>
        <v>Cerrados IUP</v>
      </c>
      <c r="Q11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2" spans="1:17" s="157" customFormat="1" hidden="1" x14ac:dyDescent="0.2">
      <c r="A1152" s="151" t="s">
        <v>2416</v>
      </c>
      <c r="B1152" s="154" t="s">
        <v>8</v>
      </c>
      <c r="C1152" s="152">
        <v>10</v>
      </c>
      <c r="D1152" s="153" t="s">
        <v>3385</v>
      </c>
      <c r="E1152" s="154" t="s">
        <v>2417</v>
      </c>
      <c r="F1152" s="154" t="s">
        <v>2418</v>
      </c>
      <c r="G1152" s="154" t="s">
        <v>128</v>
      </c>
      <c r="H1152" s="154" t="s">
        <v>2419</v>
      </c>
      <c r="I1152" s="154" t="s">
        <v>2419</v>
      </c>
      <c r="J1152" s="154" t="s">
        <v>74</v>
      </c>
      <c r="K1152" s="154" t="s">
        <v>3394</v>
      </c>
      <c r="L1152" s="161">
        <v>46220</v>
      </c>
      <c r="M1152" s="160">
        <v>46220</v>
      </c>
      <c r="N1152" s="154" t="str">
        <f>IF(ISNUMBER(PL[[#This Row],[CTO]]),"CTO "&amp;PL[[#This Row],[CTO]],"Otros")</f>
        <v>CTO 10</v>
      </c>
      <c r="O1152" s="154" t="str">
        <f>IF(PL[[#This Row],[STATUS IUP]]="CERRADO","CERRADO",IF(ISNUMBER(SEARCH("validacion de enel",PL[[#This Row],[SUPPLIER NOTES]])),"PTE Validar Enel","ABIERTO"))</f>
        <v>CERRADO</v>
      </c>
      <c r="P1152" s="154" t="str">
        <f>IF(PL[[#This Row],[ESTADO]]="CERRADO","Cerrados IUP",IF(PL[[#This Row],[ESTADO]]="PTE Validar Enel","Pendiente cierre ENEL",IF(ISNUMBER(SEARCH("suministro",PL[[#This Row],[SUPPLIER NOTES]])),"Suministros",IF(PL[[#This Row],[SC]]="SOCIAL","Social",IF(ISNUMBER(SEARCH("monolito",PL[[#This Row],[DESCRIPTION]])),"Monolitos","Varios")))))</f>
        <v>Cerrados IUP</v>
      </c>
      <c r="Q11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3" spans="1:17" s="157" customFormat="1" hidden="1" x14ac:dyDescent="0.2">
      <c r="A1153" s="151" t="s">
        <v>2644</v>
      </c>
      <c r="B1153" s="154" t="s">
        <v>8</v>
      </c>
      <c r="C1153" s="152">
        <v>10</v>
      </c>
      <c r="D1153" s="153" t="s">
        <v>3385</v>
      </c>
      <c r="E1153" s="154" t="s">
        <v>2645</v>
      </c>
      <c r="F1153" s="154" t="s">
        <v>2646</v>
      </c>
      <c r="G1153" s="154" t="s">
        <v>128</v>
      </c>
      <c r="H1153" s="154" t="s">
        <v>3455</v>
      </c>
      <c r="I1153" s="154" t="s">
        <v>3475</v>
      </c>
      <c r="J1153" s="154" t="s">
        <v>74</v>
      </c>
      <c r="K1153" s="154" t="s">
        <v>3394</v>
      </c>
      <c r="L1153" s="155">
        <v>46282</v>
      </c>
      <c r="M1153" s="156"/>
      <c r="N1153" s="154" t="str">
        <f>IF(ISNUMBER(PL[[#This Row],[CTO]]),"CTO "&amp;PL[[#This Row],[CTO]],"Otros")</f>
        <v>CTO 10</v>
      </c>
      <c r="O1153" s="154" t="str">
        <f>IF(PL[[#This Row],[STATUS IUP]]="CERRADO","CERRADO",IF(ISNUMBER(SEARCH("validacion de enel",PL[[#This Row],[SUPPLIER NOTES]])),"PTE Validar Enel","ABIERTO"))</f>
        <v>CERRADO</v>
      </c>
      <c r="P1153" s="154" t="str">
        <f>IF(PL[[#This Row],[ESTADO]]="CERRADO","Cerrados IUP",IF(PL[[#This Row],[ESTADO]]="PTE Validar Enel","Pendiente cierre ENEL",IF(ISNUMBER(SEARCH("suministro",PL[[#This Row],[SUPPLIER NOTES]])),"Suministros",IF(PL[[#This Row],[SC]]="SOCIAL","Social",IF(ISNUMBER(SEARCH("monolito",PL[[#This Row],[DESCRIPTION]])),"Monolitos","Varios")))))</f>
        <v>Cerrados IUP</v>
      </c>
      <c r="Q115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4" spans="1:17" s="157" customFormat="1" hidden="1" x14ac:dyDescent="0.2">
      <c r="A1154" s="151" t="s">
        <v>1997</v>
      </c>
      <c r="B1154" s="154" t="s">
        <v>8</v>
      </c>
      <c r="C1154" s="152">
        <v>10</v>
      </c>
      <c r="D1154" s="153" t="s">
        <v>3385</v>
      </c>
      <c r="E1154" s="154" t="s">
        <v>1998</v>
      </c>
      <c r="F1154" s="154" t="s">
        <v>1999</v>
      </c>
      <c r="G1154" s="154" t="s">
        <v>128</v>
      </c>
      <c r="H1154" s="154" t="s">
        <v>2000</v>
      </c>
      <c r="I1154" s="154" t="s">
        <v>2000</v>
      </c>
      <c r="J1154" s="154" t="s">
        <v>74</v>
      </c>
      <c r="K1154" s="154" t="s">
        <v>3394</v>
      </c>
      <c r="L1154" s="161">
        <v>46220</v>
      </c>
      <c r="M1154" s="160">
        <v>46220</v>
      </c>
      <c r="N1154" s="154" t="str">
        <f>IF(ISNUMBER(PL[[#This Row],[CTO]]),"CTO "&amp;PL[[#This Row],[CTO]],"Otros")</f>
        <v>CTO 10</v>
      </c>
      <c r="O1154" s="154" t="str">
        <f>IF(PL[[#This Row],[STATUS IUP]]="CERRADO","CERRADO",IF(ISNUMBER(SEARCH("validacion de enel",PL[[#This Row],[SUPPLIER NOTES]])),"PTE Validar Enel","ABIERTO"))</f>
        <v>CERRADO</v>
      </c>
      <c r="P1154" s="154" t="str">
        <f>IF(PL[[#This Row],[ESTADO]]="CERRADO","Cerrados IUP",IF(PL[[#This Row],[ESTADO]]="PTE Validar Enel","Pendiente cierre ENEL",IF(ISNUMBER(SEARCH("suministro",PL[[#This Row],[SUPPLIER NOTES]])),"Suministros",IF(PL[[#This Row],[SC]]="SOCIAL","Social",IF(ISNUMBER(SEARCH("monolito",PL[[#This Row],[DESCRIPTION]])),"Monolitos","Varios")))))</f>
        <v>Cerrados IUP</v>
      </c>
      <c r="Q115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5" spans="1:17" s="157" customFormat="1" hidden="1" x14ac:dyDescent="0.2">
      <c r="A1155" s="151" t="s">
        <v>3138</v>
      </c>
      <c r="B1155" s="154" t="s">
        <v>8</v>
      </c>
      <c r="C1155" s="152">
        <v>10</v>
      </c>
      <c r="D1155" s="153" t="s">
        <v>3385</v>
      </c>
      <c r="E1155" s="154" t="s">
        <v>3139</v>
      </c>
      <c r="F1155" s="154" t="s">
        <v>2701</v>
      </c>
      <c r="G1155" s="154" t="s">
        <v>291</v>
      </c>
      <c r="H1155" s="154" t="s">
        <v>163</v>
      </c>
      <c r="I1155" s="154" t="s">
        <v>163</v>
      </c>
      <c r="J1155" s="154" t="s">
        <v>74</v>
      </c>
      <c r="K1155" s="154" t="s">
        <v>3394</v>
      </c>
      <c r="L1155" s="161">
        <v>46155</v>
      </c>
      <c r="M1155" s="160">
        <v>46155</v>
      </c>
      <c r="N1155" s="154" t="str">
        <f>IF(ISNUMBER(PL[[#This Row],[CTO]]),"CTO "&amp;PL[[#This Row],[CTO]],"Otros")</f>
        <v>CTO 10</v>
      </c>
      <c r="O1155" s="154" t="str">
        <f>IF(PL[[#This Row],[STATUS IUP]]="CERRADO","CERRADO",IF(ISNUMBER(SEARCH("validacion de enel",PL[[#This Row],[SUPPLIER NOTES]])),"PTE Validar Enel","ABIERTO"))</f>
        <v>CERRADO</v>
      </c>
      <c r="P1155" s="154" t="str">
        <f>IF(PL[[#This Row],[ESTADO]]="CERRADO","Cerrados IUP",IF(PL[[#This Row],[ESTADO]]="PTE Validar Enel","Pendiente cierre ENEL",IF(ISNUMBER(SEARCH("suministro",PL[[#This Row],[SUPPLIER NOTES]])),"Suministros",IF(PL[[#This Row],[SC]]="SOCIAL","Social",IF(ISNUMBER(SEARCH("monolito",PL[[#This Row],[DESCRIPTION]])),"Monolitos","Varios")))))</f>
        <v>Cerrados IUP</v>
      </c>
      <c r="Q11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6" spans="1:17" s="157" customFormat="1" hidden="1" x14ac:dyDescent="0.2">
      <c r="A1156" s="151" t="s">
        <v>3140</v>
      </c>
      <c r="B1156" s="154" t="s">
        <v>8</v>
      </c>
      <c r="C1156" s="152">
        <v>10</v>
      </c>
      <c r="D1156" s="153" t="s">
        <v>3385</v>
      </c>
      <c r="E1156" s="154" t="s">
        <v>3141</v>
      </c>
      <c r="F1156" s="154" t="s">
        <v>3142</v>
      </c>
      <c r="G1156" s="154" t="s">
        <v>291</v>
      </c>
      <c r="H1156" s="154"/>
      <c r="I1156" s="154"/>
      <c r="J1156" s="154" t="s">
        <v>74</v>
      </c>
      <c r="K1156" s="154" t="s">
        <v>3394</v>
      </c>
      <c r="L1156" s="154"/>
      <c r="M1156" s="156"/>
      <c r="N1156" s="154" t="str">
        <f>IF(ISNUMBER(PL[[#This Row],[CTO]]),"CTO "&amp;PL[[#This Row],[CTO]],"Otros")</f>
        <v>CTO 10</v>
      </c>
      <c r="O1156" s="154" t="str">
        <f>IF(PL[[#This Row],[STATUS IUP]]="CERRADO","CERRADO",IF(ISNUMBER(SEARCH("validacion de enel",PL[[#This Row],[SUPPLIER NOTES]])),"PTE Validar Enel","ABIERTO"))</f>
        <v>CERRADO</v>
      </c>
      <c r="P1156" s="154" t="str">
        <f>IF(PL[[#This Row],[ESTADO]]="CERRADO","Cerrados IUP",IF(PL[[#This Row],[ESTADO]]="PTE Validar Enel","Pendiente cierre ENEL",IF(ISNUMBER(SEARCH("suministro",PL[[#This Row],[SUPPLIER NOTES]])),"Suministros",IF(PL[[#This Row],[SC]]="SOCIAL","Social",IF(ISNUMBER(SEARCH("monolito",PL[[#This Row],[DESCRIPTION]])),"Monolitos","Varios")))))</f>
        <v>Cerrados IUP</v>
      </c>
      <c r="Q11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7" spans="1:17" s="157" customFormat="1" hidden="1" x14ac:dyDescent="0.2">
      <c r="A1157" s="151" t="s">
        <v>3151</v>
      </c>
      <c r="B1157" s="154" t="s">
        <v>8</v>
      </c>
      <c r="C1157" s="152">
        <v>10</v>
      </c>
      <c r="D1157" s="153" t="s">
        <v>3385</v>
      </c>
      <c r="E1157" s="154" t="s">
        <v>3152</v>
      </c>
      <c r="F1157" s="154" t="s">
        <v>1914</v>
      </c>
      <c r="G1157" s="154" t="s">
        <v>291</v>
      </c>
      <c r="H1157" s="154" t="s">
        <v>163</v>
      </c>
      <c r="I1157" s="154" t="s">
        <v>163</v>
      </c>
      <c r="J1157" s="154" t="s">
        <v>74</v>
      </c>
      <c r="K1157" s="154" t="s">
        <v>3394</v>
      </c>
      <c r="L1157" s="161">
        <v>46155</v>
      </c>
      <c r="M1157" s="160">
        <v>46155</v>
      </c>
      <c r="N1157" s="154" t="str">
        <f>IF(ISNUMBER(PL[[#This Row],[CTO]]),"CTO "&amp;PL[[#This Row],[CTO]],"Otros")</f>
        <v>CTO 10</v>
      </c>
      <c r="O1157" s="154" t="str">
        <f>IF(PL[[#This Row],[STATUS IUP]]="CERRADO","CERRADO",IF(ISNUMBER(SEARCH("validacion de enel",PL[[#This Row],[SUPPLIER NOTES]])),"PTE Validar Enel","ABIERTO"))</f>
        <v>CERRADO</v>
      </c>
      <c r="P1157" s="154" t="str">
        <f>IF(PL[[#This Row],[ESTADO]]="CERRADO","Cerrados IUP",IF(PL[[#This Row],[ESTADO]]="PTE Validar Enel","Pendiente cierre ENEL",IF(ISNUMBER(SEARCH("suministro",PL[[#This Row],[SUPPLIER NOTES]])),"Suministros",IF(PL[[#This Row],[SC]]="SOCIAL","Social",IF(ISNUMBER(SEARCH("monolito",PL[[#This Row],[DESCRIPTION]])),"Monolitos","Varios")))))</f>
        <v>Cerrados IUP</v>
      </c>
      <c r="Q11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8" spans="1:17" s="157" customFormat="1" hidden="1" x14ac:dyDescent="0.2">
      <c r="A1158" s="151" t="s">
        <v>3153</v>
      </c>
      <c r="B1158" s="154" t="s">
        <v>8</v>
      </c>
      <c r="C1158" s="152">
        <v>10</v>
      </c>
      <c r="D1158" s="153" t="s">
        <v>3385</v>
      </c>
      <c r="E1158" s="154" t="s">
        <v>3154</v>
      </c>
      <c r="F1158" s="154" t="s">
        <v>2478</v>
      </c>
      <c r="G1158" s="154" t="s">
        <v>291</v>
      </c>
      <c r="H1158" s="154" t="s">
        <v>163</v>
      </c>
      <c r="I1158" s="154" t="s">
        <v>163</v>
      </c>
      <c r="J1158" s="154" t="s">
        <v>74</v>
      </c>
      <c r="K1158" s="154" t="s">
        <v>3394</v>
      </c>
      <c r="L1158" s="161">
        <v>46155</v>
      </c>
      <c r="M1158" s="160">
        <v>46155</v>
      </c>
      <c r="N1158" s="154" t="str">
        <f>IF(ISNUMBER(PL[[#This Row],[CTO]]),"CTO "&amp;PL[[#This Row],[CTO]],"Otros")</f>
        <v>CTO 10</v>
      </c>
      <c r="O1158" s="154" t="str">
        <f>IF(PL[[#This Row],[STATUS IUP]]="CERRADO","CERRADO",IF(ISNUMBER(SEARCH("validacion de enel",PL[[#This Row],[SUPPLIER NOTES]])),"PTE Validar Enel","ABIERTO"))</f>
        <v>CERRADO</v>
      </c>
      <c r="P1158" s="154" t="str">
        <f>IF(PL[[#This Row],[ESTADO]]="CERRADO","Cerrados IUP",IF(PL[[#This Row],[ESTADO]]="PTE Validar Enel","Pendiente cierre ENEL",IF(ISNUMBER(SEARCH("suministro",PL[[#This Row],[SUPPLIER NOTES]])),"Suministros",IF(PL[[#This Row],[SC]]="SOCIAL","Social",IF(ISNUMBER(SEARCH("monolito",PL[[#This Row],[DESCRIPTION]])),"Monolitos","Varios")))))</f>
        <v>Cerrados IUP</v>
      </c>
      <c r="Q11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59" spans="1:17" s="157" customFormat="1" hidden="1" x14ac:dyDescent="0.2">
      <c r="A1159" s="151" t="s">
        <v>3155</v>
      </c>
      <c r="B1159" s="154" t="s">
        <v>8</v>
      </c>
      <c r="C1159" s="152">
        <v>10</v>
      </c>
      <c r="D1159" s="153" t="s">
        <v>3385</v>
      </c>
      <c r="E1159" s="154" t="s">
        <v>3156</v>
      </c>
      <c r="F1159" s="154" t="s">
        <v>2683</v>
      </c>
      <c r="G1159" s="154" t="s">
        <v>291</v>
      </c>
      <c r="H1159" s="154" t="s">
        <v>163</v>
      </c>
      <c r="I1159" s="154" t="s">
        <v>163</v>
      </c>
      <c r="J1159" s="154" t="s">
        <v>74</v>
      </c>
      <c r="K1159" s="154" t="s">
        <v>3394</v>
      </c>
      <c r="L1159" s="161">
        <v>46155</v>
      </c>
      <c r="M1159" s="160">
        <v>46155</v>
      </c>
      <c r="N1159" s="154" t="str">
        <f>IF(ISNUMBER(PL[[#This Row],[CTO]]),"CTO "&amp;PL[[#This Row],[CTO]],"Otros")</f>
        <v>CTO 10</v>
      </c>
      <c r="O1159" s="154" t="str">
        <f>IF(PL[[#This Row],[STATUS IUP]]="CERRADO","CERRADO",IF(ISNUMBER(SEARCH("validacion de enel",PL[[#This Row],[SUPPLIER NOTES]])),"PTE Validar Enel","ABIERTO"))</f>
        <v>CERRADO</v>
      </c>
      <c r="P1159" s="154" t="str">
        <f>IF(PL[[#This Row],[ESTADO]]="CERRADO","Cerrados IUP",IF(PL[[#This Row],[ESTADO]]="PTE Validar Enel","Pendiente cierre ENEL",IF(ISNUMBER(SEARCH("suministro",PL[[#This Row],[SUPPLIER NOTES]])),"Suministros",IF(PL[[#This Row],[SC]]="SOCIAL","Social",IF(ISNUMBER(SEARCH("monolito",PL[[#This Row],[DESCRIPTION]])),"Monolitos","Varios")))))</f>
        <v>Cerrados IUP</v>
      </c>
      <c r="Q11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0" spans="1:17" s="157" customFormat="1" hidden="1" x14ac:dyDescent="0.2">
      <c r="A1160" s="151" t="s">
        <v>3157</v>
      </c>
      <c r="B1160" s="154" t="s">
        <v>8</v>
      </c>
      <c r="C1160" s="152">
        <v>10</v>
      </c>
      <c r="D1160" s="153" t="s">
        <v>3385</v>
      </c>
      <c r="E1160" s="154" t="s">
        <v>3158</v>
      </c>
      <c r="F1160" s="154" t="s">
        <v>1670</v>
      </c>
      <c r="G1160" s="154" t="s">
        <v>291</v>
      </c>
      <c r="H1160" s="154" t="s">
        <v>163</v>
      </c>
      <c r="I1160" s="154" t="s">
        <v>163</v>
      </c>
      <c r="J1160" s="154" t="s">
        <v>74</v>
      </c>
      <c r="K1160" s="154" t="s">
        <v>3394</v>
      </c>
      <c r="L1160" s="161">
        <v>46155</v>
      </c>
      <c r="M1160" s="160">
        <v>46155</v>
      </c>
      <c r="N1160" s="154" t="str">
        <f>IF(ISNUMBER(PL[[#This Row],[CTO]]),"CTO "&amp;PL[[#This Row],[CTO]],"Otros")</f>
        <v>CTO 10</v>
      </c>
      <c r="O1160" s="154" t="str">
        <f>IF(PL[[#This Row],[STATUS IUP]]="CERRADO","CERRADO",IF(ISNUMBER(SEARCH("validacion de enel",PL[[#This Row],[SUPPLIER NOTES]])),"PTE Validar Enel","ABIERTO"))</f>
        <v>CERRADO</v>
      </c>
      <c r="P1160" s="154" t="str">
        <f>IF(PL[[#This Row],[ESTADO]]="CERRADO","Cerrados IUP",IF(PL[[#This Row],[ESTADO]]="PTE Validar Enel","Pendiente cierre ENEL",IF(ISNUMBER(SEARCH("suministro",PL[[#This Row],[SUPPLIER NOTES]])),"Suministros",IF(PL[[#This Row],[SC]]="SOCIAL","Social",IF(ISNUMBER(SEARCH("monolito",PL[[#This Row],[DESCRIPTION]])),"Monolitos","Varios")))))</f>
        <v>Cerrados IUP</v>
      </c>
      <c r="Q11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1" spans="1:17" s="157" customFormat="1" hidden="1" x14ac:dyDescent="0.2">
      <c r="A1161" s="151" t="s">
        <v>3159</v>
      </c>
      <c r="B1161" s="154" t="s">
        <v>8</v>
      </c>
      <c r="C1161" s="152">
        <v>10</v>
      </c>
      <c r="D1161" s="153" t="s">
        <v>3385</v>
      </c>
      <c r="E1161" s="154" t="s">
        <v>3160</v>
      </c>
      <c r="F1161" s="154" t="s">
        <v>2824</v>
      </c>
      <c r="G1161" s="154" t="s">
        <v>291</v>
      </c>
      <c r="H1161" s="154" t="s">
        <v>163</v>
      </c>
      <c r="I1161" s="154" t="s">
        <v>163</v>
      </c>
      <c r="J1161" s="154" t="s">
        <v>74</v>
      </c>
      <c r="K1161" s="154" t="s">
        <v>3394</v>
      </c>
      <c r="L1161" s="161">
        <v>46155</v>
      </c>
      <c r="M1161" s="160">
        <v>46155</v>
      </c>
      <c r="N1161" s="154" t="str">
        <f>IF(ISNUMBER(PL[[#This Row],[CTO]]),"CTO "&amp;PL[[#This Row],[CTO]],"Otros")</f>
        <v>CTO 10</v>
      </c>
      <c r="O1161" s="154" t="str">
        <f>IF(PL[[#This Row],[STATUS IUP]]="CERRADO","CERRADO",IF(ISNUMBER(SEARCH("validacion de enel",PL[[#This Row],[SUPPLIER NOTES]])),"PTE Validar Enel","ABIERTO"))</f>
        <v>CERRADO</v>
      </c>
      <c r="P1161" s="154" t="str">
        <f>IF(PL[[#This Row],[ESTADO]]="CERRADO","Cerrados IUP",IF(PL[[#This Row],[ESTADO]]="PTE Validar Enel","Pendiente cierre ENEL",IF(ISNUMBER(SEARCH("suministro",PL[[#This Row],[SUPPLIER NOTES]])),"Suministros",IF(PL[[#This Row],[SC]]="SOCIAL","Social",IF(ISNUMBER(SEARCH("monolito",PL[[#This Row],[DESCRIPTION]])),"Monolitos","Varios")))))</f>
        <v>Cerrados IUP</v>
      </c>
      <c r="Q11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2" spans="1:17" s="157" customFormat="1" hidden="1" x14ac:dyDescent="0.2">
      <c r="A1162" s="151" t="s">
        <v>3161</v>
      </c>
      <c r="B1162" s="154" t="s">
        <v>8</v>
      </c>
      <c r="C1162" s="152">
        <v>10</v>
      </c>
      <c r="D1162" s="153" t="s">
        <v>3385</v>
      </c>
      <c r="E1162" s="154" t="s">
        <v>3162</v>
      </c>
      <c r="F1162" s="154" t="s">
        <v>2594</v>
      </c>
      <c r="G1162" s="154" t="s">
        <v>291</v>
      </c>
      <c r="H1162" s="154" t="s">
        <v>163</v>
      </c>
      <c r="I1162" s="154" t="s">
        <v>163</v>
      </c>
      <c r="J1162" s="154" t="s">
        <v>74</v>
      </c>
      <c r="K1162" s="154" t="s">
        <v>3394</v>
      </c>
      <c r="L1162" s="161">
        <v>46155</v>
      </c>
      <c r="M1162" s="160">
        <v>46155</v>
      </c>
      <c r="N1162" s="154" t="str">
        <f>IF(ISNUMBER(PL[[#This Row],[CTO]]),"CTO "&amp;PL[[#This Row],[CTO]],"Otros")</f>
        <v>CTO 10</v>
      </c>
      <c r="O1162" s="154" t="str">
        <f>IF(PL[[#This Row],[STATUS IUP]]="CERRADO","CERRADO",IF(ISNUMBER(SEARCH("validacion de enel",PL[[#This Row],[SUPPLIER NOTES]])),"PTE Validar Enel","ABIERTO"))</f>
        <v>CERRADO</v>
      </c>
      <c r="P1162" s="154" t="str">
        <f>IF(PL[[#This Row],[ESTADO]]="CERRADO","Cerrados IUP",IF(PL[[#This Row],[ESTADO]]="PTE Validar Enel","Pendiente cierre ENEL",IF(ISNUMBER(SEARCH("suministro",PL[[#This Row],[SUPPLIER NOTES]])),"Suministros",IF(PL[[#This Row],[SC]]="SOCIAL","Social",IF(ISNUMBER(SEARCH("monolito",PL[[#This Row],[DESCRIPTION]])),"Monolitos","Varios")))))</f>
        <v>Cerrados IUP</v>
      </c>
      <c r="Q11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3" spans="1:17" s="157" customFormat="1" hidden="1" x14ac:dyDescent="0.2">
      <c r="A1163" s="151" t="s">
        <v>3163</v>
      </c>
      <c r="B1163" s="154" t="s">
        <v>8</v>
      </c>
      <c r="C1163" s="152">
        <v>10</v>
      </c>
      <c r="D1163" s="153" t="s">
        <v>3385</v>
      </c>
      <c r="E1163" s="154" t="s">
        <v>3164</v>
      </c>
      <c r="F1163" s="154" t="s">
        <v>2442</v>
      </c>
      <c r="G1163" s="154" t="s">
        <v>291</v>
      </c>
      <c r="H1163" s="154" t="s">
        <v>163</v>
      </c>
      <c r="I1163" s="154" t="s">
        <v>163</v>
      </c>
      <c r="J1163" s="154" t="s">
        <v>74</v>
      </c>
      <c r="K1163" s="154" t="s">
        <v>3394</v>
      </c>
      <c r="L1163" s="161">
        <v>46155</v>
      </c>
      <c r="M1163" s="160">
        <v>46155</v>
      </c>
      <c r="N1163" s="154" t="str">
        <f>IF(ISNUMBER(PL[[#This Row],[CTO]]),"CTO "&amp;PL[[#This Row],[CTO]],"Otros")</f>
        <v>CTO 10</v>
      </c>
      <c r="O1163" s="154" t="str">
        <f>IF(PL[[#This Row],[STATUS IUP]]="CERRADO","CERRADO",IF(ISNUMBER(SEARCH("validacion de enel",PL[[#This Row],[SUPPLIER NOTES]])),"PTE Validar Enel","ABIERTO"))</f>
        <v>CERRADO</v>
      </c>
      <c r="P1163" s="154" t="str">
        <f>IF(PL[[#This Row],[ESTADO]]="CERRADO","Cerrados IUP",IF(PL[[#This Row],[ESTADO]]="PTE Validar Enel","Pendiente cierre ENEL",IF(ISNUMBER(SEARCH("suministro",PL[[#This Row],[SUPPLIER NOTES]])),"Suministros",IF(PL[[#This Row],[SC]]="SOCIAL","Social",IF(ISNUMBER(SEARCH("monolito",PL[[#This Row],[DESCRIPTION]])),"Monolitos","Varios")))))</f>
        <v>Cerrados IUP</v>
      </c>
      <c r="Q11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4" spans="1:17" s="157" customFormat="1" hidden="1" x14ac:dyDescent="0.2">
      <c r="A1164" s="151" t="s">
        <v>3165</v>
      </c>
      <c r="B1164" s="154" t="s">
        <v>8</v>
      </c>
      <c r="C1164" s="152">
        <v>10</v>
      </c>
      <c r="D1164" s="153" t="s">
        <v>3385</v>
      </c>
      <c r="E1164" s="154" t="s">
        <v>3166</v>
      </c>
      <c r="F1164" s="154" t="s">
        <v>2686</v>
      </c>
      <c r="G1164" s="154" t="s">
        <v>291</v>
      </c>
      <c r="H1164" s="154" t="s">
        <v>163</v>
      </c>
      <c r="I1164" s="154" t="s">
        <v>163</v>
      </c>
      <c r="J1164" s="154" t="s">
        <v>74</v>
      </c>
      <c r="K1164" s="154" t="s">
        <v>3394</v>
      </c>
      <c r="L1164" s="161">
        <v>46155</v>
      </c>
      <c r="M1164" s="160">
        <v>46155</v>
      </c>
      <c r="N1164" s="154" t="str">
        <f>IF(ISNUMBER(PL[[#This Row],[CTO]]),"CTO "&amp;PL[[#This Row],[CTO]],"Otros")</f>
        <v>CTO 10</v>
      </c>
      <c r="O1164" s="154" t="str">
        <f>IF(PL[[#This Row],[STATUS IUP]]="CERRADO","CERRADO",IF(ISNUMBER(SEARCH("validacion de enel",PL[[#This Row],[SUPPLIER NOTES]])),"PTE Validar Enel","ABIERTO"))</f>
        <v>CERRADO</v>
      </c>
      <c r="P1164" s="154" t="str">
        <f>IF(PL[[#This Row],[ESTADO]]="CERRADO","Cerrados IUP",IF(PL[[#This Row],[ESTADO]]="PTE Validar Enel","Pendiente cierre ENEL",IF(ISNUMBER(SEARCH("suministro",PL[[#This Row],[SUPPLIER NOTES]])),"Suministros",IF(PL[[#This Row],[SC]]="SOCIAL","Social",IF(ISNUMBER(SEARCH("monolito",PL[[#This Row],[DESCRIPTION]])),"Monolitos","Varios")))))</f>
        <v>Cerrados IUP</v>
      </c>
      <c r="Q11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5" spans="1:17" s="157" customFormat="1" hidden="1" x14ac:dyDescent="0.2">
      <c r="A1165" s="151" t="s">
        <v>3167</v>
      </c>
      <c r="B1165" s="154" t="s">
        <v>8</v>
      </c>
      <c r="C1165" s="152">
        <v>10</v>
      </c>
      <c r="D1165" s="153" t="s">
        <v>3385</v>
      </c>
      <c r="E1165" s="154" t="s">
        <v>3168</v>
      </c>
      <c r="F1165" s="154" t="s">
        <v>2785</v>
      </c>
      <c r="G1165" s="154" t="s">
        <v>291</v>
      </c>
      <c r="H1165" s="154" t="s">
        <v>163</v>
      </c>
      <c r="I1165" s="154" t="s">
        <v>163</v>
      </c>
      <c r="J1165" s="154" t="s">
        <v>74</v>
      </c>
      <c r="K1165" s="154" t="s">
        <v>3394</v>
      </c>
      <c r="L1165" s="161">
        <v>46155</v>
      </c>
      <c r="M1165" s="160">
        <v>46155</v>
      </c>
      <c r="N1165" s="154" t="str">
        <f>IF(ISNUMBER(PL[[#This Row],[CTO]]),"CTO "&amp;PL[[#This Row],[CTO]],"Otros")</f>
        <v>CTO 10</v>
      </c>
      <c r="O1165" s="154" t="str">
        <f>IF(PL[[#This Row],[STATUS IUP]]="CERRADO","CERRADO",IF(ISNUMBER(SEARCH("validacion de enel",PL[[#This Row],[SUPPLIER NOTES]])),"PTE Validar Enel","ABIERTO"))</f>
        <v>CERRADO</v>
      </c>
      <c r="P1165" s="154" t="str">
        <f>IF(PL[[#This Row],[ESTADO]]="CERRADO","Cerrados IUP",IF(PL[[#This Row],[ESTADO]]="PTE Validar Enel","Pendiente cierre ENEL",IF(ISNUMBER(SEARCH("suministro",PL[[#This Row],[SUPPLIER NOTES]])),"Suministros",IF(PL[[#This Row],[SC]]="SOCIAL","Social",IF(ISNUMBER(SEARCH("monolito",PL[[#This Row],[DESCRIPTION]])),"Monolitos","Varios")))))</f>
        <v>Cerrados IUP</v>
      </c>
      <c r="Q11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6" spans="1:17" s="157" customFormat="1" hidden="1" x14ac:dyDescent="0.2">
      <c r="A1166" s="151" t="s">
        <v>3169</v>
      </c>
      <c r="B1166" s="154" t="s">
        <v>8</v>
      </c>
      <c r="C1166" s="152">
        <v>10</v>
      </c>
      <c r="D1166" s="153" t="s">
        <v>3385</v>
      </c>
      <c r="E1166" s="154" t="s">
        <v>3170</v>
      </c>
      <c r="F1166" s="154" t="s">
        <v>2779</v>
      </c>
      <c r="G1166" s="154" t="s">
        <v>291</v>
      </c>
      <c r="H1166" s="154" t="s">
        <v>163</v>
      </c>
      <c r="I1166" s="154" t="s">
        <v>163</v>
      </c>
      <c r="J1166" s="154" t="s">
        <v>74</v>
      </c>
      <c r="K1166" s="154" t="s">
        <v>3394</v>
      </c>
      <c r="L1166" s="161">
        <v>46155</v>
      </c>
      <c r="M1166" s="160">
        <v>46155</v>
      </c>
      <c r="N1166" s="154" t="str">
        <f>IF(ISNUMBER(PL[[#This Row],[CTO]]),"CTO "&amp;PL[[#This Row],[CTO]],"Otros")</f>
        <v>CTO 10</v>
      </c>
      <c r="O1166" s="154" t="str">
        <f>IF(PL[[#This Row],[STATUS IUP]]="CERRADO","CERRADO",IF(ISNUMBER(SEARCH("validacion de enel",PL[[#This Row],[SUPPLIER NOTES]])),"PTE Validar Enel","ABIERTO"))</f>
        <v>CERRADO</v>
      </c>
      <c r="P1166" s="154" t="str">
        <f>IF(PL[[#This Row],[ESTADO]]="CERRADO","Cerrados IUP",IF(PL[[#This Row],[ESTADO]]="PTE Validar Enel","Pendiente cierre ENEL",IF(ISNUMBER(SEARCH("suministro",PL[[#This Row],[SUPPLIER NOTES]])),"Suministros",IF(PL[[#This Row],[SC]]="SOCIAL","Social",IF(ISNUMBER(SEARCH("monolito",PL[[#This Row],[DESCRIPTION]])),"Monolitos","Varios")))))</f>
        <v>Cerrados IUP</v>
      </c>
      <c r="Q11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7" spans="1:17" s="157" customFormat="1" hidden="1" x14ac:dyDescent="0.2">
      <c r="A1167" s="151" t="s">
        <v>3171</v>
      </c>
      <c r="B1167" s="154" t="s">
        <v>8</v>
      </c>
      <c r="C1167" s="152">
        <v>10</v>
      </c>
      <c r="D1167" s="153" t="s">
        <v>3385</v>
      </c>
      <c r="E1167" s="154" t="s">
        <v>3172</v>
      </c>
      <c r="F1167" s="154" t="s">
        <v>1917</v>
      </c>
      <c r="G1167" s="154" t="s">
        <v>291</v>
      </c>
      <c r="H1167" s="154" t="s">
        <v>163</v>
      </c>
      <c r="I1167" s="154" t="s">
        <v>163</v>
      </c>
      <c r="J1167" s="154" t="s">
        <v>74</v>
      </c>
      <c r="K1167" s="154" t="s">
        <v>3394</v>
      </c>
      <c r="L1167" s="161">
        <v>46155</v>
      </c>
      <c r="M1167" s="160">
        <v>46155</v>
      </c>
      <c r="N1167" s="154" t="str">
        <f>IF(ISNUMBER(PL[[#This Row],[CTO]]),"CTO "&amp;PL[[#This Row],[CTO]],"Otros")</f>
        <v>CTO 10</v>
      </c>
      <c r="O1167" s="154" t="str">
        <f>IF(PL[[#This Row],[STATUS IUP]]="CERRADO","CERRADO",IF(ISNUMBER(SEARCH("validacion de enel",PL[[#This Row],[SUPPLIER NOTES]])),"PTE Validar Enel","ABIERTO"))</f>
        <v>CERRADO</v>
      </c>
      <c r="P1167" s="154" t="str">
        <f>IF(PL[[#This Row],[ESTADO]]="CERRADO","Cerrados IUP",IF(PL[[#This Row],[ESTADO]]="PTE Validar Enel","Pendiente cierre ENEL",IF(ISNUMBER(SEARCH("suministro",PL[[#This Row],[SUPPLIER NOTES]])),"Suministros",IF(PL[[#This Row],[SC]]="SOCIAL","Social",IF(ISNUMBER(SEARCH("monolito",PL[[#This Row],[DESCRIPTION]])),"Monolitos","Varios")))))</f>
        <v>Cerrados IUP</v>
      </c>
      <c r="Q11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8" spans="1:17" s="157" customFormat="1" hidden="1" x14ac:dyDescent="0.2">
      <c r="A1168" s="151" t="s">
        <v>3173</v>
      </c>
      <c r="B1168" s="154" t="s">
        <v>8</v>
      </c>
      <c r="C1168" s="152">
        <v>10</v>
      </c>
      <c r="D1168" s="153" t="s">
        <v>3385</v>
      </c>
      <c r="E1168" s="154" t="s">
        <v>3174</v>
      </c>
      <c r="F1168" s="154" t="s">
        <v>1825</v>
      </c>
      <c r="G1168" s="154" t="s">
        <v>291</v>
      </c>
      <c r="H1168" s="154" t="s">
        <v>163</v>
      </c>
      <c r="I1168" s="154" t="s">
        <v>163</v>
      </c>
      <c r="J1168" s="154" t="s">
        <v>74</v>
      </c>
      <c r="K1168" s="154" t="s">
        <v>3394</v>
      </c>
      <c r="L1168" s="161">
        <v>46155</v>
      </c>
      <c r="M1168" s="160">
        <v>46155</v>
      </c>
      <c r="N1168" s="154" t="str">
        <f>IF(ISNUMBER(PL[[#This Row],[CTO]]),"CTO "&amp;PL[[#This Row],[CTO]],"Otros")</f>
        <v>CTO 10</v>
      </c>
      <c r="O1168" s="154" t="str">
        <f>IF(PL[[#This Row],[STATUS IUP]]="CERRADO","CERRADO",IF(ISNUMBER(SEARCH("validacion de enel",PL[[#This Row],[SUPPLIER NOTES]])),"PTE Validar Enel","ABIERTO"))</f>
        <v>CERRADO</v>
      </c>
      <c r="P1168" s="154" t="str">
        <f>IF(PL[[#This Row],[ESTADO]]="CERRADO","Cerrados IUP",IF(PL[[#This Row],[ESTADO]]="PTE Validar Enel","Pendiente cierre ENEL",IF(ISNUMBER(SEARCH("suministro",PL[[#This Row],[SUPPLIER NOTES]])),"Suministros",IF(PL[[#This Row],[SC]]="SOCIAL","Social",IF(ISNUMBER(SEARCH("monolito",PL[[#This Row],[DESCRIPTION]])),"Monolitos","Varios")))))</f>
        <v>Cerrados IUP</v>
      </c>
      <c r="Q11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69" spans="1:17" s="157" customFormat="1" hidden="1" x14ac:dyDescent="0.2">
      <c r="A1169" s="151" t="s">
        <v>3175</v>
      </c>
      <c r="B1169" s="154" t="s">
        <v>8</v>
      </c>
      <c r="C1169" s="152">
        <v>10</v>
      </c>
      <c r="D1169" s="153" t="s">
        <v>3385</v>
      </c>
      <c r="E1169" s="154" t="s">
        <v>3176</v>
      </c>
      <c r="F1169" s="154" t="s">
        <v>2396</v>
      </c>
      <c r="G1169" s="154" t="s">
        <v>291</v>
      </c>
      <c r="H1169" s="154" t="s">
        <v>163</v>
      </c>
      <c r="I1169" s="154" t="s">
        <v>163</v>
      </c>
      <c r="J1169" s="154" t="s">
        <v>74</v>
      </c>
      <c r="K1169" s="154" t="s">
        <v>3394</v>
      </c>
      <c r="L1169" s="161">
        <v>46155</v>
      </c>
      <c r="M1169" s="160">
        <v>46155</v>
      </c>
      <c r="N1169" s="154" t="str">
        <f>IF(ISNUMBER(PL[[#This Row],[CTO]]),"CTO "&amp;PL[[#This Row],[CTO]],"Otros")</f>
        <v>CTO 10</v>
      </c>
      <c r="O1169" s="154" t="str">
        <f>IF(PL[[#This Row],[STATUS IUP]]="CERRADO","CERRADO",IF(ISNUMBER(SEARCH("validacion de enel",PL[[#This Row],[SUPPLIER NOTES]])),"PTE Validar Enel","ABIERTO"))</f>
        <v>CERRADO</v>
      </c>
      <c r="P1169" s="154" t="str">
        <f>IF(PL[[#This Row],[ESTADO]]="CERRADO","Cerrados IUP",IF(PL[[#This Row],[ESTADO]]="PTE Validar Enel","Pendiente cierre ENEL",IF(ISNUMBER(SEARCH("suministro",PL[[#This Row],[SUPPLIER NOTES]])),"Suministros",IF(PL[[#This Row],[SC]]="SOCIAL","Social",IF(ISNUMBER(SEARCH("monolito",PL[[#This Row],[DESCRIPTION]])),"Monolitos","Varios")))))</f>
        <v>Cerrados IUP</v>
      </c>
      <c r="Q11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0" spans="1:17" s="157" customFormat="1" hidden="1" x14ac:dyDescent="0.2">
      <c r="A1170" s="151" t="s">
        <v>3177</v>
      </c>
      <c r="B1170" s="154" t="s">
        <v>8</v>
      </c>
      <c r="C1170" s="152">
        <v>10</v>
      </c>
      <c r="D1170" s="153" t="s">
        <v>3385</v>
      </c>
      <c r="E1170" s="154" t="s">
        <v>3178</v>
      </c>
      <c r="F1170" s="154" t="s">
        <v>2472</v>
      </c>
      <c r="G1170" s="154" t="s">
        <v>291</v>
      </c>
      <c r="H1170" s="154" t="s">
        <v>163</v>
      </c>
      <c r="I1170" s="154" t="s">
        <v>163</v>
      </c>
      <c r="J1170" s="154" t="s">
        <v>74</v>
      </c>
      <c r="K1170" s="154" t="s">
        <v>3394</v>
      </c>
      <c r="L1170" s="161">
        <v>46155</v>
      </c>
      <c r="M1170" s="160">
        <v>46155</v>
      </c>
      <c r="N1170" s="154" t="str">
        <f>IF(ISNUMBER(PL[[#This Row],[CTO]]),"CTO "&amp;PL[[#This Row],[CTO]],"Otros")</f>
        <v>CTO 10</v>
      </c>
      <c r="O1170" s="154" t="str">
        <f>IF(PL[[#This Row],[STATUS IUP]]="CERRADO","CERRADO",IF(ISNUMBER(SEARCH("validacion de enel",PL[[#This Row],[SUPPLIER NOTES]])),"PTE Validar Enel","ABIERTO"))</f>
        <v>CERRADO</v>
      </c>
      <c r="P1170" s="154" t="str">
        <f>IF(PL[[#This Row],[ESTADO]]="CERRADO","Cerrados IUP",IF(PL[[#This Row],[ESTADO]]="PTE Validar Enel","Pendiente cierre ENEL",IF(ISNUMBER(SEARCH("suministro",PL[[#This Row],[SUPPLIER NOTES]])),"Suministros",IF(PL[[#This Row],[SC]]="SOCIAL","Social",IF(ISNUMBER(SEARCH("monolito",PL[[#This Row],[DESCRIPTION]])),"Monolitos","Varios")))))</f>
        <v>Cerrados IUP</v>
      </c>
      <c r="Q11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1" spans="1:17" s="157" customFormat="1" hidden="1" x14ac:dyDescent="0.2">
      <c r="A1171" s="151" t="s">
        <v>3179</v>
      </c>
      <c r="B1171" s="154" t="s">
        <v>8</v>
      </c>
      <c r="C1171" s="152">
        <v>10</v>
      </c>
      <c r="D1171" s="153" t="s">
        <v>3385</v>
      </c>
      <c r="E1171" s="154" t="s">
        <v>3180</v>
      </c>
      <c r="F1171" s="154" t="s">
        <v>2773</v>
      </c>
      <c r="G1171" s="154" t="s">
        <v>291</v>
      </c>
      <c r="H1171" s="154" t="s">
        <v>163</v>
      </c>
      <c r="I1171" s="154" t="s">
        <v>163</v>
      </c>
      <c r="J1171" s="154" t="s">
        <v>74</v>
      </c>
      <c r="K1171" s="154" t="s">
        <v>3394</v>
      </c>
      <c r="L1171" s="161">
        <v>46155</v>
      </c>
      <c r="M1171" s="160">
        <v>46155</v>
      </c>
      <c r="N1171" s="154" t="str">
        <f>IF(ISNUMBER(PL[[#This Row],[CTO]]),"CTO "&amp;PL[[#This Row],[CTO]],"Otros")</f>
        <v>CTO 10</v>
      </c>
      <c r="O1171" s="154" t="str">
        <f>IF(PL[[#This Row],[STATUS IUP]]="CERRADO","CERRADO",IF(ISNUMBER(SEARCH("validacion de enel",PL[[#This Row],[SUPPLIER NOTES]])),"PTE Validar Enel","ABIERTO"))</f>
        <v>CERRADO</v>
      </c>
      <c r="P1171" s="154" t="str">
        <f>IF(PL[[#This Row],[ESTADO]]="CERRADO","Cerrados IUP",IF(PL[[#This Row],[ESTADO]]="PTE Validar Enel","Pendiente cierre ENEL",IF(ISNUMBER(SEARCH("suministro",PL[[#This Row],[SUPPLIER NOTES]])),"Suministros",IF(PL[[#This Row],[SC]]="SOCIAL","Social",IF(ISNUMBER(SEARCH("monolito",PL[[#This Row],[DESCRIPTION]])),"Monolitos","Varios")))))</f>
        <v>Cerrados IUP</v>
      </c>
      <c r="Q11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2" spans="1:17" s="157" customFormat="1" hidden="1" x14ac:dyDescent="0.2">
      <c r="A1172" s="151" t="s">
        <v>3181</v>
      </c>
      <c r="B1172" s="154" t="s">
        <v>8</v>
      </c>
      <c r="C1172" s="152">
        <v>10</v>
      </c>
      <c r="D1172" s="153" t="s">
        <v>3385</v>
      </c>
      <c r="E1172" s="154" t="s">
        <v>3182</v>
      </c>
      <c r="F1172" s="154" t="s">
        <v>2767</v>
      </c>
      <c r="G1172" s="154" t="s">
        <v>291</v>
      </c>
      <c r="H1172" s="154" t="s">
        <v>163</v>
      </c>
      <c r="I1172" s="154" t="s">
        <v>163</v>
      </c>
      <c r="J1172" s="154" t="s">
        <v>74</v>
      </c>
      <c r="K1172" s="154" t="s">
        <v>3394</v>
      </c>
      <c r="L1172" s="161">
        <v>46155</v>
      </c>
      <c r="M1172" s="160">
        <v>46155</v>
      </c>
      <c r="N1172" s="154" t="str">
        <f>IF(ISNUMBER(PL[[#This Row],[CTO]]),"CTO "&amp;PL[[#This Row],[CTO]],"Otros")</f>
        <v>CTO 10</v>
      </c>
      <c r="O1172" s="154" t="str">
        <f>IF(PL[[#This Row],[STATUS IUP]]="CERRADO","CERRADO",IF(ISNUMBER(SEARCH("validacion de enel",PL[[#This Row],[SUPPLIER NOTES]])),"PTE Validar Enel","ABIERTO"))</f>
        <v>CERRADO</v>
      </c>
      <c r="P1172" s="154" t="str">
        <f>IF(PL[[#This Row],[ESTADO]]="CERRADO","Cerrados IUP",IF(PL[[#This Row],[ESTADO]]="PTE Validar Enel","Pendiente cierre ENEL",IF(ISNUMBER(SEARCH("suministro",PL[[#This Row],[SUPPLIER NOTES]])),"Suministros",IF(PL[[#This Row],[SC]]="SOCIAL","Social",IF(ISNUMBER(SEARCH("monolito",PL[[#This Row],[DESCRIPTION]])),"Monolitos","Varios")))))</f>
        <v>Cerrados IUP</v>
      </c>
      <c r="Q11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3" spans="1:17" s="157" customFormat="1" hidden="1" x14ac:dyDescent="0.2">
      <c r="A1173" s="151" t="s">
        <v>3183</v>
      </c>
      <c r="B1173" s="154" t="s">
        <v>8</v>
      </c>
      <c r="C1173" s="152">
        <v>10</v>
      </c>
      <c r="D1173" s="153" t="s">
        <v>3385</v>
      </c>
      <c r="E1173" s="154" t="s">
        <v>3184</v>
      </c>
      <c r="F1173" s="154" t="s">
        <v>2689</v>
      </c>
      <c r="G1173" s="154" t="s">
        <v>291</v>
      </c>
      <c r="H1173" s="154" t="s">
        <v>163</v>
      </c>
      <c r="I1173" s="154" t="s">
        <v>163</v>
      </c>
      <c r="J1173" s="154" t="s">
        <v>74</v>
      </c>
      <c r="K1173" s="154" t="s">
        <v>3394</v>
      </c>
      <c r="L1173" s="161">
        <v>46155</v>
      </c>
      <c r="M1173" s="160">
        <v>46155</v>
      </c>
      <c r="N1173" s="154" t="str">
        <f>IF(ISNUMBER(PL[[#This Row],[CTO]]),"CTO "&amp;PL[[#This Row],[CTO]],"Otros")</f>
        <v>CTO 10</v>
      </c>
      <c r="O1173" s="154" t="str">
        <f>IF(PL[[#This Row],[STATUS IUP]]="CERRADO","CERRADO",IF(ISNUMBER(SEARCH("validacion de enel",PL[[#This Row],[SUPPLIER NOTES]])),"PTE Validar Enel","ABIERTO"))</f>
        <v>CERRADO</v>
      </c>
      <c r="P1173" s="154" t="str">
        <f>IF(PL[[#This Row],[ESTADO]]="CERRADO","Cerrados IUP",IF(PL[[#This Row],[ESTADO]]="PTE Validar Enel","Pendiente cierre ENEL",IF(ISNUMBER(SEARCH("suministro",PL[[#This Row],[SUPPLIER NOTES]])),"Suministros",IF(PL[[#This Row],[SC]]="SOCIAL","Social",IF(ISNUMBER(SEARCH("monolito",PL[[#This Row],[DESCRIPTION]])),"Monolitos","Varios")))))</f>
        <v>Cerrados IUP</v>
      </c>
      <c r="Q11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4" spans="1:17" s="157" customFormat="1" hidden="1" x14ac:dyDescent="0.2">
      <c r="A1174" s="151" t="s">
        <v>3311</v>
      </c>
      <c r="B1174" s="154" t="s">
        <v>8</v>
      </c>
      <c r="C1174" s="152">
        <v>10</v>
      </c>
      <c r="D1174" s="153" t="s">
        <v>3385</v>
      </c>
      <c r="E1174" s="154" t="s">
        <v>3312</v>
      </c>
      <c r="F1174" s="154" t="s">
        <v>2475</v>
      </c>
      <c r="G1174" s="154" t="s">
        <v>291</v>
      </c>
      <c r="H1174" s="154" t="s">
        <v>163</v>
      </c>
      <c r="I1174" s="154" t="s">
        <v>163</v>
      </c>
      <c r="J1174" s="154" t="s">
        <v>74</v>
      </c>
      <c r="K1174" s="154" t="s">
        <v>3394</v>
      </c>
      <c r="L1174" s="161">
        <v>46155</v>
      </c>
      <c r="M1174" s="160">
        <v>46155</v>
      </c>
      <c r="N1174" s="154" t="str">
        <f>IF(ISNUMBER(PL[[#This Row],[CTO]]),"CTO "&amp;PL[[#This Row],[CTO]],"Otros")</f>
        <v>CTO 10</v>
      </c>
      <c r="O1174" s="154" t="str">
        <f>IF(PL[[#This Row],[STATUS IUP]]="CERRADO","CERRADO",IF(ISNUMBER(SEARCH("validacion de enel",PL[[#This Row],[SUPPLIER NOTES]])),"PTE Validar Enel","ABIERTO"))</f>
        <v>CERRADO</v>
      </c>
      <c r="P1174" s="154" t="str">
        <f>IF(PL[[#This Row],[ESTADO]]="CERRADO","Cerrados IUP",IF(PL[[#This Row],[ESTADO]]="PTE Validar Enel","Pendiente cierre ENEL",IF(ISNUMBER(SEARCH("suministro",PL[[#This Row],[SUPPLIER NOTES]])),"Suministros",IF(PL[[#This Row],[SC]]="SOCIAL","Social",IF(ISNUMBER(SEARCH("monolito",PL[[#This Row],[DESCRIPTION]])),"Monolitos","Varios")))))</f>
        <v>Cerrados IUP</v>
      </c>
      <c r="Q11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5" spans="1:17" s="157" customFormat="1" hidden="1" x14ac:dyDescent="0.2">
      <c r="A1175" s="151" t="s">
        <v>3185</v>
      </c>
      <c r="B1175" s="154" t="s">
        <v>8</v>
      </c>
      <c r="C1175" s="152">
        <v>10</v>
      </c>
      <c r="D1175" s="153" t="s">
        <v>3385</v>
      </c>
      <c r="E1175" s="154" t="s">
        <v>3186</v>
      </c>
      <c r="F1175" s="154" t="s">
        <v>2704</v>
      </c>
      <c r="G1175" s="154" t="s">
        <v>291</v>
      </c>
      <c r="H1175" s="154" t="s">
        <v>163</v>
      </c>
      <c r="I1175" s="154" t="s">
        <v>163</v>
      </c>
      <c r="J1175" s="154" t="s">
        <v>74</v>
      </c>
      <c r="K1175" s="154" t="s">
        <v>3394</v>
      </c>
      <c r="L1175" s="161">
        <v>46155</v>
      </c>
      <c r="M1175" s="160">
        <v>46155</v>
      </c>
      <c r="N1175" s="154" t="str">
        <f>IF(ISNUMBER(PL[[#This Row],[CTO]]),"CTO "&amp;PL[[#This Row],[CTO]],"Otros")</f>
        <v>CTO 10</v>
      </c>
      <c r="O1175" s="154" t="str">
        <f>IF(PL[[#This Row],[STATUS IUP]]="CERRADO","CERRADO",IF(ISNUMBER(SEARCH("validacion de enel",PL[[#This Row],[SUPPLIER NOTES]])),"PTE Validar Enel","ABIERTO"))</f>
        <v>CERRADO</v>
      </c>
      <c r="P1175" s="154" t="str">
        <f>IF(PL[[#This Row],[ESTADO]]="CERRADO","Cerrados IUP",IF(PL[[#This Row],[ESTADO]]="PTE Validar Enel","Pendiente cierre ENEL",IF(ISNUMBER(SEARCH("suministro",PL[[#This Row],[SUPPLIER NOTES]])),"Suministros",IF(PL[[#This Row],[SC]]="SOCIAL","Social",IF(ISNUMBER(SEARCH("monolito",PL[[#This Row],[DESCRIPTION]])),"Monolitos","Varios")))))</f>
        <v>Cerrados IUP</v>
      </c>
      <c r="Q11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6" spans="1:17" s="157" customFormat="1" hidden="1" x14ac:dyDescent="0.2">
      <c r="A1176" s="151" t="s">
        <v>3197</v>
      </c>
      <c r="B1176" s="154" t="s">
        <v>8</v>
      </c>
      <c r="C1176" s="152">
        <v>10</v>
      </c>
      <c r="D1176" s="153" t="s">
        <v>3385</v>
      </c>
      <c r="E1176" s="154" t="s">
        <v>3198</v>
      </c>
      <c r="F1176" s="154" t="s">
        <v>1713</v>
      </c>
      <c r="G1176" s="154" t="s">
        <v>291</v>
      </c>
      <c r="H1176" s="154" t="s">
        <v>163</v>
      </c>
      <c r="I1176" s="154" t="s">
        <v>163</v>
      </c>
      <c r="J1176" s="154" t="s">
        <v>74</v>
      </c>
      <c r="K1176" s="154" t="s">
        <v>3394</v>
      </c>
      <c r="L1176" s="161">
        <v>46155</v>
      </c>
      <c r="M1176" s="160">
        <v>46155</v>
      </c>
      <c r="N1176" s="154" t="str">
        <f>IF(ISNUMBER(PL[[#This Row],[CTO]]),"CTO "&amp;PL[[#This Row],[CTO]],"Otros")</f>
        <v>CTO 10</v>
      </c>
      <c r="O1176" s="154" t="str">
        <f>IF(PL[[#This Row],[STATUS IUP]]="CERRADO","CERRADO",IF(ISNUMBER(SEARCH("validacion de enel",PL[[#This Row],[SUPPLIER NOTES]])),"PTE Validar Enel","ABIERTO"))</f>
        <v>CERRADO</v>
      </c>
      <c r="P1176" s="154" t="str">
        <f>IF(PL[[#This Row],[ESTADO]]="CERRADO","Cerrados IUP",IF(PL[[#This Row],[ESTADO]]="PTE Validar Enel","Pendiente cierre ENEL",IF(ISNUMBER(SEARCH("suministro",PL[[#This Row],[SUPPLIER NOTES]])),"Suministros",IF(PL[[#This Row],[SC]]="SOCIAL","Social",IF(ISNUMBER(SEARCH("monolito",PL[[#This Row],[DESCRIPTION]])),"Monolitos","Varios")))))</f>
        <v>Cerrados IUP</v>
      </c>
      <c r="Q11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7" spans="1:17" s="157" customFormat="1" hidden="1" x14ac:dyDescent="0.2">
      <c r="A1177" s="151" t="s">
        <v>3199</v>
      </c>
      <c r="B1177" s="154" t="s">
        <v>8</v>
      </c>
      <c r="C1177" s="152">
        <v>10</v>
      </c>
      <c r="D1177" s="153" t="s">
        <v>3385</v>
      </c>
      <c r="E1177" s="154" t="s">
        <v>3200</v>
      </c>
      <c r="F1177" s="154" t="s">
        <v>1707</v>
      </c>
      <c r="G1177" s="154" t="s">
        <v>291</v>
      </c>
      <c r="H1177" s="154" t="s">
        <v>163</v>
      </c>
      <c r="I1177" s="154" t="s">
        <v>163</v>
      </c>
      <c r="J1177" s="154" t="s">
        <v>74</v>
      </c>
      <c r="K1177" s="154" t="s">
        <v>3394</v>
      </c>
      <c r="L1177" s="161">
        <v>46155</v>
      </c>
      <c r="M1177" s="160">
        <v>46155</v>
      </c>
      <c r="N1177" s="154" t="str">
        <f>IF(ISNUMBER(PL[[#This Row],[CTO]]),"CTO "&amp;PL[[#This Row],[CTO]],"Otros")</f>
        <v>CTO 10</v>
      </c>
      <c r="O1177" s="154" t="str">
        <f>IF(PL[[#This Row],[STATUS IUP]]="CERRADO","CERRADO",IF(ISNUMBER(SEARCH("validacion de enel",PL[[#This Row],[SUPPLIER NOTES]])),"PTE Validar Enel","ABIERTO"))</f>
        <v>CERRADO</v>
      </c>
      <c r="P1177" s="154" t="str">
        <f>IF(PL[[#This Row],[ESTADO]]="CERRADO","Cerrados IUP",IF(PL[[#This Row],[ESTADO]]="PTE Validar Enel","Pendiente cierre ENEL",IF(ISNUMBER(SEARCH("suministro",PL[[#This Row],[SUPPLIER NOTES]])),"Suministros",IF(PL[[#This Row],[SC]]="SOCIAL","Social",IF(ISNUMBER(SEARCH("monolito",PL[[#This Row],[DESCRIPTION]])),"Monolitos","Varios")))))</f>
        <v>Cerrados IUP</v>
      </c>
      <c r="Q11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8" spans="1:17" s="157" customFormat="1" hidden="1" x14ac:dyDescent="0.2">
      <c r="A1178" s="151" t="s">
        <v>3201</v>
      </c>
      <c r="B1178" s="154" t="s">
        <v>8</v>
      </c>
      <c r="C1178" s="152">
        <v>10</v>
      </c>
      <c r="D1178" s="153" t="s">
        <v>3385</v>
      </c>
      <c r="E1178" s="154" t="s">
        <v>3202</v>
      </c>
      <c r="F1178" s="154" t="s">
        <v>2451</v>
      </c>
      <c r="G1178" s="154" t="s">
        <v>291</v>
      </c>
      <c r="H1178" s="154" t="s">
        <v>163</v>
      </c>
      <c r="I1178" s="154" t="s">
        <v>163</v>
      </c>
      <c r="J1178" s="154" t="s">
        <v>74</v>
      </c>
      <c r="K1178" s="154" t="s">
        <v>3394</v>
      </c>
      <c r="L1178" s="161">
        <v>46155</v>
      </c>
      <c r="M1178" s="160">
        <v>46155</v>
      </c>
      <c r="N1178" s="154" t="str">
        <f>IF(ISNUMBER(PL[[#This Row],[CTO]]),"CTO "&amp;PL[[#This Row],[CTO]],"Otros")</f>
        <v>CTO 10</v>
      </c>
      <c r="O1178" s="154" t="str">
        <f>IF(PL[[#This Row],[STATUS IUP]]="CERRADO","CERRADO",IF(ISNUMBER(SEARCH("validacion de enel",PL[[#This Row],[SUPPLIER NOTES]])),"PTE Validar Enel","ABIERTO"))</f>
        <v>CERRADO</v>
      </c>
      <c r="P1178" s="154" t="str">
        <f>IF(PL[[#This Row],[ESTADO]]="CERRADO","Cerrados IUP",IF(PL[[#This Row],[ESTADO]]="PTE Validar Enel","Pendiente cierre ENEL",IF(ISNUMBER(SEARCH("suministro",PL[[#This Row],[SUPPLIER NOTES]])),"Suministros",IF(PL[[#This Row],[SC]]="SOCIAL","Social",IF(ISNUMBER(SEARCH("monolito",PL[[#This Row],[DESCRIPTION]])),"Monolitos","Varios")))))</f>
        <v>Cerrados IUP</v>
      </c>
      <c r="Q11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79" spans="1:17" s="157" customFormat="1" hidden="1" x14ac:dyDescent="0.2">
      <c r="A1179" s="151" t="s">
        <v>3203</v>
      </c>
      <c r="B1179" s="154" t="s">
        <v>8</v>
      </c>
      <c r="C1179" s="152">
        <v>10</v>
      </c>
      <c r="D1179" s="153" t="s">
        <v>3385</v>
      </c>
      <c r="E1179" s="154" t="s">
        <v>3204</v>
      </c>
      <c r="F1179" s="154" t="s">
        <v>2764</v>
      </c>
      <c r="G1179" s="154" t="s">
        <v>291</v>
      </c>
      <c r="H1179" s="154" t="s">
        <v>163</v>
      </c>
      <c r="I1179" s="154" t="s">
        <v>163</v>
      </c>
      <c r="J1179" s="154" t="s">
        <v>74</v>
      </c>
      <c r="K1179" s="154" t="s">
        <v>3394</v>
      </c>
      <c r="L1179" s="161">
        <v>46155</v>
      </c>
      <c r="M1179" s="160">
        <v>46155</v>
      </c>
      <c r="N1179" s="154" t="str">
        <f>IF(ISNUMBER(PL[[#This Row],[CTO]]),"CTO "&amp;PL[[#This Row],[CTO]],"Otros")</f>
        <v>CTO 10</v>
      </c>
      <c r="O1179" s="154" t="str">
        <f>IF(PL[[#This Row],[STATUS IUP]]="CERRADO","CERRADO",IF(ISNUMBER(SEARCH("validacion de enel",PL[[#This Row],[SUPPLIER NOTES]])),"PTE Validar Enel","ABIERTO"))</f>
        <v>CERRADO</v>
      </c>
      <c r="P1179" s="154" t="str">
        <f>IF(PL[[#This Row],[ESTADO]]="CERRADO","Cerrados IUP",IF(PL[[#This Row],[ESTADO]]="PTE Validar Enel","Pendiente cierre ENEL",IF(ISNUMBER(SEARCH("suministro",PL[[#This Row],[SUPPLIER NOTES]])),"Suministros",IF(PL[[#This Row],[SC]]="SOCIAL","Social",IF(ISNUMBER(SEARCH("monolito",PL[[#This Row],[DESCRIPTION]])),"Monolitos","Varios")))))</f>
        <v>Cerrados IUP</v>
      </c>
      <c r="Q11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0" spans="1:17" s="157" customFormat="1" hidden="1" x14ac:dyDescent="0.2">
      <c r="A1180" s="151" t="s">
        <v>3205</v>
      </c>
      <c r="B1180" s="154" t="s">
        <v>8</v>
      </c>
      <c r="C1180" s="152">
        <v>10</v>
      </c>
      <c r="D1180" s="153" t="s">
        <v>3385</v>
      </c>
      <c r="E1180" s="154" t="s">
        <v>3206</v>
      </c>
      <c r="F1180" s="154" t="s">
        <v>1704</v>
      </c>
      <c r="G1180" s="154" t="s">
        <v>291</v>
      </c>
      <c r="H1180" s="154" t="s">
        <v>163</v>
      </c>
      <c r="I1180" s="154" t="s">
        <v>163</v>
      </c>
      <c r="J1180" s="154" t="s">
        <v>74</v>
      </c>
      <c r="K1180" s="154" t="s">
        <v>3394</v>
      </c>
      <c r="L1180" s="161">
        <v>46155</v>
      </c>
      <c r="M1180" s="160">
        <v>46155</v>
      </c>
      <c r="N1180" s="154" t="str">
        <f>IF(ISNUMBER(PL[[#This Row],[CTO]]),"CTO "&amp;PL[[#This Row],[CTO]],"Otros")</f>
        <v>CTO 10</v>
      </c>
      <c r="O1180" s="154" t="str">
        <f>IF(PL[[#This Row],[STATUS IUP]]="CERRADO","CERRADO",IF(ISNUMBER(SEARCH("validacion de enel",PL[[#This Row],[SUPPLIER NOTES]])),"PTE Validar Enel","ABIERTO"))</f>
        <v>CERRADO</v>
      </c>
      <c r="P1180" s="154" t="str">
        <f>IF(PL[[#This Row],[ESTADO]]="CERRADO","Cerrados IUP",IF(PL[[#This Row],[ESTADO]]="PTE Validar Enel","Pendiente cierre ENEL",IF(ISNUMBER(SEARCH("suministro",PL[[#This Row],[SUPPLIER NOTES]])),"Suministros",IF(PL[[#This Row],[SC]]="SOCIAL","Social",IF(ISNUMBER(SEARCH("monolito",PL[[#This Row],[DESCRIPTION]])),"Monolitos","Varios")))))</f>
        <v>Cerrados IUP</v>
      </c>
      <c r="Q11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1" spans="1:17" s="157" customFormat="1" hidden="1" x14ac:dyDescent="0.2">
      <c r="A1181" s="151" t="s">
        <v>3207</v>
      </c>
      <c r="B1181" s="154" t="s">
        <v>8</v>
      </c>
      <c r="C1181" s="152">
        <v>10</v>
      </c>
      <c r="D1181" s="153" t="s">
        <v>3385</v>
      </c>
      <c r="E1181" s="154" t="s">
        <v>3208</v>
      </c>
      <c r="F1181" s="154" t="s">
        <v>1908</v>
      </c>
      <c r="G1181" s="154" t="s">
        <v>291</v>
      </c>
      <c r="H1181" s="154" t="s">
        <v>163</v>
      </c>
      <c r="I1181" s="154" t="s">
        <v>163</v>
      </c>
      <c r="J1181" s="154" t="s">
        <v>74</v>
      </c>
      <c r="K1181" s="154" t="s">
        <v>3394</v>
      </c>
      <c r="L1181" s="161">
        <v>46155</v>
      </c>
      <c r="M1181" s="160">
        <v>46155</v>
      </c>
      <c r="N1181" s="154" t="str">
        <f>IF(ISNUMBER(PL[[#This Row],[CTO]]),"CTO "&amp;PL[[#This Row],[CTO]],"Otros")</f>
        <v>CTO 10</v>
      </c>
      <c r="O1181" s="154" t="str">
        <f>IF(PL[[#This Row],[STATUS IUP]]="CERRADO","CERRADO",IF(ISNUMBER(SEARCH("validacion de enel",PL[[#This Row],[SUPPLIER NOTES]])),"PTE Validar Enel","ABIERTO"))</f>
        <v>CERRADO</v>
      </c>
      <c r="P1181" s="154" t="str">
        <f>IF(PL[[#This Row],[ESTADO]]="CERRADO","Cerrados IUP",IF(PL[[#This Row],[ESTADO]]="PTE Validar Enel","Pendiente cierre ENEL",IF(ISNUMBER(SEARCH("suministro",PL[[#This Row],[SUPPLIER NOTES]])),"Suministros",IF(PL[[#This Row],[SC]]="SOCIAL","Social",IF(ISNUMBER(SEARCH("monolito",PL[[#This Row],[DESCRIPTION]])),"Monolitos","Varios")))))</f>
        <v>Cerrados IUP</v>
      </c>
      <c r="Q11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2" spans="1:17" s="157" customFormat="1" hidden="1" x14ac:dyDescent="0.2">
      <c r="A1182" s="151" t="s">
        <v>3209</v>
      </c>
      <c r="B1182" s="154" t="s">
        <v>8</v>
      </c>
      <c r="C1182" s="152">
        <v>10</v>
      </c>
      <c r="D1182" s="153" t="s">
        <v>3385</v>
      </c>
      <c r="E1182" s="154" t="s">
        <v>3210</v>
      </c>
      <c r="F1182" s="154" t="s">
        <v>1710</v>
      </c>
      <c r="G1182" s="154" t="s">
        <v>291</v>
      </c>
      <c r="H1182" s="154" t="s">
        <v>163</v>
      </c>
      <c r="I1182" s="154" t="s">
        <v>163</v>
      </c>
      <c r="J1182" s="154" t="s">
        <v>74</v>
      </c>
      <c r="K1182" s="154" t="s">
        <v>3394</v>
      </c>
      <c r="L1182" s="161">
        <v>46155</v>
      </c>
      <c r="M1182" s="160">
        <v>46155</v>
      </c>
      <c r="N1182" s="154" t="str">
        <f>IF(ISNUMBER(PL[[#This Row],[CTO]]),"CTO "&amp;PL[[#This Row],[CTO]],"Otros")</f>
        <v>CTO 10</v>
      </c>
      <c r="O1182" s="154" t="str">
        <f>IF(PL[[#This Row],[STATUS IUP]]="CERRADO","CERRADO",IF(ISNUMBER(SEARCH("validacion de enel",PL[[#This Row],[SUPPLIER NOTES]])),"PTE Validar Enel","ABIERTO"))</f>
        <v>CERRADO</v>
      </c>
      <c r="P1182" s="154" t="str">
        <f>IF(PL[[#This Row],[ESTADO]]="CERRADO","Cerrados IUP",IF(PL[[#This Row],[ESTADO]]="PTE Validar Enel","Pendiente cierre ENEL",IF(ISNUMBER(SEARCH("suministro",PL[[#This Row],[SUPPLIER NOTES]])),"Suministros",IF(PL[[#This Row],[SC]]="SOCIAL","Social",IF(ISNUMBER(SEARCH("monolito",PL[[#This Row],[DESCRIPTION]])),"Monolitos","Varios")))))</f>
        <v>Cerrados IUP</v>
      </c>
      <c r="Q11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3" spans="1:17" s="157" customFormat="1" hidden="1" x14ac:dyDescent="0.2">
      <c r="A1183" s="151" t="s">
        <v>3211</v>
      </c>
      <c r="B1183" s="154" t="s">
        <v>8</v>
      </c>
      <c r="C1183" s="152">
        <v>10</v>
      </c>
      <c r="D1183" s="153" t="s">
        <v>3385</v>
      </c>
      <c r="E1183" s="154" t="s">
        <v>3212</v>
      </c>
      <c r="F1183" s="154" t="s">
        <v>1902</v>
      </c>
      <c r="G1183" s="154" t="s">
        <v>291</v>
      </c>
      <c r="H1183" s="154" t="s">
        <v>163</v>
      </c>
      <c r="I1183" s="154" t="s">
        <v>163</v>
      </c>
      <c r="J1183" s="154" t="s">
        <v>74</v>
      </c>
      <c r="K1183" s="154" t="s">
        <v>3394</v>
      </c>
      <c r="L1183" s="161">
        <v>46155</v>
      </c>
      <c r="M1183" s="160">
        <v>46155</v>
      </c>
      <c r="N1183" s="154" t="str">
        <f>IF(ISNUMBER(PL[[#This Row],[CTO]]),"CTO "&amp;PL[[#This Row],[CTO]],"Otros")</f>
        <v>CTO 10</v>
      </c>
      <c r="O1183" s="154" t="str">
        <f>IF(PL[[#This Row],[STATUS IUP]]="CERRADO","CERRADO",IF(ISNUMBER(SEARCH("validacion de enel",PL[[#This Row],[SUPPLIER NOTES]])),"PTE Validar Enel","ABIERTO"))</f>
        <v>CERRADO</v>
      </c>
      <c r="P1183" s="154" t="str">
        <f>IF(PL[[#This Row],[ESTADO]]="CERRADO","Cerrados IUP",IF(PL[[#This Row],[ESTADO]]="PTE Validar Enel","Pendiente cierre ENEL",IF(ISNUMBER(SEARCH("suministro",PL[[#This Row],[SUPPLIER NOTES]])),"Suministros",IF(PL[[#This Row],[SC]]="SOCIAL","Social",IF(ISNUMBER(SEARCH("monolito",PL[[#This Row],[DESCRIPTION]])),"Monolitos","Varios")))))</f>
        <v>Cerrados IUP</v>
      </c>
      <c r="Q11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4" spans="1:17" s="157" customFormat="1" hidden="1" x14ac:dyDescent="0.2">
      <c r="A1184" s="151" t="s">
        <v>3213</v>
      </c>
      <c r="B1184" s="154" t="s">
        <v>8</v>
      </c>
      <c r="C1184" s="152">
        <v>10</v>
      </c>
      <c r="D1184" s="153" t="s">
        <v>3385</v>
      </c>
      <c r="E1184" s="154" t="s">
        <v>3214</v>
      </c>
      <c r="F1184" s="154" t="s">
        <v>2892</v>
      </c>
      <c r="G1184" s="154" t="s">
        <v>291</v>
      </c>
      <c r="H1184" s="154" t="s">
        <v>163</v>
      </c>
      <c r="I1184" s="154" t="s">
        <v>163</v>
      </c>
      <c r="J1184" s="154" t="s">
        <v>74</v>
      </c>
      <c r="K1184" s="154" t="s">
        <v>3394</v>
      </c>
      <c r="L1184" s="161">
        <v>46155</v>
      </c>
      <c r="M1184" s="160">
        <v>46155</v>
      </c>
      <c r="N1184" s="154" t="str">
        <f>IF(ISNUMBER(PL[[#This Row],[CTO]]),"CTO "&amp;PL[[#This Row],[CTO]],"Otros")</f>
        <v>CTO 10</v>
      </c>
      <c r="O1184" s="154" t="str">
        <f>IF(PL[[#This Row],[STATUS IUP]]="CERRADO","CERRADO",IF(ISNUMBER(SEARCH("validacion de enel",PL[[#This Row],[SUPPLIER NOTES]])),"PTE Validar Enel","ABIERTO"))</f>
        <v>CERRADO</v>
      </c>
      <c r="P1184" s="154" t="str">
        <f>IF(PL[[#This Row],[ESTADO]]="CERRADO","Cerrados IUP",IF(PL[[#This Row],[ESTADO]]="PTE Validar Enel","Pendiente cierre ENEL",IF(ISNUMBER(SEARCH("suministro",PL[[#This Row],[SUPPLIER NOTES]])),"Suministros",IF(PL[[#This Row],[SC]]="SOCIAL","Social",IF(ISNUMBER(SEARCH("monolito",PL[[#This Row],[DESCRIPTION]])),"Monolitos","Varios")))))</f>
        <v>Cerrados IUP</v>
      </c>
      <c r="Q11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5" spans="1:17" s="157" customFormat="1" hidden="1" x14ac:dyDescent="0.2">
      <c r="A1185" s="151" t="s">
        <v>3215</v>
      </c>
      <c r="B1185" s="154" t="s">
        <v>8</v>
      </c>
      <c r="C1185" s="152">
        <v>10</v>
      </c>
      <c r="D1185" s="153" t="s">
        <v>3385</v>
      </c>
      <c r="E1185" s="154" t="s">
        <v>3216</v>
      </c>
      <c r="F1185" s="154" t="s">
        <v>2623</v>
      </c>
      <c r="G1185" s="154" t="s">
        <v>291</v>
      </c>
      <c r="H1185" s="154" t="s">
        <v>163</v>
      </c>
      <c r="I1185" s="154" t="s">
        <v>163</v>
      </c>
      <c r="J1185" s="154" t="s">
        <v>74</v>
      </c>
      <c r="K1185" s="154" t="s">
        <v>3394</v>
      </c>
      <c r="L1185" s="161">
        <v>46155</v>
      </c>
      <c r="M1185" s="160">
        <v>46155</v>
      </c>
      <c r="N1185" s="154" t="str">
        <f>IF(ISNUMBER(PL[[#This Row],[CTO]]),"CTO "&amp;PL[[#This Row],[CTO]],"Otros")</f>
        <v>CTO 10</v>
      </c>
      <c r="O1185" s="154" t="str">
        <f>IF(PL[[#This Row],[STATUS IUP]]="CERRADO","CERRADO",IF(ISNUMBER(SEARCH("validacion de enel",PL[[#This Row],[SUPPLIER NOTES]])),"PTE Validar Enel","ABIERTO"))</f>
        <v>CERRADO</v>
      </c>
      <c r="P1185" s="154" t="str">
        <f>IF(PL[[#This Row],[ESTADO]]="CERRADO","Cerrados IUP",IF(PL[[#This Row],[ESTADO]]="PTE Validar Enel","Pendiente cierre ENEL",IF(ISNUMBER(SEARCH("suministro",PL[[#This Row],[SUPPLIER NOTES]])),"Suministros",IF(PL[[#This Row],[SC]]="SOCIAL","Social",IF(ISNUMBER(SEARCH("monolito",PL[[#This Row],[DESCRIPTION]])),"Monolitos","Varios")))))</f>
        <v>Cerrados IUP</v>
      </c>
      <c r="Q11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6" spans="1:17" s="157" customFormat="1" hidden="1" x14ac:dyDescent="0.2">
      <c r="A1186" s="151" t="s">
        <v>3217</v>
      </c>
      <c r="B1186" s="154" t="s">
        <v>8</v>
      </c>
      <c r="C1186" s="152">
        <v>10</v>
      </c>
      <c r="D1186" s="153" t="s">
        <v>3385</v>
      </c>
      <c r="E1186" s="154" t="s">
        <v>3218</v>
      </c>
      <c r="F1186" s="154" t="s">
        <v>1822</v>
      </c>
      <c r="G1186" s="154" t="s">
        <v>291</v>
      </c>
      <c r="H1186" s="154" t="s">
        <v>163</v>
      </c>
      <c r="I1186" s="154" t="s">
        <v>163</v>
      </c>
      <c r="J1186" s="154" t="s">
        <v>74</v>
      </c>
      <c r="K1186" s="154" t="s">
        <v>3394</v>
      </c>
      <c r="L1186" s="161">
        <v>46155</v>
      </c>
      <c r="M1186" s="160">
        <v>46155</v>
      </c>
      <c r="N1186" s="154" t="str">
        <f>IF(ISNUMBER(PL[[#This Row],[CTO]]),"CTO "&amp;PL[[#This Row],[CTO]],"Otros")</f>
        <v>CTO 10</v>
      </c>
      <c r="O1186" s="154" t="str">
        <f>IF(PL[[#This Row],[STATUS IUP]]="CERRADO","CERRADO",IF(ISNUMBER(SEARCH("validacion de enel",PL[[#This Row],[SUPPLIER NOTES]])),"PTE Validar Enel","ABIERTO"))</f>
        <v>CERRADO</v>
      </c>
      <c r="P1186" s="154" t="str">
        <f>IF(PL[[#This Row],[ESTADO]]="CERRADO","Cerrados IUP",IF(PL[[#This Row],[ESTADO]]="PTE Validar Enel","Pendiente cierre ENEL",IF(ISNUMBER(SEARCH("suministro",PL[[#This Row],[SUPPLIER NOTES]])),"Suministros",IF(PL[[#This Row],[SC]]="SOCIAL","Social",IF(ISNUMBER(SEARCH("monolito",PL[[#This Row],[DESCRIPTION]])),"Monolitos","Varios")))))</f>
        <v>Cerrados IUP</v>
      </c>
      <c r="Q11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7" spans="1:17" s="157" customFormat="1" hidden="1" x14ac:dyDescent="0.2">
      <c r="A1187" s="151" t="s">
        <v>3219</v>
      </c>
      <c r="B1187" s="154" t="s">
        <v>8</v>
      </c>
      <c r="C1187" s="152">
        <v>10</v>
      </c>
      <c r="D1187" s="153" t="s">
        <v>3385</v>
      </c>
      <c r="E1187" s="154" t="s">
        <v>3220</v>
      </c>
      <c r="F1187" s="154" t="s">
        <v>1675</v>
      </c>
      <c r="G1187" s="154" t="s">
        <v>291</v>
      </c>
      <c r="H1187" s="154" t="s">
        <v>163</v>
      </c>
      <c r="I1187" s="154" t="s">
        <v>163</v>
      </c>
      <c r="J1187" s="154" t="s">
        <v>74</v>
      </c>
      <c r="K1187" s="154" t="s">
        <v>3394</v>
      </c>
      <c r="L1187" s="161">
        <v>46155</v>
      </c>
      <c r="M1187" s="160">
        <v>46155</v>
      </c>
      <c r="N1187" s="154" t="str">
        <f>IF(ISNUMBER(PL[[#This Row],[CTO]]),"CTO "&amp;PL[[#This Row],[CTO]],"Otros")</f>
        <v>CTO 10</v>
      </c>
      <c r="O1187" s="154" t="str">
        <f>IF(PL[[#This Row],[STATUS IUP]]="CERRADO","CERRADO",IF(ISNUMBER(SEARCH("validacion de enel",PL[[#This Row],[SUPPLIER NOTES]])),"PTE Validar Enel","ABIERTO"))</f>
        <v>CERRADO</v>
      </c>
      <c r="P1187" s="154" t="str">
        <f>IF(PL[[#This Row],[ESTADO]]="CERRADO","Cerrados IUP",IF(PL[[#This Row],[ESTADO]]="PTE Validar Enel","Pendiente cierre ENEL",IF(ISNUMBER(SEARCH("suministro",PL[[#This Row],[SUPPLIER NOTES]])),"Suministros",IF(PL[[#This Row],[SC]]="SOCIAL","Social",IF(ISNUMBER(SEARCH("monolito",PL[[#This Row],[DESCRIPTION]])),"Monolitos","Varios")))))</f>
        <v>Cerrados IUP</v>
      </c>
      <c r="Q11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8" spans="1:17" s="157" customFormat="1" hidden="1" x14ac:dyDescent="0.2">
      <c r="A1188" s="151" t="s">
        <v>3221</v>
      </c>
      <c r="B1188" s="154" t="s">
        <v>8</v>
      </c>
      <c r="C1188" s="152">
        <v>10</v>
      </c>
      <c r="D1188" s="153" t="s">
        <v>3385</v>
      </c>
      <c r="E1188" s="154" t="s">
        <v>3222</v>
      </c>
      <c r="F1188" s="154" t="s">
        <v>2815</v>
      </c>
      <c r="G1188" s="154" t="s">
        <v>291</v>
      </c>
      <c r="H1188" s="154" t="s">
        <v>163</v>
      </c>
      <c r="I1188" s="154" t="s">
        <v>163</v>
      </c>
      <c r="J1188" s="154" t="s">
        <v>74</v>
      </c>
      <c r="K1188" s="154" t="s">
        <v>3394</v>
      </c>
      <c r="L1188" s="161">
        <v>46155</v>
      </c>
      <c r="M1188" s="160">
        <v>46155</v>
      </c>
      <c r="N1188" s="154" t="str">
        <f>IF(ISNUMBER(PL[[#This Row],[CTO]]),"CTO "&amp;PL[[#This Row],[CTO]],"Otros")</f>
        <v>CTO 10</v>
      </c>
      <c r="O1188" s="154" t="str">
        <f>IF(PL[[#This Row],[STATUS IUP]]="CERRADO","CERRADO",IF(ISNUMBER(SEARCH("validacion de enel",PL[[#This Row],[SUPPLIER NOTES]])),"PTE Validar Enel","ABIERTO"))</f>
        <v>CERRADO</v>
      </c>
      <c r="P1188" s="154" t="str">
        <f>IF(PL[[#This Row],[ESTADO]]="CERRADO","Cerrados IUP",IF(PL[[#This Row],[ESTADO]]="PTE Validar Enel","Pendiente cierre ENEL",IF(ISNUMBER(SEARCH("suministro",PL[[#This Row],[SUPPLIER NOTES]])),"Suministros",IF(PL[[#This Row],[SC]]="SOCIAL","Social",IF(ISNUMBER(SEARCH("monolito",PL[[#This Row],[DESCRIPTION]])),"Monolitos","Varios")))))</f>
        <v>Cerrados IUP</v>
      </c>
      <c r="Q11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89" spans="1:17" s="157" customFormat="1" hidden="1" x14ac:dyDescent="0.2">
      <c r="A1189" s="151" t="s">
        <v>3223</v>
      </c>
      <c r="B1189" s="154" t="s">
        <v>8</v>
      </c>
      <c r="C1189" s="152">
        <v>10</v>
      </c>
      <c r="D1189" s="153" t="s">
        <v>3385</v>
      </c>
      <c r="E1189" s="154" t="s">
        <v>3224</v>
      </c>
      <c r="F1189" s="154" t="s">
        <v>2680</v>
      </c>
      <c r="G1189" s="154" t="s">
        <v>291</v>
      </c>
      <c r="H1189" s="154" t="s">
        <v>163</v>
      </c>
      <c r="I1189" s="154" t="s">
        <v>163</v>
      </c>
      <c r="J1189" s="154" t="s">
        <v>74</v>
      </c>
      <c r="K1189" s="154" t="s">
        <v>3394</v>
      </c>
      <c r="L1189" s="161">
        <v>46155</v>
      </c>
      <c r="M1189" s="160">
        <v>46155</v>
      </c>
      <c r="N1189" s="154" t="str">
        <f>IF(ISNUMBER(PL[[#This Row],[CTO]]),"CTO "&amp;PL[[#This Row],[CTO]],"Otros")</f>
        <v>CTO 10</v>
      </c>
      <c r="O1189" s="154" t="str">
        <f>IF(PL[[#This Row],[STATUS IUP]]="CERRADO","CERRADO",IF(ISNUMBER(SEARCH("validacion de enel",PL[[#This Row],[SUPPLIER NOTES]])),"PTE Validar Enel","ABIERTO"))</f>
        <v>CERRADO</v>
      </c>
      <c r="P1189" s="154" t="str">
        <f>IF(PL[[#This Row],[ESTADO]]="CERRADO","Cerrados IUP",IF(PL[[#This Row],[ESTADO]]="PTE Validar Enel","Pendiente cierre ENEL",IF(ISNUMBER(SEARCH("suministro",PL[[#This Row],[SUPPLIER NOTES]])),"Suministros",IF(PL[[#This Row],[SC]]="SOCIAL","Social",IF(ISNUMBER(SEARCH("monolito",PL[[#This Row],[DESCRIPTION]])),"Monolitos","Varios")))))</f>
        <v>Cerrados IUP</v>
      </c>
      <c r="Q11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0" spans="1:17" s="157" customFormat="1" hidden="1" x14ac:dyDescent="0.2">
      <c r="A1190" s="151" t="s">
        <v>3225</v>
      </c>
      <c r="B1190" s="154" t="s">
        <v>8</v>
      </c>
      <c r="C1190" s="152">
        <v>10</v>
      </c>
      <c r="D1190" s="153" t="s">
        <v>3385</v>
      </c>
      <c r="E1190" s="154" t="s">
        <v>3226</v>
      </c>
      <c r="F1190" s="154" t="s">
        <v>2707</v>
      </c>
      <c r="G1190" s="154" t="s">
        <v>291</v>
      </c>
      <c r="H1190" s="154" t="s">
        <v>163</v>
      </c>
      <c r="I1190" s="154" t="s">
        <v>163</v>
      </c>
      <c r="J1190" s="154" t="s">
        <v>74</v>
      </c>
      <c r="K1190" s="154" t="s">
        <v>3394</v>
      </c>
      <c r="L1190" s="161">
        <v>46155</v>
      </c>
      <c r="M1190" s="160">
        <v>46155</v>
      </c>
      <c r="N1190" s="154" t="str">
        <f>IF(ISNUMBER(PL[[#This Row],[CTO]]),"CTO "&amp;PL[[#This Row],[CTO]],"Otros")</f>
        <v>CTO 10</v>
      </c>
      <c r="O1190" s="154" t="str">
        <f>IF(PL[[#This Row],[STATUS IUP]]="CERRADO","CERRADO",IF(ISNUMBER(SEARCH("validacion de enel",PL[[#This Row],[SUPPLIER NOTES]])),"PTE Validar Enel","ABIERTO"))</f>
        <v>CERRADO</v>
      </c>
      <c r="P1190" s="154" t="str">
        <f>IF(PL[[#This Row],[ESTADO]]="CERRADO","Cerrados IUP",IF(PL[[#This Row],[ESTADO]]="PTE Validar Enel","Pendiente cierre ENEL",IF(ISNUMBER(SEARCH("suministro",PL[[#This Row],[SUPPLIER NOTES]])),"Suministros",IF(PL[[#This Row],[SC]]="SOCIAL","Social",IF(ISNUMBER(SEARCH("monolito",PL[[#This Row],[DESCRIPTION]])),"Monolitos","Varios")))))</f>
        <v>Cerrados IUP</v>
      </c>
      <c r="Q11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1" spans="1:17" s="157" customFormat="1" hidden="1" x14ac:dyDescent="0.2">
      <c r="A1191" s="151" t="s">
        <v>3227</v>
      </c>
      <c r="B1191" s="154" t="s">
        <v>8</v>
      </c>
      <c r="C1191" s="152">
        <v>10</v>
      </c>
      <c r="D1191" s="153" t="s">
        <v>3385</v>
      </c>
      <c r="E1191" s="154" t="s">
        <v>3228</v>
      </c>
      <c r="F1191" s="154" t="s">
        <v>1905</v>
      </c>
      <c r="G1191" s="154" t="s">
        <v>291</v>
      </c>
      <c r="H1191" s="154" t="s">
        <v>163</v>
      </c>
      <c r="I1191" s="154" t="s">
        <v>163</v>
      </c>
      <c r="J1191" s="154" t="s">
        <v>74</v>
      </c>
      <c r="K1191" s="154" t="s">
        <v>3394</v>
      </c>
      <c r="L1191" s="161">
        <v>46155</v>
      </c>
      <c r="M1191" s="160">
        <v>46155</v>
      </c>
      <c r="N1191" s="154" t="str">
        <f>IF(ISNUMBER(PL[[#This Row],[CTO]]),"CTO "&amp;PL[[#This Row],[CTO]],"Otros")</f>
        <v>CTO 10</v>
      </c>
      <c r="O1191" s="154" t="str">
        <f>IF(PL[[#This Row],[STATUS IUP]]="CERRADO","CERRADO",IF(ISNUMBER(SEARCH("validacion de enel",PL[[#This Row],[SUPPLIER NOTES]])),"PTE Validar Enel","ABIERTO"))</f>
        <v>CERRADO</v>
      </c>
      <c r="P1191" s="154" t="str">
        <f>IF(PL[[#This Row],[ESTADO]]="CERRADO","Cerrados IUP",IF(PL[[#This Row],[ESTADO]]="PTE Validar Enel","Pendiente cierre ENEL",IF(ISNUMBER(SEARCH("suministro",PL[[#This Row],[SUPPLIER NOTES]])),"Suministros",IF(PL[[#This Row],[SC]]="SOCIAL","Social",IF(ISNUMBER(SEARCH("monolito",PL[[#This Row],[DESCRIPTION]])),"Monolitos","Varios")))))</f>
        <v>Cerrados IUP</v>
      </c>
      <c r="Q11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2" spans="1:17" s="157" customFormat="1" hidden="1" x14ac:dyDescent="0.2">
      <c r="A1192" s="151" t="s">
        <v>3229</v>
      </c>
      <c r="B1192" s="154" t="s">
        <v>8</v>
      </c>
      <c r="C1192" s="152">
        <v>10</v>
      </c>
      <c r="D1192" s="153" t="s">
        <v>3385</v>
      </c>
      <c r="E1192" s="154" t="s">
        <v>3230</v>
      </c>
      <c r="F1192" s="154" t="s">
        <v>2710</v>
      </c>
      <c r="G1192" s="154" t="s">
        <v>291</v>
      </c>
      <c r="H1192" s="154" t="s">
        <v>163</v>
      </c>
      <c r="I1192" s="154" t="s">
        <v>163</v>
      </c>
      <c r="J1192" s="154" t="s">
        <v>74</v>
      </c>
      <c r="K1192" s="154" t="s">
        <v>3394</v>
      </c>
      <c r="L1192" s="161">
        <v>46155</v>
      </c>
      <c r="M1192" s="160">
        <v>46155</v>
      </c>
      <c r="N1192" s="154" t="str">
        <f>IF(ISNUMBER(PL[[#This Row],[CTO]]),"CTO "&amp;PL[[#This Row],[CTO]],"Otros")</f>
        <v>CTO 10</v>
      </c>
      <c r="O1192" s="154" t="str">
        <f>IF(PL[[#This Row],[STATUS IUP]]="CERRADO","CERRADO",IF(ISNUMBER(SEARCH("validacion de enel",PL[[#This Row],[SUPPLIER NOTES]])),"PTE Validar Enel","ABIERTO"))</f>
        <v>CERRADO</v>
      </c>
      <c r="P1192" s="154" t="str">
        <f>IF(PL[[#This Row],[ESTADO]]="CERRADO","Cerrados IUP",IF(PL[[#This Row],[ESTADO]]="PTE Validar Enel","Pendiente cierre ENEL",IF(ISNUMBER(SEARCH("suministro",PL[[#This Row],[SUPPLIER NOTES]])),"Suministros",IF(PL[[#This Row],[SC]]="SOCIAL","Social",IF(ISNUMBER(SEARCH("monolito",PL[[#This Row],[DESCRIPTION]])),"Monolitos","Varios")))))</f>
        <v>Cerrados IUP</v>
      </c>
      <c r="Q11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3" spans="1:17" s="157" customFormat="1" hidden="1" x14ac:dyDescent="0.2">
      <c r="A1193" s="151" t="s">
        <v>3231</v>
      </c>
      <c r="B1193" s="154" t="s">
        <v>8</v>
      </c>
      <c r="C1193" s="152">
        <v>10</v>
      </c>
      <c r="D1193" s="153" t="s">
        <v>3385</v>
      </c>
      <c r="E1193" s="154" t="s">
        <v>3232</v>
      </c>
      <c r="F1193" s="154" t="s">
        <v>2652</v>
      </c>
      <c r="G1193" s="154" t="s">
        <v>291</v>
      </c>
      <c r="H1193" s="154" t="s">
        <v>163</v>
      </c>
      <c r="I1193" s="154" t="s">
        <v>163</v>
      </c>
      <c r="J1193" s="154" t="s">
        <v>74</v>
      </c>
      <c r="K1193" s="154" t="s">
        <v>3394</v>
      </c>
      <c r="L1193" s="161">
        <v>46155</v>
      </c>
      <c r="M1193" s="160">
        <v>46155</v>
      </c>
      <c r="N1193" s="154" t="str">
        <f>IF(ISNUMBER(PL[[#This Row],[CTO]]),"CTO "&amp;PL[[#This Row],[CTO]],"Otros")</f>
        <v>CTO 10</v>
      </c>
      <c r="O1193" s="154" t="str">
        <f>IF(PL[[#This Row],[STATUS IUP]]="CERRADO","CERRADO",IF(ISNUMBER(SEARCH("validacion de enel",PL[[#This Row],[SUPPLIER NOTES]])),"PTE Validar Enel","ABIERTO"))</f>
        <v>CERRADO</v>
      </c>
      <c r="P1193" s="154" t="str">
        <f>IF(PL[[#This Row],[ESTADO]]="CERRADO","Cerrados IUP",IF(PL[[#This Row],[ESTADO]]="PTE Validar Enel","Pendiente cierre ENEL",IF(ISNUMBER(SEARCH("suministro",PL[[#This Row],[SUPPLIER NOTES]])),"Suministros",IF(PL[[#This Row],[SC]]="SOCIAL","Social",IF(ISNUMBER(SEARCH("monolito",PL[[#This Row],[DESCRIPTION]])),"Monolitos","Varios")))))</f>
        <v>Cerrados IUP</v>
      </c>
      <c r="Q11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4" spans="1:17" s="157" customFormat="1" hidden="1" x14ac:dyDescent="0.2">
      <c r="A1194" s="151" t="s">
        <v>3235</v>
      </c>
      <c r="B1194" s="154" t="s">
        <v>8</v>
      </c>
      <c r="C1194" s="152">
        <v>10</v>
      </c>
      <c r="D1194" s="153" t="s">
        <v>3385</v>
      </c>
      <c r="E1194" s="154" t="s">
        <v>3236</v>
      </c>
      <c r="F1194" s="154" t="s">
        <v>2713</v>
      </c>
      <c r="G1194" s="154" t="s">
        <v>291</v>
      </c>
      <c r="H1194" s="154" t="s">
        <v>163</v>
      </c>
      <c r="I1194" s="154" t="s">
        <v>163</v>
      </c>
      <c r="J1194" s="154" t="s">
        <v>74</v>
      </c>
      <c r="K1194" s="154" t="s">
        <v>3394</v>
      </c>
      <c r="L1194" s="161">
        <v>46155</v>
      </c>
      <c r="M1194" s="160">
        <v>46155</v>
      </c>
      <c r="N1194" s="154" t="str">
        <f>IF(ISNUMBER(PL[[#This Row],[CTO]]),"CTO "&amp;PL[[#This Row],[CTO]],"Otros")</f>
        <v>CTO 10</v>
      </c>
      <c r="O1194" s="154" t="str">
        <f>IF(PL[[#This Row],[STATUS IUP]]="CERRADO","CERRADO",IF(ISNUMBER(SEARCH("validacion de enel",PL[[#This Row],[SUPPLIER NOTES]])),"PTE Validar Enel","ABIERTO"))</f>
        <v>CERRADO</v>
      </c>
      <c r="P1194" s="154" t="str">
        <f>IF(PL[[#This Row],[ESTADO]]="CERRADO","Cerrados IUP",IF(PL[[#This Row],[ESTADO]]="PTE Validar Enel","Pendiente cierre ENEL",IF(ISNUMBER(SEARCH("suministro",PL[[#This Row],[SUPPLIER NOTES]])),"Suministros",IF(PL[[#This Row],[SC]]="SOCIAL","Social",IF(ISNUMBER(SEARCH("monolito",PL[[#This Row],[DESCRIPTION]])),"Monolitos","Varios")))))</f>
        <v>Cerrados IUP</v>
      </c>
      <c r="Q11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5" spans="1:17" s="157" customFormat="1" hidden="1" x14ac:dyDescent="0.2">
      <c r="A1195" s="151" t="s">
        <v>3237</v>
      </c>
      <c r="B1195" s="154" t="s">
        <v>8</v>
      </c>
      <c r="C1195" s="152">
        <v>10</v>
      </c>
      <c r="D1195" s="153" t="s">
        <v>3385</v>
      </c>
      <c r="E1195" s="154" t="s">
        <v>3238</v>
      </c>
      <c r="F1195" s="154" t="s">
        <v>2390</v>
      </c>
      <c r="G1195" s="154" t="s">
        <v>291</v>
      </c>
      <c r="H1195" s="154" t="s">
        <v>163</v>
      </c>
      <c r="I1195" s="154" t="s">
        <v>163</v>
      </c>
      <c r="J1195" s="154" t="s">
        <v>74</v>
      </c>
      <c r="K1195" s="154" t="s">
        <v>3394</v>
      </c>
      <c r="L1195" s="161">
        <v>46155</v>
      </c>
      <c r="M1195" s="160">
        <v>46155</v>
      </c>
      <c r="N1195" s="154" t="str">
        <f>IF(ISNUMBER(PL[[#This Row],[CTO]]),"CTO "&amp;PL[[#This Row],[CTO]],"Otros")</f>
        <v>CTO 10</v>
      </c>
      <c r="O1195" s="154" t="str">
        <f>IF(PL[[#This Row],[STATUS IUP]]="CERRADO","CERRADO",IF(ISNUMBER(SEARCH("validacion de enel",PL[[#This Row],[SUPPLIER NOTES]])),"PTE Validar Enel","ABIERTO"))</f>
        <v>CERRADO</v>
      </c>
      <c r="P1195" s="154" t="str">
        <f>IF(PL[[#This Row],[ESTADO]]="CERRADO","Cerrados IUP",IF(PL[[#This Row],[ESTADO]]="PTE Validar Enel","Pendiente cierre ENEL",IF(ISNUMBER(SEARCH("suministro",PL[[#This Row],[SUPPLIER NOTES]])),"Suministros",IF(PL[[#This Row],[SC]]="SOCIAL","Social",IF(ISNUMBER(SEARCH("monolito",PL[[#This Row],[DESCRIPTION]])),"Monolitos","Varios")))))</f>
        <v>Cerrados IUP</v>
      </c>
      <c r="Q11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6" spans="1:17" s="157" customFormat="1" hidden="1" x14ac:dyDescent="0.2">
      <c r="A1196" s="151" t="s">
        <v>3239</v>
      </c>
      <c r="B1196" s="154" t="s">
        <v>8</v>
      </c>
      <c r="C1196" s="152">
        <v>10</v>
      </c>
      <c r="D1196" s="153" t="s">
        <v>3385</v>
      </c>
      <c r="E1196" s="154" t="s">
        <v>3240</v>
      </c>
      <c r="F1196" s="154" t="s">
        <v>2620</v>
      </c>
      <c r="G1196" s="154" t="s">
        <v>291</v>
      </c>
      <c r="H1196" s="154" t="s">
        <v>163</v>
      </c>
      <c r="I1196" s="154" t="s">
        <v>163</v>
      </c>
      <c r="J1196" s="154" t="s">
        <v>74</v>
      </c>
      <c r="K1196" s="154" t="s">
        <v>3394</v>
      </c>
      <c r="L1196" s="161">
        <v>46155</v>
      </c>
      <c r="M1196" s="160">
        <v>46155</v>
      </c>
      <c r="N1196" s="154" t="str">
        <f>IF(ISNUMBER(PL[[#This Row],[CTO]]),"CTO "&amp;PL[[#This Row],[CTO]],"Otros")</f>
        <v>CTO 10</v>
      </c>
      <c r="O1196" s="154" t="str">
        <f>IF(PL[[#This Row],[STATUS IUP]]="CERRADO","CERRADO",IF(ISNUMBER(SEARCH("validacion de enel",PL[[#This Row],[SUPPLIER NOTES]])),"PTE Validar Enel","ABIERTO"))</f>
        <v>CERRADO</v>
      </c>
      <c r="P1196" s="154" t="str">
        <f>IF(PL[[#This Row],[ESTADO]]="CERRADO","Cerrados IUP",IF(PL[[#This Row],[ESTADO]]="PTE Validar Enel","Pendiente cierre ENEL",IF(ISNUMBER(SEARCH("suministro",PL[[#This Row],[SUPPLIER NOTES]])),"Suministros",IF(PL[[#This Row],[SC]]="SOCIAL","Social",IF(ISNUMBER(SEARCH("monolito",PL[[#This Row],[DESCRIPTION]])),"Monolitos","Varios")))))</f>
        <v>Cerrados IUP</v>
      </c>
      <c r="Q11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7" spans="1:17" s="157" customFormat="1" hidden="1" x14ac:dyDescent="0.2">
      <c r="A1197" s="151" t="s">
        <v>3241</v>
      </c>
      <c r="B1197" s="154" t="s">
        <v>8</v>
      </c>
      <c r="C1197" s="152">
        <v>10</v>
      </c>
      <c r="D1197" s="153" t="s">
        <v>3385</v>
      </c>
      <c r="E1197" s="154" t="s">
        <v>3242</v>
      </c>
      <c r="F1197" s="154" t="s">
        <v>2716</v>
      </c>
      <c r="G1197" s="154" t="s">
        <v>291</v>
      </c>
      <c r="H1197" s="154" t="s">
        <v>163</v>
      </c>
      <c r="I1197" s="154" t="s">
        <v>163</v>
      </c>
      <c r="J1197" s="154" t="s">
        <v>74</v>
      </c>
      <c r="K1197" s="154" t="s">
        <v>3394</v>
      </c>
      <c r="L1197" s="161">
        <v>46155</v>
      </c>
      <c r="M1197" s="160">
        <v>46155</v>
      </c>
      <c r="N1197" s="154" t="str">
        <f>IF(ISNUMBER(PL[[#This Row],[CTO]]),"CTO "&amp;PL[[#This Row],[CTO]],"Otros")</f>
        <v>CTO 10</v>
      </c>
      <c r="O1197" s="154" t="str">
        <f>IF(PL[[#This Row],[STATUS IUP]]="CERRADO","CERRADO",IF(ISNUMBER(SEARCH("validacion de enel",PL[[#This Row],[SUPPLIER NOTES]])),"PTE Validar Enel","ABIERTO"))</f>
        <v>CERRADO</v>
      </c>
      <c r="P1197" s="154" t="str">
        <f>IF(PL[[#This Row],[ESTADO]]="CERRADO","Cerrados IUP",IF(PL[[#This Row],[ESTADO]]="PTE Validar Enel","Pendiente cierre ENEL",IF(ISNUMBER(SEARCH("suministro",PL[[#This Row],[SUPPLIER NOTES]])),"Suministros",IF(PL[[#This Row],[SC]]="SOCIAL","Social",IF(ISNUMBER(SEARCH("monolito",PL[[#This Row],[DESCRIPTION]])),"Monolitos","Varios")))))</f>
        <v>Cerrados IUP</v>
      </c>
      <c r="Q11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8" spans="1:17" s="157" customFormat="1" hidden="1" x14ac:dyDescent="0.2">
      <c r="A1198" s="151" t="s">
        <v>3243</v>
      </c>
      <c r="B1198" s="154" t="s">
        <v>8</v>
      </c>
      <c r="C1198" s="152">
        <v>10</v>
      </c>
      <c r="D1198" s="153" t="s">
        <v>3385</v>
      </c>
      <c r="E1198" s="154" t="s">
        <v>3244</v>
      </c>
      <c r="F1198" s="154" t="s">
        <v>2003</v>
      </c>
      <c r="G1198" s="154" t="s">
        <v>291</v>
      </c>
      <c r="H1198" s="154" t="s">
        <v>163</v>
      </c>
      <c r="I1198" s="154" t="s">
        <v>163</v>
      </c>
      <c r="J1198" s="154" t="s">
        <v>74</v>
      </c>
      <c r="K1198" s="154" t="s">
        <v>3394</v>
      </c>
      <c r="L1198" s="161">
        <v>46155</v>
      </c>
      <c r="M1198" s="160">
        <v>46155</v>
      </c>
      <c r="N1198" s="154" t="str">
        <f>IF(ISNUMBER(PL[[#This Row],[CTO]]),"CTO "&amp;PL[[#This Row],[CTO]],"Otros")</f>
        <v>CTO 10</v>
      </c>
      <c r="O1198" s="154" t="str">
        <f>IF(PL[[#This Row],[STATUS IUP]]="CERRADO","CERRADO",IF(ISNUMBER(SEARCH("validacion de enel",PL[[#This Row],[SUPPLIER NOTES]])),"PTE Validar Enel","ABIERTO"))</f>
        <v>CERRADO</v>
      </c>
      <c r="P1198" s="154" t="str">
        <f>IF(PL[[#This Row],[ESTADO]]="CERRADO","Cerrados IUP",IF(PL[[#This Row],[ESTADO]]="PTE Validar Enel","Pendiente cierre ENEL",IF(ISNUMBER(SEARCH("suministro",PL[[#This Row],[SUPPLIER NOTES]])),"Suministros",IF(PL[[#This Row],[SC]]="SOCIAL","Social",IF(ISNUMBER(SEARCH("monolito",PL[[#This Row],[DESCRIPTION]])),"Monolitos","Varios")))))</f>
        <v>Cerrados IUP</v>
      </c>
      <c r="Q11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199" spans="1:17" s="157" customFormat="1" hidden="1" x14ac:dyDescent="0.2">
      <c r="A1199" s="151" t="s">
        <v>3245</v>
      </c>
      <c r="B1199" s="154" t="s">
        <v>8</v>
      </c>
      <c r="C1199" s="152">
        <v>10</v>
      </c>
      <c r="D1199" s="153" t="s">
        <v>3385</v>
      </c>
      <c r="E1199" s="154" t="s">
        <v>3246</v>
      </c>
      <c r="F1199" s="154" t="s">
        <v>2020</v>
      </c>
      <c r="G1199" s="154" t="s">
        <v>291</v>
      </c>
      <c r="H1199" s="154" t="s">
        <v>163</v>
      </c>
      <c r="I1199" s="154" t="s">
        <v>163</v>
      </c>
      <c r="J1199" s="154" t="s">
        <v>74</v>
      </c>
      <c r="K1199" s="154" t="s">
        <v>3394</v>
      </c>
      <c r="L1199" s="161">
        <v>46155</v>
      </c>
      <c r="M1199" s="160">
        <v>46155</v>
      </c>
      <c r="N1199" s="154" t="str">
        <f>IF(ISNUMBER(PL[[#This Row],[CTO]]),"CTO "&amp;PL[[#This Row],[CTO]],"Otros")</f>
        <v>CTO 10</v>
      </c>
      <c r="O1199" s="154" t="str">
        <f>IF(PL[[#This Row],[STATUS IUP]]="CERRADO","CERRADO",IF(ISNUMBER(SEARCH("validacion de enel",PL[[#This Row],[SUPPLIER NOTES]])),"PTE Validar Enel","ABIERTO"))</f>
        <v>CERRADO</v>
      </c>
      <c r="P1199" s="154" t="str">
        <f>IF(PL[[#This Row],[ESTADO]]="CERRADO","Cerrados IUP",IF(PL[[#This Row],[ESTADO]]="PTE Validar Enel","Pendiente cierre ENEL",IF(ISNUMBER(SEARCH("suministro",PL[[#This Row],[SUPPLIER NOTES]])),"Suministros",IF(PL[[#This Row],[SC]]="SOCIAL","Social",IF(ISNUMBER(SEARCH("monolito",PL[[#This Row],[DESCRIPTION]])),"Monolitos","Varios")))))</f>
        <v>Cerrados IUP</v>
      </c>
      <c r="Q11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0" spans="1:17" s="157" customFormat="1" hidden="1" x14ac:dyDescent="0.2">
      <c r="A1200" s="151" t="s">
        <v>3247</v>
      </c>
      <c r="B1200" s="154" t="s">
        <v>8</v>
      </c>
      <c r="C1200" s="152">
        <v>10</v>
      </c>
      <c r="D1200" s="153" t="s">
        <v>3385</v>
      </c>
      <c r="E1200" s="154" t="s">
        <v>3248</v>
      </c>
      <c r="F1200" s="154" t="s">
        <v>2809</v>
      </c>
      <c r="G1200" s="154" t="s">
        <v>291</v>
      </c>
      <c r="H1200" s="154" t="s">
        <v>163</v>
      </c>
      <c r="I1200" s="154" t="s">
        <v>163</v>
      </c>
      <c r="J1200" s="154" t="s">
        <v>74</v>
      </c>
      <c r="K1200" s="154" t="s">
        <v>3394</v>
      </c>
      <c r="L1200" s="161">
        <v>46155</v>
      </c>
      <c r="M1200" s="160">
        <v>46155</v>
      </c>
      <c r="N1200" s="154" t="str">
        <f>IF(ISNUMBER(PL[[#This Row],[CTO]]),"CTO "&amp;PL[[#This Row],[CTO]],"Otros")</f>
        <v>CTO 10</v>
      </c>
      <c r="O1200" s="154" t="str">
        <f>IF(PL[[#This Row],[STATUS IUP]]="CERRADO","CERRADO",IF(ISNUMBER(SEARCH("validacion de enel",PL[[#This Row],[SUPPLIER NOTES]])),"PTE Validar Enel","ABIERTO"))</f>
        <v>CERRADO</v>
      </c>
      <c r="P1200" s="154" t="str">
        <f>IF(PL[[#This Row],[ESTADO]]="CERRADO","Cerrados IUP",IF(PL[[#This Row],[ESTADO]]="PTE Validar Enel","Pendiente cierre ENEL",IF(ISNUMBER(SEARCH("suministro",PL[[#This Row],[SUPPLIER NOTES]])),"Suministros",IF(PL[[#This Row],[SC]]="SOCIAL","Social",IF(ISNUMBER(SEARCH("monolito",PL[[#This Row],[DESCRIPTION]])),"Monolitos","Varios")))))</f>
        <v>Cerrados IUP</v>
      </c>
      <c r="Q12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1" spans="1:17" s="157" customFormat="1" hidden="1" x14ac:dyDescent="0.2">
      <c r="A1201" s="151" t="s">
        <v>3249</v>
      </c>
      <c r="B1201" s="154" t="s">
        <v>8</v>
      </c>
      <c r="C1201" s="152">
        <v>10</v>
      </c>
      <c r="D1201" s="153" t="s">
        <v>3385</v>
      </c>
      <c r="E1201" s="154" t="s">
        <v>3250</v>
      </c>
      <c r="F1201" s="154" t="s">
        <v>1701</v>
      </c>
      <c r="G1201" s="154" t="s">
        <v>291</v>
      </c>
      <c r="H1201" s="154" t="s">
        <v>163</v>
      </c>
      <c r="I1201" s="154" t="s">
        <v>163</v>
      </c>
      <c r="J1201" s="154" t="s">
        <v>74</v>
      </c>
      <c r="K1201" s="154" t="s">
        <v>3394</v>
      </c>
      <c r="L1201" s="161">
        <v>46155</v>
      </c>
      <c r="M1201" s="160">
        <v>46155</v>
      </c>
      <c r="N1201" s="154" t="str">
        <f>IF(ISNUMBER(PL[[#This Row],[CTO]]),"CTO "&amp;PL[[#This Row],[CTO]],"Otros")</f>
        <v>CTO 10</v>
      </c>
      <c r="O1201" s="154" t="str">
        <f>IF(PL[[#This Row],[STATUS IUP]]="CERRADO","CERRADO",IF(ISNUMBER(SEARCH("validacion de enel",PL[[#This Row],[SUPPLIER NOTES]])),"PTE Validar Enel","ABIERTO"))</f>
        <v>CERRADO</v>
      </c>
      <c r="P1201" s="154" t="str">
        <f>IF(PL[[#This Row],[ESTADO]]="CERRADO","Cerrados IUP",IF(PL[[#This Row],[ESTADO]]="PTE Validar Enel","Pendiente cierre ENEL",IF(ISNUMBER(SEARCH("suministro",PL[[#This Row],[SUPPLIER NOTES]])),"Suministros",IF(PL[[#This Row],[SC]]="SOCIAL","Social",IF(ISNUMBER(SEARCH("monolito",PL[[#This Row],[DESCRIPTION]])),"Monolitos","Varios")))))</f>
        <v>Cerrados IUP</v>
      </c>
      <c r="Q12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2" spans="1:17" s="157" customFormat="1" hidden="1" x14ac:dyDescent="0.2">
      <c r="A1202" s="151" t="s">
        <v>3251</v>
      </c>
      <c r="B1202" s="154" t="s">
        <v>8</v>
      </c>
      <c r="C1202" s="152">
        <v>10</v>
      </c>
      <c r="D1202" s="153" t="s">
        <v>3385</v>
      </c>
      <c r="E1202" s="154" t="s">
        <v>3252</v>
      </c>
      <c r="F1202" s="154" t="s">
        <v>2677</v>
      </c>
      <c r="G1202" s="154" t="s">
        <v>291</v>
      </c>
      <c r="H1202" s="154" t="s">
        <v>163</v>
      </c>
      <c r="I1202" s="154" t="s">
        <v>163</v>
      </c>
      <c r="J1202" s="154" t="s">
        <v>74</v>
      </c>
      <c r="K1202" s="154" t="s">
        <v>3394</v>
      </c>
      <c r="L1202" s="161">
        <v>46155</v>
      </c>
      <c r="M1202" s="160">
        <v>46155</v>
      </c>
      <c r="N1202" s="154" t="str">
        <f>IF(ISNUMBER(PL[[#This Row],[CTO]]),"CTO "&amp;PL[[#This Row],[CTO]],"Otros")</f>
        <v>CTO 10</v>
      </c>
      <c r="O1202" s="154" t="str">
        <f>IF(PL[[#This Row],[STATUS IUP]]="CERRADO","CERRADO",IF(ISNUMBER(SEARCH("validacion de enel",PL[[#This Row],[SUPPLIER NOTES]])),"PTE Validar Enel","ABIERTO"))</f>
        <v>CERRADO</v>
      </c>
      <c r="P1202" s="154" t="str">
        <f>IF(PL[[#This Row],[ESTADO]]="CERRADO","Cerrados IUP",IF(PL[[#This Row],[ESTADO]]="PTE Validar Enel","Pendiente cierre ENEL",IF(ISNUMBER(SEARCH("suministro",PL[[#This Row],[SUPPLIER NOTES]])),"Suministros",IF(PL[[#This Row],[SC]]="SOCIAL","Social",IF(ISNUMBER(SEARCH("monolito",PL[[#This Row],[DESCRIPTION]])),"Monolitos","Varios")))))</f>
        <v>Cerrados IUP</v>
      </c>
      <c r="Q12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3" spans="1:17" s="157" customFormat="1" hidden="1" x14ac:dyDescent="0.2">
      <c r="A1203" s="151" t="s">
        <v>3253</v>
      </c>
      <c r="B1203" s="154" t="s">
        <v>8</v>
      </c>
      <c r="C1203" s="152">
        <v>10</v>
      </c>
      <c r="D1203" s="153" t="s">
        <v>3385</v>
      </c>
      <c r="E1203" s="154" t="s">
        <v>3254</v>
      </c>
      <c r="F1203" s="154" t="s">
        <v>2387</v>
      </c>
      <c r="G1203" s="154" t="s">
        <v>291</v>
      </c>
      <c r="H1203" s="154" t="s">
        <v>163</v>
      </c>
      <c r="I1203" s="154" t="s">
        <v>163</v>
      </c>
      <c r="J1203" s="154" t="s">
        <v>74</v>
      </c>
      <c r="K1203" s="154" t="s">
        <v>3394</v>
      </c>
      <c r="L1203" s="161">
        <v>46155</v>
      </c>
      <c r="M1203" s="160">
        <v>46155</v>
      </c>
      <c r="N1203" s="154" t="str">
        <f>IF(ISNUMBER(PL[[#This Row],[CTO]]),"CTO "&amp;PL[[#This Row],[CTO]],"Otros")</f>
        <v>CTO 10</v>
      </c>
      <c r="O1203" s="154" t="str">
        <f>IF(PL[[#This Row],[STATUS IUP]]="CERRADO","CERRADO",IF(ISNUMBER(SEARCH("validacion de enel",PL[[#This Row],[SUPPLIER NOTES]])),"PTE Validar Enel","ABIERTO"))</f>
        <v>CERRADO</v>
      </c>
      <c r="P1203" s="154" t="str">
        <f>IF(PL[[#This Row],[ESTADO]]="CERRADO","Cerrados IUP",IF(PL[[#This Row],[ESTADO]]="PTE Validar Enel","Pendiente cierre ENEL",IF(ISNUMBER(SEARCH("suministro",PL[[#This Row],[SUPPLIER NOTES]])),"Suministros",IF(PL[[#This Row],[SC]]="SOCIAL","Social",IF(ISNUMBER(SEARCH("monolito",PL[[#This Row],[DESCRIPTION]])),"Monolitos","Varios")))))</f>
        <v>Cerrados IUP</v>
      </c>
      <c r="Q12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4" spans="1:17" s="157" customFormat="1" hidden="1" x14ac:dyDescent="0.2">
      <c r="A1204" s="151" t="s">
        <v>3255</v>
      </c>
      <c r="B1204" s="154" t="s">
        <v>8</v>
      </c>
      <c r="C1204" s="152">
        <v>10</v>
      </c>
      <c r="D1204" s="153" t="s">
        <v>3385</v>
      </c>
      <c r="E1204" s="154" t="s">
        <v>3256</v>
      </c>
      <c r="F1204" s="154" t="s">
        <v>2655</v>
      </c>
      <c r="G1204" s="154" t="s">
        <v>291</v>
      </c>
      <c r="H1204" s="154" t="s">
        <v>163</v>
      </c>
      <c r="I1204" s="154" t="s">
        <v>163</v>
      </c>
      <c r="J1204" s="154" t="s">
        <v>74</v>
      </c>
      <c r="K1204" s="154" t="s">
        <v>3394</v>
      </c>
      <c r="L1204" s="161">
        <v>46155</v>
      </c>
      <c r="M1204" s="160">
        <v>46155</v>
      </c>
      <c r="N1204" s="154" t="str">
        <f>IF(ISNUMBER(PL[[#This Row],[CTO]]),"CTO "&amp;PL[[#This Row],[CTO]],"Otros")</f>
        <v>CTO 10</v>
      </c>
      <c r="O1204" s="154" t="str">
        <f>IF(PL[[#This Row],[STATUS IUP]]="CERRADO","CERRADO",IF(ISNUMBER(SEARCH("validacion de enel",PL[[#This Row],[SUPPLIER NOTES]])),"PTE Validar Enel","ABIERTO"))</f>
        <v>CERRADO</v>
      </c>
      <c r="P1204" s="154" t="str">
        <f>IF(PL[[#This Row],[ESTADO]]="CERRADO","Cerrados IUP",IF(PL[[#This Row],[ESTADO]]="PTE Validar Enel","Pendiente cierre ENEL",IF(ISNUMBER(SEARCH("suministro",PL[[#This Row],[SUPPLIER NOTES]])),"Suministros",IF(PL[[#This Row],[SC]]="SOCIAL","Social",IF(ISNUMBER(SEARCH("monolito",PL[[#This Row],[DESCRIPTION]])),"Monolitos","Varios")))))</f>
        <v>Cerrados IUP</v>
      </c>
      <c r="Q12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5" spans="1:17" s="157" customFormat="1" hidden="1" x14ac:dyDescent="0.2">
      <c r="A1205" s="151" t="s">
        <v>3257</v>
      </c>
      <c r="B1205" s="154" t="s">
        <v>8</v>
      </c>
      <c r="C1205" s="152">
        <v>10</v>
      </c>
      <c r="D1205" s="153" t="s">
        <v>3385</v>
      </c>
      <c r="E1205" s="154" t="s">
        <v>3258</v>
      </c>
      <c r="F1205" s="154" t="s">
        <v>1698</v>
      </c>
      <c r="G1205" s="154" t="s">
        <v>291</v>
      </c>
      <c r="H1205" s="154" t="s">
        <v>163</v>
      </c>
      <c r="I1205" s="154" t="s">
        <v>163</v>
      </c>
      <c r="J1205" s="154" t="s">
        <v>74</v>
      </c>
      <c r="K1205" s="154" t="s">
        <v>3394</v>
      </c>
      <c r="L1205" s="161">
        <v>46155</v>
      </c>
      <c r="M1205" s="160">
        <v>46155</v>
      </c>
      <c r="N1205" s="154" t="str">
        <f>IF(ISNUMBER(PL[[#This Row],[CTO]]),"CTO "&amp;PL[[#This Row],[CTO]],"Otros")</f>
        <v>CTO 10</v>
      </c>
      <c r="O1205" s="154" t="str">
        <f>IF(PL[[#This Row],[STATUS IUP]]="CERRADO","CERRADO",IF(ISNUMBER(SEARCH("validacion de enel",PL[[#This Row],[SUPPLIER NOTES]])),"PTE Validar Enel","ABIERTO"))</f>
        <v>CERRADO</v>
      </c>
      <c r="P1205" s="154" t="str">
        <f>IF(PL[[#This Row],[ESTADO]]="CERRADO","Cerrados IUP",IF(PL[[#This Row],[ESTADO]]="PTE Validar Enel","Pendiente cierre ENEL",IF(ISNUMBER(SEARCH("suministro",PL[[#This Row],[SUPPLIER NOTES]])),"Suministros",IF(PL[[#This Row],[SC]]="SOCIAL","Social",IF(ISNUMBER(SEARCH("monolito",PL[[#This Row],[DESCRIPTION]])),"Monolitos","Varios")))))</f>
        <v>Cerrados IUP</v>
      </c>
      <c r="Q12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6" spans="1:17" s="157" customFormat="1" hidden="1" x14ac:dyDescent="0.2">
      <c r="A1206" s="151" t="s">
        <v>3259</v>
      </c>
      <c r="B1206" s="154" t="s">
        <v>8</v>
      </c>
      <c r="C1206" s="152">
        <v>10</v>
      </c>
      <c r="D1206" s="153" t="s">
        <v>3385</v>
      </c>
      <c r="E1206" s="154" t="s">
        <v>3260</v>
      </c>
      <c r="F1206" s="154" t="s">
        <v>1911</v>
      </c>
      <c r="G1206" s="154" t="s">
        <v>291</v>
      </c>
      <c r="H1206" s="154" t="s">
        <v>163</v>
      </c>
      <c r="I1206" s="154" t="s">
        <v>163</v>
      </c>
      <c r="J1206" s="154" t="s">
        <v>74</v>
      </c>
      <c r="K1206" s="154" t="s">
        <v>3394</v>
      </c>
      <c r="L1206" s="161">
        <v>46155</v>
      </c>
      <c r="M1206" s="160">
        <v>46155</v>
      </c>
      <c r="N1206" s="154" t="str">
        <f>IF(ISNUMBER(PL[[#This Row],[CTO]]),"CTO "&amp;PL[[#This Row],[CTO]],"Otros")</f>
        <v>CTO 10</v>
      </c>
      <c r="O1206" s="154" t="str">
        <f>IF(PL[[#This Row],[STATUS IUP]]="CERRADO","CERRADO",IF(ISNUMBER(SEARCH("validacion de enel",PL[[#This Row],[SUPPLIER NOTES]])),"PTE Validar Enel","ABIERTO"))</f>
        <v>CERRADO</v>
      </c>
      <c r="P1206" s="154" t="str">
        <f>IF(PL[[#This Row],[ESTADO]]="CERRADO","Cerrados IUP",IF(PL[[#This Row],[ESTADO]]="PTE Validar Enel","Pendiente cierre ENEL",IF(ISNUMBER(SEARCH("suministro",PL[[#This Row],[SUPPLIER NOTES]])),"Suministros",IF(PL[[#This Row],[SC]]="SOCIAL","Social",IF(ISNUMBER(SEARCH("monolito",PL[[#This Row],[DESCRIPTION]])),"Monolitos","Varios")))))</f>
        <v>Cerrados IUP</v>
      </c>
      <c r="Q12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7" spans="1:17" s="157" customFormat="1" hidden="1" x14ac:dyDescent="0.2">
      <c r="A1207" s="151" t="s">
        <v>3261</v>
      </c>
      <c r="B1207" s="154" t="s">
        <v>8</v>
      </c>
      <c r="C1207" s="152">
        <v>10</v>
      </c>
      <c r="D1207" s="153" t="s">
        <v>3385</v>
      </c>
      <c r="E1207" s="154" t="s">
        <v>3262</v>
      </c>
      <c r="F1207" s="154" t="s">
        <v>2649</v>
      </c>
      <c r="G1207" s="154" t="s">
        <v>291</v>
      </c>
      <c r="H1207" s="154" t="s">
        <v>163</v>
      </c>
      <c r="I1207" s="154" t="s">
        <v>163</v>
      </c>
      <c r="J1207" s="154" t="s">
        <v>74</v>
      </c>
      <c r="K1207" s="154" t="s">
        <v>3394</v>
      </c>
      <c r="L1207" s="161">
        <v>46155</v>
      </c>
      <c r="M1207" s="160">
        <v>46155</v>
      </c>
      <c r="N1207" s="154" t="str">
        <f>IF(ISNUMBER(PL[[#This Row],[CTO]]),"CTO "&amp;PL[[#This Row],[CTO]],"Otros")</f>
        <v>CTO 10</v>
      </c>
      <c r="O1207" s="154" t="str">
        <f>IF(PL[[#This Row],[STATUS IUP]]="CERRADO","CERRADO",IF(ISNUMBER(SEARCH("validacion de enel",PL[[#This Row],[SUPPLIER NOTES]])),"PTE Validar Enel","ABIERTO"))</f>
        <v>CERRADO</v>
      </c>
      <c r="P1207" s="154" t="str">
        <f>IF(PL[[#This Row],[ESTADO]]="CERRADO","Cerrados IUP",IF(PL[[#This Row],[ESTADO]]="PTE Validar Enel","Pendiente cierre ENEL",IF(ISNUMBER(SEARCH("suministro",PL[[#This Row],[SUPPLIER NOTES]])),"Suministros",IF(PL[[#This Row],[SC]]="SOCIAL","Social",IF(ISNUMBER(SEARCH("monolito",PL[[#This Row],[DESCRIPTION]])),"Monolitos","Varios")))))</f>
        <v>Cerrados IUP</v>
      </c>
      <c r="Q12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8" spans="1:17" s="157" customFormat="1" hidden="1" x14ac:dyDescent="0.2">
      <c r="A1208" s="151" t="s">
        <v>3263</v>
      </c>
      <c r="B1208" s="154" t="s">
        <v>8</v>
      </c>
      <c r="C1208" s="152">
        <v>10</v>
      </c>
      <c r="D1208" s="153" t="s">
        <v>3385</v>
      </c>
      <c r="E1208" s="154" t="s">
        <v>3264</v>
      </c>
      <c r="F1208" s="154" t="s">
        <v>2626</v>
      </c>
      <c r="G1208" s="154" t="s">
        <v>291</v>
      </c>
      <c r="H1208" s="154" t="s">
        <v>163</v>
      </c>
      <c r="I1208" s="154" t="s">
        <v>163</v>
      </c>
      <c r="J1208" s="154" t="s">
        <v>74</v>
      </c>
      <c r="K1208" s="154" t="s">
        <v>3394</v>
      </c>
      <c r="L1208" s="161">
        <v>46155</v>
      </c>
      <c r="M1208" s="160">
        <v>46155</v>
      </c>
      <c r="N1208" s="154" t="str">
        <f>IF(ISNUMBER(PL[[#This Row],[CTO]]),"CTO "&amp;PL[[#This Row],[CTO]],"Otros")</f>
        <v>CTO 10</v>
      </c>
      <c r="O1208" s="154" t="str">
        <f>IF(PL[[#This Row],[STATUS IUP]]="CERRADO","CERRADO",IF(ISNUMBER(SEARCH("validacion de enel",PL[[#This Row],[SUPPLIER NOTES]])),"PTE Validar Enel","ABIERTO"))</f>
        <v>CERRADO</v>
      </c>
      <c r="P1208" s="154" t="str">
        <f>IF(PL[[#This Row],[ESTADO]]="CERRADO","Cerrados IUP",IF(PL[[#This Row],[ESTADO]]="PTE Validar Enel","Pendiente cierre ENEL",IF(ISNUMBER(SEARCH("suministro",PL[[#This Row],[SUPPLIER NOTES]])),"Suministros",IF(PL[[#This Row],[SC]]="SOCIAL","Social",IF(ISNUMBER(SEARCH("monolito",PL[[#This Row],[DESCRIPTION]])),"Monolitos","Varios")))))</f>
        <v>Cerrados IUP</v>
      </c>
      <c r="Q12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09" spans="1:17" s="157" customFormat="1" hidden="1" x14ac:dyDescent="0.2">
      <c r="A1209" s="151" t="s">
        <v>3265</v>
      </c>
      <c r="B1209" s="154" t="s">
        <v>8</v>
      </c>
      <c r="C1209" s="152">
        <v>10</v>
      </c>
      <c r="D1209" s="153" t="s">
        <v>3385</v>
      </c>
      <c r="E1209" s="154" t="s">
        <v>3266</v>
      </c>
      <c r="F1209" s="154" t="s">
        <v>2692</v>
      </c>
      <c r="G1209" s="154" t="s">
        <v>291</v>
      </c>
      <c r="H1209" s="154" t="s">
        <v>163</v>
      </c>
      <c r="I1209" s="154" t="s">
        <v>163</v>
      </c>
      <c r="J1209" s="154" t="s">
        <v>74</v>
      </c>
      <c r="K1209" s="154" t="s">
        <v>3394</v>
      </c>
      <c r="L1209" s="161">
        <v>46155</v>
      </c>
      <c r="M1209" s="160">
        <v>46155</v>
      </c>
      <c r="N1209" s="154" t="str">
        <f>IF(ISNUMBER(PL[[#This Row],[CTO]]),"CTO "&amp;PL[[#This Row],[CTO]],"Otros")</f>
        <v>CTO 10</v>
      </c>
      <c r="O1209" s="154" t="str">
        <f>IF(PL[[#This Row],[STATUS IUP]]="CERRADO","CERRADO",IF(ISNUMBER(SEARCH("validacion de enel",PL[[#This Row],[SUPPLIER NOTES]])),"PTE Validar Enel","ABIERTO"))</f>
        <v>CERRADO</v>
      </c>
      <c r="P1209" s="154" t="str">
        <f>IF(PL[[#This Row],[ESTADO]]="CERRADO","Cerrados IUP",IF(PL[[#This Row],[ESTADO]]="PTE Validar Enel","Pendiente cierre ENEL",IF(ISNUMBER(SEARCH("suministro",PL[[#This Row],[SUPPLIER NOTES]])),"Suministros",IF(PL[[#This Row],[SC]]="SOCIAL","Social",IF(ISNUMBER(SEARCH("monolito",PL[[#This Row],[DESCRIPTION]])),"Monolitos","Varios")))))</f>
        <v>Cerrados IUP</v>
      </c>
      <c r="Q12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0" spans="1:17" s="157" customFormat="1" hidden="1" x14ac:dyDescent="0.2">
      <c r="A1210" s="151" t="s">
        <v>3267</v>
      </c>
      <c r="B1210" s="154" t="s">
        <v>8</v>
      </c>
      <c r="C1210" s="152">
        <v>10</v>
      </c>
      <c r="D1210" s="153" t="s">
        <v>3385</v>
      </c>
      <c r="E1210" s="154" t="s">
        <v>3268</v>
      </c>
      <c r="F1210" s="154" t="s">
        <v>2588</v>
      </c>
      <c r="G1210" s="154" t="s">
        <v>291</v>
      </c>
      <c r="H1210" s="154" t="s">
        <v>163</v>
      </c>
      <c r="I1210" s="154" t="s">
        <v>163</v>
      </c>
      <c r="J1210" s="154" t="s">
        <v>74</v>
      </c>
      <c r="K1210" s="154" t="s">
        <v>3394</v>
      </c>
      <c r="L1210" s="161">
        <v>46155</v>
      </c>
      <c r="M1210" s="160">
        <v>46155</v>
      </c>
      <c r="N1210" s="154" t="str">
        <f>IF(ISNUMBER(PL[[#This Row],[CTO]]),"CTO "&amp;PL[[#This Row],[CTO]],"Otros")</f>
        <v>CTO 10</v>
      </c>
      <c r="O1210" s="154" t="str">
        <f>IF(PL[[#This Row],[STATUS IUP]]="CERRADO","CERRADO",IF(ISNUMBER(SEARCH("validacion de enel",PL[[#This Row],[SUPPLIER NOTES]])),"PTE Validar Enel","ABIERTO"))</f>
        <v>CERRADO</v>
      </c>
      <c r="P1210" s="154" t="str">
        <f>IF(PL[[#This Row],[ESTADO]]="CERRADO","Cerrados IUP",IF(PL[[#This Row],[ESTADO]]="PTE Validar Enel","Pendiente cierre ENEL",IF(ISNUMBER(SEARCH("suministro",PL[[#This Row],[SUPPLIER NOTES]])),"Suministros",IF(PL[[#This Row],[SC]]="SOCIAL","Social",IF(ISNUMBER(SEARCH("monolito",PL[[#This Row],[DESCRIPTION]])),"Monolitos","Varios")))))</f>
        <v>Cerrados IUP</v>
      </c>
      <c r="Q12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1" spans="1:17" s="157" customFormat="1" hidden="1" x14ac:dyDescent="0.2">
      <c r="A1211" s="151" t="s">
        <v>3313</v>
      </c>
      <c r="B1211" s="154" t="s">
        <v>8</v>
      </c>
      <c r="C1211" s="152">
        <v>10</v>
      </c>
      <c r="D1211" s="153" t="s">
        <v>3385</v>
      </c>
      <c r="E1211" s="154" t="s">
        <v>3314</v>
      </c>
      <c r="F1211" s="154" t="s">
        <v>2818</v>
      </c>
      <c r="G1211" s="154" t="s">
        <v>291</v>
      </c>
      <c r="H1211" s="154" t="s">
        <v>163</v>
      </c>
      <c r="I1211" s="154" t="s">
        <v>163</v>
      </c>
      <c r="J1211" s="154" t="s">
        <v>74</v>
      </c>
      <c r="K1211" s="154" t="s">
        <v>3394</v>
      </c>
      <c r="L1211" s="161">
        <v>46155</v>
      </c>
      <c r="M1211" s="160">
        <v>46155</v>
      </c>
      <c r="N1211" s="154" t="str">
        <f>IF(ISNUMBER(PL[[#This Row],[CTO]]),"CTO "&amp;PL[[#This Row],[CTO]],"Otros")</f>
        <v>CTO 10</v>
      </c>
      <c r="O1211" s="154" t="str">
        <f>IF(PL[[#This Row],[STATUS IUP]]="CERRADO","CERRADO",IF(ISNUMBER(SEARCH("validacion de enel",PL[[#This Row],[SUPPLIER NOTES]])),"PTE Validar Enel","ABIERTO"))</f>
        <v>CERRADO</v>
      </c>
      <c r="P1211" s="154" t="str">
        <f>IF(PL[[#This Row],[ESTADO]]="CERRADO","Cerrados IUP",IF(PL[[#This Row],[ESTADO]]="PTE Validar Enel","Pendiente cierre ENEL",IF(ISNUMBER(SEARCH("suministro",PL[[#This Row],[SUPPLIER NOTES]])),"Suministros",IF(PL[[#This Row],[SC]]="SOCIAL","Social",IF(ISNUMBER(SEARCH("monolito",PL[[#This Row],[DESCRIPTION]])),"Monolitos","Varios")))))</f>
        <v>Cerrados IUP</v>
      </c>
      <c r="Q12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2" spans="1:17" s="157" customFormat="1" hidden="1" x14ac:dyDescent="0.2">
      <c r="A1212" s="151" t="s">
        <v>3269</v>
      </c>
      <c r="B1212" s="154" t="s">
        <v>8</v>
      </c>
      <c r="C1212" s="152">
        <v>10</v>
      </c>
      <c r="D1212" s="153" t="s">
        <v>3385</v>
      </c>
      <c r="E1212" s="154" t="s">
        <v>3270</v>
      </c>
      <c r="F1212" s="154" t="s">
        <v>2585</v>
      </c>
      <c r="G1212" s="154" t="s">
        <v>291</v>
      </c>
      <c r="H1212" s="154" t="s">
        <v>163</v>
      </c>
      <c r="I1212" s="154" t="s">
        <v>163</v>
      </c>
      <c r="J1212" s="154" t="s">
        <v>74</v>
      </c>
      <c r="K1212" s="154" t="s">
        <v>3394</v>
      </c>
      <c r="L1212" s="161">
        <v>46155</v>
      </c>
      <c r="M1212" s="160">
        <v>46155</v>
      </c>
      <c r="N1212" s="154" t="str">
        <f>IF(ISNUMBER(PL[[#This Row],[CTO]]),"CTO "&amp;PL[[#This Row],[CTO]],"Otros")</f>
        <v>CTO 10</v>
      </c>
      <c r="O1212" s="154" t="str">
        <f>IF(PL[[#This Row],[STATUS IUP]]="CERRADO","CERRADO",IF(ISNUMBER(SEARCH("validacion de enel",PL[[#This Row],[SUPPLIER NOTES]])),"PTE Validar Enel","ABIERTO"))</f>
        <v>CERRADO</v>
      </c>
      <c r="P1212" s="154" t="str">
        <f>IF(PL[[#This Row],[ESTADO]]="CERRADO","Cerrados IUP",IF(PL[[#This Row],[ESTADO]]="PTE Validar Enel","Pendiente cierre ENEL",IF(ISNUMBER(SEARCH("suministro",PL[[#This Row],[SUPPLIER NOTES]])),"Suministros",IF(PL[[#This Row],[SC]]="SOCIAL","Social",IF(ISNUMBER(SEARCH("monolito",PL[[#This Row],[DESCRIPTION]])),"Monolitos","Varios")))))</f>
        <v>Cerrados IUP</v>
      </c>
      <c r="Q12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3" spans="1:17" s="157" customFormat="1" hidden="1" x14ac:dyDescent="0.2">
      <c r="A1213" s="151" t="s">
        <v>3273</v>
      </c>
      <c r="B1213" s="154" t="s">
        <v>8</v>
      </c>
      <c r="C1213" s="152">
        <v>10</v>
      </c>
      <c r="D1213" s="153" t="s">
        <v>3385</v>
      </c>
      <c r="E1213" s="154" t="s">
        <v>3274</v>
      </c>
      <c r="F1213" s="154" t="s">
        <v>2812</v>
      </c>
      <c r="G1213" s="154" t="s">
        <v>291</v>
      </c>
      <c r="H1213" s="154" t="s">
        <v>163</v>
      </c>
      <c r="I1213" s="154" t="s">
        <v>163</v>
      </c>
      <c r="J1213" s="154" t="s">
        <v>74</v>
      </c>
      <c r="K1213" s="154" t="s">
        <v>3394</v>
      </c>
      <c r="L1213" s="161">
        <v>46155</v>
      </c>
      <c r="M1213" s="160">
        <v>46155</v>
      </c>
      <c r="N1213" s="154" t="str">
        <f>IF(ISNUMBER(PL[[#This Row],[CTO]]),"CTO "&amp;PL[[#This Row],[CTO]],"Otros")</f>
        <v>CTO 10</v>
      </c>
      <c r="O1213" s="154" t="str">
        <f>IF(PL[[#This Row],[STATUS IUP]]="CERRADO","CERRADO",IF(ISNUMBER(SEARCH("validacion de enel",PL[[#This Row],[SUPPLIER NOTES]])),"PTE Validar Enel","ABIERTO"))</f>
        <v>CERRADO</v>
      </c>
      <c r="P1213" s="154" t="str">
        <f>IF(PL[[#This Row],[ESTADO]]="CERRADO","Cerrados IUP",IF(PL[[#This Row],[ESTADO]]="PTE Validar Enel","Pendiente cierre ENEL",IF(ISNUMBER(SEARCH("suministro",PL[[#This Row],[SUPPLIER NOTES]])),"Suministros",IF(PL[[#This Row],[SC]]="SOCIAL","Social",IF(ISNUMBER(SEARCH("monolito",PL[[#This Row],[DESCRIPTION]])),"Monolitos","Varios")))))</f>
        <v>Cerrados IUP</v>
      </c>
      <c r="Q12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4" spans="1:17" s="157" customFormat="1" hidden="1" x14ac:dyDescent="0.2">
      <c r="A1214" s="151" t="s">
        <v>3275</v>
      </c>
      <c r="B1214" s="154" t="s">
        <v>8</v>
      </c>
      <c r="C1214" s="152">
        <v>10</v>
      </c>
      <c r="D1214" s="153" t="s">
        <v>3385</v>
      </c>
      <c r="E1214" s="154" t="s">
        <v>3276</v>
      </c>
      <c r="F1214" s="154" t="s">
        <v>2695</v>
      </c>
      <c r="G1214" s="154" t="s">
        <v>291</v>
      </c>
      <c r="H1214" s="154" t="s">
        <v>163</v>
      </c>
      <c r="I1214" s="154" t="s">
        <v>163</v>
      </c>
      <c r="J1214" s="154" t="s">
        <v>74</v>
      </c>
      <c r="K1214" s="154" t="s">
        <v>3394</v>
      </c>
      <c r="L1214" s="161">
        <v>46155</v>
      </c>
      <c r="M1214" s="160">
        <v>46155</v>
      </c>
      <c r="N1214" s="154" t="str">
        <f>IF(ISNUMBER(PL[[#This Row],[CTO]]),"CTO "&amp;PL[[#This Row],[CTO]],"Otros")</f>
        <v>CTO 10</v>
      </c>
      <c r="O1214" s="154" t="str">
        <f>IF(PL[[#This Row],[STATUS IUP]]="CERRADO","CERRADO",IF(ISNUMBER(SEARCH("validacion de enel",PL[[#This Row],[SUPPLIER NOTES]])),"PTE Validar Enel","ABIERTO"))</f>
        <v>CERRADO</v>
      </c>
      <c r="P1214" s="154" t="str">
        <f>IF(PL[[#This Row],[ESTADO]]="CERRADO","Cerrados IUP",IF(PL[[#This Row],[ESTADO]]="PTE Validar Enel","Pendiente cierre ENEL",IF(ISNUMBER(SEARCH("suministro",PL[[#This Row],[SUPPLIER NOTES]])),"Suministros",IF(PL[[#This Row],[SC]]="SOCIAL","Social",IF(ISNUMBER(SEARCH("monolito",PL[[#This Row],[DESCRIPTION]])),"Monolitos","Varios")))))</f>
        <v>Cerrados IUP</v>
      </c>
      <c r="Q12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5" spans="1:17" s="157" customFormat="1" hidden="1" x14ac:dyDescent="0.2">
      <c r="A1215" s="151" t="s">
        <v>3277</v>
      </c>
      <c r="B1215" s="154" t="s">
        <v>8</v>
      </c>
      <c r="C1215" s="152">
        <v>10</v>
      </c>
      <c r="D1215" s="153" t="s">
        <v>3385</v>
      </c>
      <c r="E1215" s="154" t="s">
        <v>3278</v>
      </c>
      <c r="F1215" s="154" t="s">
        <v>2698</v>
      </c>
      <c r="G1215" s="154" t="s">
        <v>291</v>
      </c>
      <c r="H1215" s="154" t="s">
        <v>163</v>
      </c>
      <c r="I1215" s="154" t="s">
        <v>163</v>
      </c>
      <c r="J1215" s="154" t="s">
        <v>74</v>
      </c>
      <c r="K1215" s="154" t="s">
        <v>3394</v>
      </c>
      <c r="L1215" s="161">
        <v>46155</v>
      </c>
      <c r="M1215" s="160">
        <v>46155</v>
      </c>
      <c r="N1215" s="154" t="str">
        <f>IF(ISNUMBER(PL[[#This Row],[CTO]]),"CTO "&amp;PL[[#This Row],[CTO]],"Otros")</f>
        <v>CTO 10</v>
      </c>
      <c r="O1215" s="154" t="str">
        <f>IF(PL[[#This Row],[STATUS IUP]]="CERRADO","CERRADO",IF(ISNUMBER(SEARCH("validacion de enel",PL[[#This Row],[SUPPLIER NOTES]])),"PTE Validar Enel","ABIERTO"))</f>
        <v>CERRADO</v>
      </c>
      <c r="P1215" s="154" t="str">
        <f>IF(PL[[#This Row],[ESTADO]]="CERRADO","Cerrados IUP",IF(PL[[#This Row],[ESTADO]]="PTE Validar Enel","Pendiente cierre ENEL",IF(ISNUMBER(SEARCH("suministro",PL[[#This Row],[SUPPLIER NOTES]])),"Suministros",IF(PL[[#This Row],[SC]]="SOCIAL","Social",IF(ISNUMBER(SEARCH("monolito",PL[[#This Row],[DESCRIPTION]])),"Monolitos","Varios")))))</f>
        <v>Cerrados IUP</v>
      </c>
      <c r="Q12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6" spans="1:17" s="157" customFormat="1" hidden="1" x14ac:dyDescent="0.2">
      <c r="A1216" s="151" t="s">
        <v>3279</v>
      </c>
      <c r="B1216" s="154" t="s">
        <v>8</v>
      </c>
      <c r="C1216" s="152">
        <v>10</v>
      </c>
      <c r="D1216" s="153" t="s">
        <v>3385</v>
      </c>
      <c r="E1216" s="154" t="s">
        <v>3280</v>
      </c>
      <c r="F1216" s="154" t="s">
        <v>2821</v>
      </c>
      <c r="G1216" s="154" t="s">
        <v>291</v>
      </c>
      <c r="H1216" s="154" t="s">
        <v>163</v>
      </c>
      <c r="I1216" s="154" t="s">
        <v>163</v>
      </c>
      <c r="J1216" s="154" t="s">
        <v>74</v>
      </c>
      <c r="K1216" s="154" t="s">
        <v>3394</v>
      </c>
      <c r="L1216" s="161">
        <v>46155</v>
      </c>
      <c r="M1216" s="160">
        <v>46155</v>
      </c>
      <c r="N1216" s="154" t="str">
        <f>IF(ISNUMBER(PL[[#This Row],[CTO]]),"CTO "&amp;PL[[#This Row],[CTO]],"Otros")</f>
        <v>CTO 10</v>
      </c>
      <c r="O1216" s="154" t="str">
        <f>IF(PL[[#This Row],[STATUS IUP]]="CERRADO","CERRADO",IF(ISNUMBER(SEARCH("validacion de enel",PL[[#This Row],[SUPPLIER NOTES]])),"PTE Validar Enel","ABIERTO"))</f>
        <v>CERRADO</v>
      </c>
      <c r="P1216" s="154" t="str">
        <f>IF(PL[[#This Row],[ESTADO]]="CERRADO","Cerrados IUP",IF(PL[[#This Row],[ESTADO]]="PTE Validar Enel","Pendiente cierre ENEL",IF(ISNUMBER(SEARCH("suministro",PL[[#This Row],[SUPPLIER NOTES]])),"Suministros",IF(PL[[#This Row],[SC]]="SOCIAL","Social",IF(ISNUMBER(SEARCH("monolito",PL[[#This Row],[DESCRIPTION]])),"Monolitos","Varios")))))</f>
        <v>Cerrados IUP</v>
      </c>
      <c r="Q12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7" spans="1:17" s="157" customFormat="1" hidden="1" x14ac:dyDescent="0.2">
      <c r="A1217" s="151" t="s">
        <v>3281</v>
      </c>
      <c r="B1217" s="154" t="s">
        <v>8</v>
      </c>
      <c r="C1217" s="152">
        <v>10</v>
      </c>
      <c r="D1217" s="153" t="s">
        <v>3385</v>
      </c>
      <c r="E1217" s="154" t="s">
        <v>3282</v>
      </c>
      <c r="F1217" s="154" t="s">
        <v>2889</v>
      </c>
      <c r="G1217" s="154" t="s">
        <v>291</v>
      </c>
      <c r="H1217" s="154" t="s">
        <v>163</v>
      </c>
      <c r="I1217" s="154" t="s">
        <v>163</v>
      </c>
      <c r="J1217" s="154" t="s">
        <v>74</v>
      </c>
      <c r="K1217" s="154" t="s">
        <v>3394</v>
      </c>
      <c r="L1217" s="161">
        <v>46155</v>
      </c>
      <c r="M1217" s="160">
        <v>46155</v>
      </c>
      <c r="N1217" s="154" t="str">
        <f>IF(ISNUMBER(PL[[#This Row],[CTO]]),"CTO "&amp;PL[[#This Row],[CTO]],"Otros")</f>
        <v>CTO 10</v>
      </c>
      <c r="O1217" s="154" t="str">
        <f>IF(PL[[#This Row],[STATUS IUP]]="CERRADO","CERRADO",IF(ISNUMBER(SEARCH("validacion de enel",PL[[#This Row],[SUPPLIER NOTES]])),"PTE Validar Enel","ABIERTO"))</f>
        <v>CERRADO</v>
      </c>
      <c r="P1217" s="154" t="str">
        <f>IF(PL[[#This Row],[ESTADO]]="CERRADO","Cerrados IUP",IF(PL[[#This Row],[ESTADO]]="PTE Validar Enel","Pendiente cierre ENEL",IF(ISNUMBER(SEARCH("suministro",PL[[#This Row],[SUPPLIER NOTES]])),"Suministros",IF(PL[[#This Row],[SC]]="SOCIAL","Social",IF(ISNUMBER(SEARCH("monolito",PL[[#This Row],[DESCRIPTION]])),"Monolitos","Varios")))))</f>
        <v>Cerrados IUP</v>
      </c>
      <c r="Q12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8" spans="1:17" s="157" customFormat="1" hidden="1" x14ac:dyDescent="0.2">
      <c r="A1218" s="151" t="s">
        <v>3283</v>
      </c>
      <c r="B1218" s="154" t="s">
        <v>8</v>
      </c>
      <c r="C1218" s="152">
        <v>10</v>
      </c>
      <c r="D1218" s="153" t="s">
        <v>3385</v>
      </c>
      <c r="E1218" s="154" t="s">
        <v>3284</v>
      </c>
      <c r="F1218" s="154" t="s">
        <v>2393</v>
      </c>
      <c r="G1218" s="154" t="s">
        <v>291</v>
      </c>
      <c r="H1218" s="154" t="s">
        <v>163</v>
      </c>
      <c r="I1218" s="154" t="s">
        <v>163</v>
      </c>
      <c r="J1218" s="154" t="s">
        <v>74</v>
      </c>
      <c r="K1218" s="154" t="s">
        <v>3394</v>
      </c>
      <c r="L1218" s="161">
        <v>46155</v>
      </c>
      <c r="M1218" s="160">
        <v>46155</v>
      </c>
      <c r="N1218" s="154" t="str">
        <f>IF(ISNUMBER(PL[[#This Row],[CTO]]),"CTO "&amp;PL[[#This Row],[CTO]],"Otros")</f>
        <v>CTO 10</v>
      </c>
      <c r="O1218" s="154" t="str">
        <f>IF(PL[[#This Row],[STATUS IUP]]="CERRADO","CERRADO",IF(ISNUMBER(SEARCH("validacion de enel",PL[[#This Row],[SUPPLIER NOTES]])),"PTE Validar Enel","ABIERTO"))</f>
        <v>CERRADO</v>
      </c>
      <c r="P1218" s="154" t="str">
        <f>IF(PL[[#This Row],[ESTADO]]="CERRADO","Cerrados IUP",IF(PL[[#This Row],[ESTADO]]="PTE Validar Enel","Pendiente cierre ENEL",IF(ISNUMBER(SEARCH("suministro",PL[[#This Row],[SUPPLIER NOTES]])),"Suministros",IF(PL[[#This Row],[SC]]="SOCIAL","Social",IF(ISNUMBER(SEARCH("monolito",PL[[#This Row],[DESCRIPTION]])),"Monolitos","Varios")))))</f>
        <v>Cerrados IUP</v>
      </c>
      <c r="Q12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19" spans="1:17" s="157" customFormat="1" hidden="1" x14ac:dyDescent="0.2">
      <c r="A1219" s="151" t="s">
        <v>3285</v>
      </c>
      <c r="B1219" s="154" t="s">
        <v>8</v>
      </c>
      <c r="C1219" s="152">
        <v>10</v>
      </c>
      <c r="D1219" s="153" t="s">
        <v>3385</v>
      </c>
      <c r="E1219" s="154" t="s">
        <v>3286</v>
      </c>
      <c r="F1219" s="154" t="s">
        <v>2445</v>
      </c>
      <c r="G1219" s="154" t="s">
        <v>291</v>
      </c>
      <c r="H1219" s="154" t="s">
        <v>163</v>
      </c>
      <c r="I1219" s="154" t="s">
        <v>163</v>
      </c>
      <c r="J1219" s="154" t="s">
        <v>74</v>
      </c>
      <c r="K1219" s="154" t="s">
        <v>3394</v>
      </c>
      <c r="L1219" s="161">
        <v>46155</v>
      </c>
      <c r="M1219" s="160">
        <v>46155</v>
      </c>
      <c r="N1219" s="154" t="str">
        <f>IF(ISNUMBER(PL[[#This Row],[CTO]]),"CTO "&amp;PL[[#This Row],[CTO]],"Otros")</f>
        <v>CTO 10</v>
      </c>
      <c r="O1219" s="154" t="str">
        <f>IF(PL[[#This Row],[STATUS IUP]]="CERRADO","CERRADO",IF(ISNUMBER(SEARCH("validacion de enel",PL[[#This Row],[SUPPLIER NOTES]])),"PTE Validar Enel","ABIERTO"))</f>
        <v>CERRADO</v>
      </c>
      <c r="P1219" s="154" t="str">
        <f>IF(PL[[#This Row],[ESTADO]]="CERRADO","Cerrados IUP",IF(PL[[#This Row],[ESTADO]]="PTE Validar Enel","Pendiente cierre ENEL",IF(ISNUMBER(SEARCH("suministro",PL[[#This Row],[SUPPLIER NOTES]])),"Suministros",IF(PL[[#This Row],[SC]]="SOCIAL","Social",IF(ISNUMBER(SEARCH("monolito",PL[[#This Row],[DESCRIPTION]])),"Monolitos","Varios")))))</f>
        <v>Cerrados IUP</v>
      </c>
      <c r="Q12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0" spans="1:17" s="157" customFormat="1" hidden="1" x14ac:dyDescent="0.2">
      <c r="A1220" s="151" t="s">
        <v>3287</v>
      </c>
      <c r="B1220" s="154" t="s">
        <v>8</v>
      </c>
      <c r="C1220" s="152">
        <v>10</v>
      </c>
      <c r="D1220" s="153" t="s">
        <v>3385</v>
      </c>
      <c r="E1220" s="154" t="s">
        <v>3288</v>
      </c>
      <c r="F1220" s="154" t="s">
        <v>2448</v>
      </c>
      <c r="G1220" s="154" t="s">
        <v>291</v>
      </c>
      <c r="H1220" s="154" t="s">
        <v>163</v>
      </c>
      <c r="I1220" s="154" t="s">
        <v>163</v>
      </c>
      <c r="J1220" s="154" t="s">
        <v>74</v>
      </c>
      <c r="K1220" s="154" t="s">
        <v>3394</v>
      </c>
      <c r="L1220" s="161">
        <v>46155</v>
      </c>
      <c r="M1220" s="160">
        <v>46155</v>
      </c>
      <c r="N1220" s="154" t="str">
        <f>IF(ISNUMBER(PL[[#This Row],[CTO]]),"CTO "&amp;PL[[#This Row],[CTO]],"Otros")</f>
        <v>CTO 10</v>
      </c>
      <c r="O1220" s="154" t="str">
        <f>IF(PL[[#This Row],[STATUS IUP]]="CERRADO","CERRADO",IF(ISNUMBER(SEARCH("validacion de enel",PL[[#This Row],[SUPPLIER NOTES]])),"PTE Validar Enel","ABIERTO"))</f>
        <v>CERRADO</v>
      </c>
      <c r="P1220" s="154" t="str">
        <f>IF(PL[[#This Row],[ESTADO]]="CERRADO","Cerrados IUP",IF(PL[[#This Row],[ESTADO]]="PTE Validar Enel","Pendiente cierre ENEL",IF(ISNUMBER(SEARCH("suministro",PL[[#This Row],[SUPPLIER NOTES]])),"Suministros",IF(PL[[#This Row],[SC]]="SOCIAL","Social",IF(ISNUMBER(SEARCH("monolito",PL[[#This Row],[DESCRIPTION]])),"Monolitos","Varios")))))</f>
        <v>Cerrados IUP</v>
      </c>
      <c r="Q12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1" spans="1:17" s="157" customFormat="1" hidden="1" x14ac:dyDescent="0.2">
      <c r="A1221" s="151" t="s">
        <v>3289</v>
      </c>
      <c r="B1221" s="154" t="s">
        <v>8</v>
      </c>
      <c r="C1221" s="152">
        <v>10</v>
      </c>
      <c r="D1221" s="153" t="s">
        <v>3385</v>
      </c>
      <c r="E1221" s="154" t="s">
        <v>3290</v>
      </c>
      <c r="F1221" s="154" t="s">
        <v>1584</v>
      </c>
      <c r="G1221" s="154" t="s">
        <v>291</v>
      </c>
      <c r="H1221" s="154" t="s">
        <v>163</v>
      </c>
      <c r="I1221" s="154" t="s">
        <v>163</v>
      </c>
      <c r="J1221" s="154" t="s">
        <v>74</v>
      </c>
      <c r="K1221" s="154" t="s">
        <v>3394</v>
      </c>
      <c r="L1221" s="161">
        <v>46155</v>
      </c>
      <c r="M1221" s="160">
        <v>46155</v>
      </c>
      <c r="N1221" s="154" t="str">
        <f>IF(ISNUMBER(PL[[#This Row],[CTO]]),"CTO "&amp;PL[[#This Row],[CTO]],"Otros")</f>
        <v>CTO 10</v>
      </c>
      <c r="O1221" s="154" t="str">
        <f>IF(PL[[#This Row],[STATUS IUP]]="CERRADO","CERRADO",IF(ISNUMBER(SEARCH("validacion de enel",PL[[#This Row],[SUPPLIER NOTES]])),"PTE Validar Enel","ABIERTO"))</f>
        <v>CERRADO</v>
      </c>
      <c r="P1221" s="154" t="str">
        <f>IF(PL[[#This Row],[ESTADO]]="CERRADO","Cerrados IUP",IF(PL[[#This Row],[ESTADO]]="PTE Validar Enel","Pendiente cierre ENEL",IF(ISNUMBER(SEARCH("suministro",PL[[#This Row],[SUPPLIER NOTES]])),"Suministros",IF(PL[[#This Row],[SC]]="SOCIAL","Social",IF(ISNUMBER(SEARCH("monolito",PL[[#This Row],[DESCRIPTION]])),"Monolitos","Varios")))))</f>
        <v>Cerrados IUP</v>
      </c>
      <c r="Q12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2" spans="1:17" s="157" customFormat="1" hidden="1" x14ac:dyDescent="0.2">
      <c r="A1222" s="151" t="s">
        <v>3291</v>
      </c>
      <c r="B1222" s="154" t="s">
        <v>8</v>
      </c>
      <c r="C1222" s="152">
        <v>10</v>
      </c>
      <c r="D1222" s="153" t="s">
        <v>3385</v>
      </c>
      <c r="E1222" s="154" t="s">
        <v>3292</v>
      </c>
      <c r="F1222" s="154" t="s">
        <v>2384</v>
      </c>
      <c r="G1222" s="154" t="s">
        <v>291</v>
      </c>
      <c r="H1222" s="154" t="s">
        <v>163</v>
      </c>
      <c r="I1222" s="154" t="s">
        <v>163</v>
      </c>
      <c r="J1222" s="154" t="s">
        <v>74</v>
      </c>
      <c r="K1222" s="154" t="s">
        <v>3394</v>
      </c>
      <c r="L1222" s="161">
        <v>46155</v>
      </c>
      <c r="M1222" s="160">
        <v>46155</v>
      </c>
      <c r="N1222" s="154" t="str">
        <f>IF(ISNUMBER(PL[[#This Row],[CTO]]),"CTO "&amp;PL[[#This Row],[CTO]],"Otros")</f>
        <v>CTO 10</v>
      </c>
      <c r="O1222" s="154" t="str">
        <f>IF(PL[[#This Row],[STATUS IUP]]="CERRADO","CERRADO",IF(ISNUMBER(SEARCH("validacion de enel",PL[[#This Row],[SUPPLIER NOTES]])),"PTE Validar Enel","ABIERTO"))</f>
        <v>CERRADO</v>
      </c>
      <c r="P1222" s="154" t="str">
        <f>IF(PL[[#This Row],[ESTADO]]="CERRADO","Cerrados IUP",IF(PL[[#This Row],[ESTADO]]="PTE Validar Enel","Pendiente cierre ENEL",IF(ISNUMBER(SEARCH("suministro",PL[[#This Row],[SUPPLIER NOTES]])),"Suministros",IF(PL[[#This Row],[SC]]="SOCIAL","Social",IF(ISNUMBER(SEARCH("monolito",PL[[#This Row],[DESCRIPTION]])),"Monolitos","Varios")))))</f>
        <v>Cerrados IUP</v>
      </c>
      <c r="Q122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3" spans="1:17" s="157" customFormat="1" hidden="1" x14ac:dyDescent="0.2">
      <c r="A1223" s="151" t="s">
        <v>3293</v>
      </c>
      <c r="B1223" s="154" t="s">
        <v>8</v>
      </c>
      <c r="C1223" s="152">
        <v>10</v>
      </c>
      <c r="D1223" s="153" t="s">
        <v>3385</v>
      </c>
      <c r="E1223" s="154" t="s">
        <v>3294</v>
      </c>
      <c r="F1223" s="154" t="s">
        <v>1828</v>
      </c>
      <c r="G1223" s="154" t="s">
        <v>291</v>
      </c>
      <c r="H1223" s="154" t="s">
        <v>163</v>
      </c>
      <c r="I1223" s="154" t="s">
        <v>163</v>
      </c>
      <c r="J1223" s="154" t="s">
        <v>74</v>
      </c>
      <c r="K1223" s="154" t="s">
        <v>3394</v>
      </c>
      <c r="L1223" s="161">
        <v>46155</v>
      </c>
      <c r="M1223" s="160">
        <v>46155</v>
      </c>
      <c r="N1223" s="154" t="str">
        <f>IF(ISNUMBER(PL[[#This Row],[CTO]]),"CTO "&amp;PL[[#This Row],[CTO]],"Otros")</f>
        <v>CTO 10</v>
      </c>
      <c r="O1223" s="154" t="str">
        <f>IF(PL[[#This Row],[STATUS IUP]]="CERRADO","CERRADO",IF(ISNUMBER(SEARCH("validacion de enel",PL[[#This Row],[SUPPLIER NOTES]])),"PTE Validar Enel","ABIERTO"))</f>
        <v>CERRADO</v>
      </c>
      <c r="P1223" s="154" t="str">
        <f>IF(PL[[#This Row],[ESTADO]]="CERRADO","Cerrados IUP",IF(PL[[#This Row],[ESTADO]]="PTE Validar Enel","Pendiente cierre ENEL",IF(ISNUMBER(SEARCH("suministro",PL[[#This Row],[SUPPLIER NOTES]])),"Suministros",IF(PL[[#This Row],[SC]]="SOCIAL","Social",IF(ISNUMBER(SEARCH("monolito",PL[[#This Row],[DESCRIPTION]])),"Monolitos","Varios")))))</f>
        <v>Cerrados IUP</v>
      </c>
      <c r="Q12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4" spans="1:17" s="157" customFormat="1" hidden="1" x14ac:dyDescent="0.2">
      <c r="A1224" s="151" t="s">
        <v>3295</v>
      </c>
      <c r="B1224" s="154" t="s">
        <v>8</v>
      </c>
      <c r="C1224" s="152">
        <v>10</v>
      </c>
      <c r="D1224" s="153" t="s">
        <v>3385</v>
      </c>
      <c r="E1224" s="154" t="s">
        <v>3296</v>
      </c>
      <c r="F1224" s="154" t="s">
        <v>2640</v>
      </c>
      <c r="G1224" s="154" t="s">
        <v>291</v>
      </c>
      <c r="H1224" s="154" t="s">
        <v>163</v>
      </c>
      <c r="I1224" s="154" t="s">
        <v>163</v>
      </c>
      <c r="J1224" s="154" t="s">
        <v>74</v>
      </c>
      <c r="K1224" s="154" t="s">
        <v>3394</v>
      </c>
      <c r="L1224" s="161">
        <v>46155</v>
      </c>
      <c r="M1224" s="160">
        <v>46155</v>
      </c>
      <c r="N1224" s="154" t="str">
        <f>IF(ISNUMBER(PL[[#This Row],[CTO]]),"CTO "&amp;PL[[#This Row],[CTO]],"Otros")</f>
        <v>CTO 10</v>
      </c>
      <c r="O1224" s="154" t="str">
        <f>IF(PL[[#This Row],[STATUS IUP]]="CERRADO","CERRADO",IF(ISNUMBER(SEARCH("validacion de enel",PL[[#This Row],[SUPPLIER NOTES]])),"PTE Validar Enel","ABIERTO"))</f>
        <v>CERRADO</v>
      </c>
      <c r="P1224" s="154" t="str">
        <f>IF(PL[[#This Row],[ESTADO]]="CERRADO","Cerrados IUP",IF(PL[[#This Row],[ESTADO]]="PTE Validar Enel","Pendiente cierre ENEL",IF(ISNUMBER(SEARCH("suministro",PL[[#This Row],[SUPPLIER NOTES]])),"Suministros",IF(PL[[#This Row],[SC]]="SOCIAL","Social",IF(ISNUMBER(SEARCH("monolito",PL[[#This Row],[DESCRIPTION]])),"Monolitos","Varios")))))</f>
        <v>Cerrados IUP</v>
      </c>
      <c r="Q12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5" spans="1:17" s="157" customFormat="1" hidden="1" x14ac:dyDescent="0.2">
      <c r="A1225" s="151" t="s">
        <v>3297</v>
      </c>
      <c r="B1225" s="154" t="s">
        <v>8</v>
      </c>
      <c r="C1225" s="152">
        <v>10</v>
      </c>
      <c r="D1225" s="153" t="s">
        <v>3385</v>
      </c>
      <c r="E1225" s="154" t="s">
        <v>3298</v>
      </c>
      <c r="F1225" s="154" t="s">
        <v>1389</v>
      </c>
      <c r="G1225" s="154" t="s">
        <v>291</v>
      </c>
      <c r="H1225" s="154" t="s">
        <v>163</v>
      </c>
      <c r="I1225" s="154" t="s">
        <v>163</v>
      </c>
      <c r="J1225" s="154" t="s">
        <v>74</v>
      </c>
      <c r="K1225" s="154" t="s">
        <v>3394</v>
      </c>
      <c r="L1225" s="161">
        <v>46155</v>
      </c>
      <c r="M1225" s="160">
        <v>46155</v>
      </c>
      <c r="N1225" s="154" t="str">
        <f>IF(ISNUMBER(PL[[#This Row],[CTO]]),"CTO "&amp;PL[[#This Row],[CTO]],"Otros")</f>
        <v>CTO 10</v>
      </c>
      <c r="O1225" s="154" t="str">
        <f>IF(PL[[#This Row],[STATUS IUP]]="CERRADO","CERRADO",IF(ISNUMBER(SEARCH("validacion de enel",PL[[#This Row],[SUPPLIER NOTES]])),"PTE Validar Enel","ABIERTO"))</f>
        <v>CERRADO</v>
      </c>
      <c r="P1225" s="154" t="str">
        <f>IF(PL[[#This Row],[ESTADO]]="CERRADO","Cerrados IUP",IF(PL[[#This Row],[ESTADO]]="PTE Validar Enel","Pendiente cierre ENEL",IF(ISNUMBER(SEARCH("suministro",PL[[#This Row],[SUPPLIER NOTES]])),"Suministros",IF(PL[[#This Row],[SC]]="SOCIAL","Social",IF(ISNUMBER(SEARCH("monolito",PL[[#This Row],[DESCRIPTION]])),"Monolitos","Varios")))))</f>
        <v>Cerrados IUP</v>
      </c>
      <c r="Q12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6" spans="1:17" s="157" customFormat="1" hidden="1" x14ac:dyDescent="0.2">
      <c r="A1226" s="151" t="s">
        <v>3299</v>
      </c>
      <c r="B1226" s="154" t="s">
        <v>8</v>
      </c>
      <c r="C1226" s="152">
        <v>10</v>
      </c>
      <c r="D1226" s="153" t="s">
        <v>3385</v>
      </c>
      <c r="E1226" s="154" t="s">
        <v>3300</v>
      </c>
      <c r="F1226" s="154" t="s">
        <v>2418</v>
      </c>
      <c r="G1226" s="154" t="s">
        <v>291</v>
      </c>
      <c r="H1226" s="154" t="s">
        <v>163</v>
      </c>
      <c r="I1226" s="154" t="s">
        <v>163</v>
      </c>
      <c r="J1226" s="154" t="s">
        <v>74</v>
      </c>
      <c r="K1226" s="154" t="s">
        <v>3394</v>
      </c>
      <c r="L1226" s="161">
        <v>46155</v>
      </c>
      <c r="M1226" s="160">
        <v>46155</v>
      </c>
      <c r="N1226" s="154" t="str">
        <f>IF(ISNUMBER(PL[[#This Row],[CTO]]),"CTO "&amp;PL[[#This Row],[CTO]],"Otros")</f>
        <v>CTO 10</v>
      </c>
      <c r="O1226" s="154" t="str">
        <f>IF(PL[[#This Row],[STATUS IUP]]="CERRADO","CERRADO",IF(ISNUMBER(SEARCH("validacion de enel",PL[[#This Row],[SUPPLIER NOTES]])),"PTE Validar Enel","ABIERTO"))</f>
        <v>CERRADO</v>
      </c>
      <c r="P1226" s="154" t="str">
        <f>IF(PL[[#This Row],[ESTADO]]="CERRADO","Cerrados IUP",IF(PL[[#This Row],[ESTADO]]="PTE Validar Enel","Pendiente cierre ENEL",IF(ISNUMBER(SEARCH("suministro",PL[[#This Row],[SUPPLIER NOTES]])),"Suministros",IF(PL[[#This Row],[SC]]="SOCIAL","Social",IF(ISNUMBER(SEARCH("monolito",PL[[#This Row],[DESCRIPTION]])),"Monolitos","Varios")))))</f>
        <v>Cerrados IUP</v>
      </c>
      <c r="Q122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7" spans="1:17" s="157" customFormat="1" hidden="1" x14ac:dyDescent="0.2">
      <c r="A1227" s="151" t="s">
        <v>3301</v>
      </c>
      <c r="B1227" s="154" t="s">
        <v>8</v>
      </c>
      <c r="C1227" s="152">
        <v>10</v>
      </c>
      <c r="D1227" s="153" t="s">
        <v>3385</v>
      </c>
      <c r="E1227" s="154" t="s">
        <v>3302</v>
      </c>
      <c r="F1227" s="154" t="s">
        <v>2646</v>
      </c>
      <c r="G1227" s="154" t="s">
        <v>291</v>
      </c>
      <c r="H1227" s="154" t="s">
        <v>163</v>
      </c>
      <c r="I1227" s="154" t="s">
        <v>163</v>
      </c>
      <c r="J1227" s="154" t="s">
        <v>74</v>
      </c>
      <c r="K1227" s="154" t="s">
        <v>3394</v>
      </c>
      <c r="L1227" s="161">
        <v>46155</v>
      </c>
      <c r="M1227" s="160">
        <v>46155</v>
      </c>
      <c r="N1227" s="154" t="str">
        <f>IF(ISNUMBER(PL[[#This Row],[CTO]]),"CTO "&amp;PL[[#This Row],[CTO]],"Otros")</f>
        <v>CTO 10</v>
      </c>
      <c r="O1227" s="154" t="str">
        <f>IF(PL[[#This Row],[STATUS IUP]]="CERRADO","CERRADO",IF(ISNUMBER(SEARCH("validacion de enel",PL[[#This Row],[SUPPLIER NOTES]])),"PTE Validar Enel","ABIERTO"))</f>
        <v>CERRADO</v>
      </c>
      <c r="P1227" s="154" t="str">
        <f>IF(PL[[#This Row],[ESTADO]]="CERRADO","Cerrados IUP",IF(PL[[#This Row],[ESTADO]]="PTE Validar Enel","Pendiente cierre ENEL",IF(ISNUMBER(SEARCH("suministro",PL[[#This Row],[SUPPLIER NOTES]])),"Suministros",IF(PL[[#This Row],[SC]]="SOCIAL","Social",IF(ISNUMBER(SEARCH("monolito",PL[[#This Row],[DESCRIPTION]])),"Monolitos","Varios")))))</f>
        <v>Cerrados IUP</v>
      </c>
      <c r="Q122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8" spans="1:17" s="157" customFormat="1" hidden="1" x14ac:dyDescent="0.2">
      <c r="A1228" s="151" t="s">
        <v>3303</v>
      </c>
      <c r="B1228" s="154" t="s">
        <v>8</v>
      </c>
      <c r="C1228" s="152">
        <v>10</v>
      </c>
      <c r="D1228" s="153" t="s">
        <v>3385</v>
      </c>
      <c r="E1228" s="154" t="s">
        <v>3304</v>
      </c>
      <c r="F1228" s="154" t="s">
        <v>1999</v>
      </c>
      <c r="G1228" s="154" t="s">
        <v>291</v>
      </c>
      <c r="H1228" s="154" t="s">
        <v>163</v>
      </c>
      <c r="I1228" s="154" t="s">
        <v>163</v>
      </c>
      <c r="J1228" s="154" t="s">
        <v>74</v>
      </c>
      <c r="K1228" s="154" t="s">
        <v>3394</v>
      </c>
      <c r="L1228" s="161">
        <v>46155</v>
      </c>
      <c r="M1228" s="160">
        <v>46155</v>
      </c>
      <c r="N1228" s="154" t="str">
        <f>IF(ISNUMBER(PL[[#This Row],[CTO]]),"CTO "&amp;PL[[#This Row],[CTO]],"Otros")</f>
        <v>CTO 10</v>
      </c>
      <c r="O1228" s="154" t="str">
        <f>IF(PL[[#This Row],[STATUS IUP]]="CERRADO","CERRADO",IF(ISNUMBER(SEARCH("validacion de enel",PL[[#This Row],[SUPPLIER NOTES]])),"PTE Validar Enel","ABIERTO"))</f>
        <v>CERRADO</v>
      </c>
      <c r="P1228" s="154" t="str">
        <f>IF(PL[[#This Row],[ESTADO]]="CERRADO","Cerrados IUP",IF(PL[[#This Row],[ESTADO]]="PTE Validar Enel","Pendiente cierre ENEL",IF(ISNUMBER(SEARCH("suministro",PL[[#This Row],[SUPPLIER NOTES]])),"Suministros",IF(PL[[#This Row],[SC]]="SOCIAL","Social",IF(ISNUMBER(SEARCH("monolito",PL[[#This Row],[DESCRIPTION]])),"Monolitos","Varios")))))</f>
        <v>Cerrados IUP</v>
      </c>
      <c r="Q122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29" spans="1:17" s="157" customFormat="1" hidden="1" x14ac:dyDescent="0.2">
      <c r="A1229" s="151" t="s">
        <v>70</v>
      </c>
      <c r="B1229" s="154" t="s">
        <v>8</v>
      </c>
      <c r="C1229" s="152">
        <v>10</v>
      </c>
      <c r="D1229" s="153" t="s">
        <v>3385</v>
      </c>
      <c r="E1229" s="154"/>
      <c r="F1229" s="154" t="s">
        <v>71</v>
      </c>
      <c r="G1229" s="154" t="s">
        <v>43</v>
      </c>
      <c r="H1229" s="154" t="s">
        <v>73</v>
      </c>
      <c r="I1229" s="154" t="s">
        <v>73</v>
      </c>
      <c r="J1229" s="154" t="s">
        <v>74</v>
      </c>
      <c r="K1229" s="154" t="s">
        <v>3394</v>
      </c>
      <c r="L1229" s="161">
        <v>46226</v>
      </c>
      <c r="M1229" s="160">
        <v>46226</v>
      </c>
      <c r="N1229" s="154" t="str">
        <f>IF(ISNUMBER(PL[[#This Row],[CTO]]),"CTO "&amp;PL[[#This Row],[CTO]],"Otros")</f>
        <v>CTO 10</v>
      </c>
      <c r="O1229" s="154" t="str">
        <f>IF(PL[[#This Row],[STATUS IUP]]="CERRADO","CERRADO",IF(ISNUMBER(SEARCH("validacion de enel",PL[[#This Row],[SUPPLIER NOTES]])),"PTE Validar Enel","ABIERTO"))</f>
        <v>CERRADO</v>
      </c>
      <c r="P1229" s="154" t="str">
        <f>IF(PL[[#This Row],[ESTADO]]="CERRADO","Cerrados IUP",IF(PL[[#This Row],[ESTADO]]="PTE Validar Enel","Pendiente cierre ENEL",IF(ISNUMBER(SEARCH("suministro",PL[[#This Row],[SUPPLIER NOTES]])),"Suministros",IF(PL[[#This Row],[SC]]="SOCIAL","Social",IF(ISNUMBER(SEARCH("monolito",PL[[#This Row],[DESCRIPTION]])),"Monolitos","Varios")))))</f>
        <v>Cerrados IUP</v>
      </c>
      <c r="Q122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0" spans="1:17" s="157" customFormat="1" hidden="1" x14ac:dyDescent="0.2">
      <c r="A1230" s="151" t="s">
        <v>75</v>
      </c>
      <c r="B1230" s="154" t="s">
        <v>8</v>
      </c>
      <c r="C1230" s="152">
        <v>10</v>
      </c>
      <c r="D1230" s="153" t="s">
        <v>3385</v>
      </c>
      <c r="E1230" s="154"/>
      <c r="F1230" s="154" t="s">
        <v>76</v>
      </c>
      <c r="G1230" s="154" t="s">
        <v>43</v>
      </c>
      <c r="H1230" s="154" t="s">
        <v>77</v>
      </c>
      <c r="I1230" s="154" t="s">
        <v>78</v>
      </c>
      <c r="J1230" s="154" t="s">
        <v>74</v>
      </c>
      <c r="K1230" s="154" t="s">
        <v>3394</v>
      </c>
      <c r="L1230" s="161">
        <v>46226</v>
      </c>
      <c r="M1230" s="160">
        <v>46226</v>
      </c>
      <c r="N1230" s="154" t="str">
        <f>IF(ISNUMBER(PL[[#This Row],[CTO]]),"CTO "&amp;PL[[#This Row],[CTO]],"Otros")</f>
        <v>CTO 10</v>
      </c>
      <c r="O1230" s="154" t="str">
        <f>IF(PL[[#This Row],[STATUS IUP]]="CERRADO","CERRADO",IF(ISNUMBER(SEARCH("validacion de enel",PL[[#This Row],[SUPPLIER NOTES]])),"PTE Validar Enel","ABIERTO"))</f>
        <v>CERRADO</v>
      </c>
      <c r="P1230" s="154" t="str">
        <f>IF(PL[[#This Row],[ESTADO]]="CERRADO","Cerrados IUP",IF(PL[[#This Row],[ESTADO]]="PTE Validar Enel","Pendiente cierre ENEL",IF(ISNUMBER(SEARCH("suministro",PL[[#This Row],[SUPPLIER NOTES]])),"Suministros",IF(PL[[#This Row],[SC]]="SOCIAL","Social",IF(ISNUMBER(SEARCH("monolito",PL[[#This Row],[DESCRIPTION]])),"Monolitos","Varios")))))</f>
        <v>Cerrados IUP</v>
      </c>
      <c r="Q123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1" spans="1:17" s="157" customFormat="1" hidden="1" x14ac:dyDescent="0.2">
      <c r="A1231" s="151" t="s">
        <v>101</v>
      </c>
      <c r="B1231" s="154" t="s">
        <v>102</v>
      </c>
      <c r="C1231" s="152">
        <v>10</v>
      </c>
      <c r="D1231" s="153" t="s">
        <v>3385</v>
      </c>
      <c r="E1231" s="154" t="s">
        <v>103</v>
      </c>
      <c r="F1231" s="154" t="s">
        <v>104</v>
      </c>
      <c r="G1231" s="154" t="s">
        <v>216</v>
      </c>
      <c r="H1231" s="154"/>
      <c r="I1231" s="154"/>
      <c r="J1231" s="154" t="s">
        <v>74</v>
      </c>
      <c r="K1231" s="154" t="s">
        <v>3394</v>
      </c>
      <c r="L1231" s="154"/>
      <c r="M1231" s="156"/>
      <c r="N1231" s="154" t="str">
        <f>IF(ISNUMBER(PL[[#This Row],[CTO]]),"CTO "&amp;PL[[#This Row],[CTO]],"Otros")</f>
        <v>CTO 10</v>
      </c>
      <c r="O1231" s="154" t="str">
        <f>IF(PL[[#This Row],[STATUS IUP]]="CERRADO","CERRADO",IF(ISNUMBER(SEARCH("validacion de enel",PL[[#This Row],[SUPPLIER NOTES]])),"PTE Validar Enel","ABIERTO"))</f>
        <v>CERRADO</v>
      </c>
      <c r="P1231" s="154" t="str">
        <f>IF(PL[[#This Row],[ESTADO]]="CERRADO","Cerrados IUP",IF(PL[[#This Row],[ESTADO]]="PTE Validar Enel","Pendiente cierre ENEL",IF(ISNUMBER(SEARCH("suministro",PL[[#This Row],[SUPPLIER NOTES]])),"Suministros",IF(PL[[#This Row],[SC]]="SOCIAL","Social",IF(ISNUMBER(SEARCH("monolito",PL[[#This Row],[DESCRIPTION]])),"Monolitos","Varios")))))</f>
        <v>Cerrados IUP</v>
      </c>
      <c r="Q123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2" spans="1:17" s="157" customFormat="1" hidden="1" x14ac:dyDescent="0.2">
      <c r="A1232" s="151" t="s">
        <v>66</v>
      </c>
      <c r="B1232" s="154" t="s">
        <v>47</v>
      </c>
      <c r="C1232" s="152">
        <v>10</v>
      </c>
      <c r="D1232" s="153" t="s">
        <v>3385</v>
      </c>
      <c r="E1232" s="154"/>
      <c r="F1232" s="154" t="s">
        <v>67</v>
      </c>
      <c r="G1232" s="154" t="s">
        <v>49</v>
      </c>
      <c r="H1232" s="154"/>
      <c r="I1232" s="154"/>
      <c r="J1232" s="154" t="s">
        <v>74</v>
      </c>
      <c r="K1232" s="154" t="s">
        <v>3394</v>
      </c>
      <c r="L1232" s="154"/>
      <c r="M1232" s="156"/>
      <c r="N1232" s="154" t="str">
        <f>IF(ISNUMBER(PL[[#This Row],[CTO]]),"CTO "&amp;PL[[#This Row],[CTO]],"Otros")</f>
        <v>CTO 10</v>
      </c>
      <c r="O1232" s="154" t="str">
        <f>IF(PL[[#This Row],[STATUS IUP]]="CERRADO","CERRADO",IF(ISNUMBER(SEARCH("validacion de enel",PL[[#This Row],[SUPPLIER NOTES]])),"PTE Validar Enel","ABIERTO"))</f>
        <v>CERRADO</v>
      </c>
      <c r="P1232" s="154" t="str">
        <f>IF(PL[[#This Row],[ESTADO]]="CERRADO","Cerrados IUP",IF(PL[[#This Row],[ESTADO]]="PTE Validar Enel","Pendiente cierre ENEL",IF(ISNUMBER(SEARCH("suministro",PL[[#This Row],[SUPPLIER NOTES]])),"Suministros",IF(PL[[#This Row],[SC]]="SOCIAL","Social",IF(ISNUMBER(SEARCH("monolito",PL[[#This Row],[DESCRIPTION]])),"Monolitos","Varios")))))</f>
        <v>Cerrados IUP</v>
      </c>
      <c r="Q123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3" spans="1:17" hidden="1" x14ac:dyDescent="0.2">
      <c r="A1233" s="66" t="s">
        <v>2687</v>
      </c>
      <c r="B1233" s="67" t="s">
        <v>1266</v>
      </c>
      <c r="C1233" s="52">
        <v>10</v>
      </c>
      <c r="D1233" s="68" t="s">
        <v>3385</v>
      </c>
      <c r="E1233" s="67" t="s">
        <v>2688</v>
      </c>
      <c r="F1233" s="67" t="s">
        <v>2689</v>
      </c>
      <c r="G1233" s="82" t="s">
        <v>1290</v>
      </c>
      <c r="H1233" s="90"/>
      <c r="I1233" s="67"/>
      <c r="J1233" s="67" t="s">
        <v>11</v>
      </c>
      <c r="K1233" s="67" t="s">
        <v>3393</v>
      </c>
      <c r="L1233" s="67"/>
      <c r="M1233" s="69"/>
      <c r="N1233" s="67" t="str">
        <f>IF(ISNUMBER(PL[[#This Row],[CTO]]),"CTO "&amp;PL[[#This Row],[CTO]],"Otros")</f>
        <v>CTO 10</v>
      </c>
      <c r="O1233" s="67" t="str">
        <f>IF(PL[[#This Row],[STATUS IUP]]="CERRADO","CERRADO",IF(ISNUMBER(SEARCH("validacion de enel",PL[[#This Row],[SUPPLIER NOTES]])),"PTE Validar Enel","ABIERTO"))</f>
        <v>ABIERTO</v>
      </c>
      <c r="P1233" s="67" t="str">
        <f>IF(PL[[#This Row],[ESTADO]]="CERRADO","Cerrados IUP",IF(PL[[#This Row],[ESTADO]]="PTE Validar Enel","Pendiente cierre ENEL",IF(ISNUMBER(SEARCH("suministro",PL[[#This Row],[SUPPLIER NOTES]])),"Suministros",IF(PL[[#This Row],[SC]]="SOCIAL","Social",IF(ISNUMBER(SEARCH("monolito",PL[[#This Row],[DESCRIPTION]])),"Monolitos","Varios")))))</f>
        <v>Varios</v>
      </c>
      <c r="Q123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4" spans="1:17" hidden="1" x14ac:dyDescent="0.2">
      <c r="A1234" s="66" t="s">
        <v>1673</v>
      </c>
      <c r="B1234" s="67" t="s">
        <v>8</v>
      </c>
      <c r="C1234" s="52">
        <v>10</v>
      </c>
      <c r="D1234" s="68" t="s">
        <v>3385</v>
      </c>
      <c r="E1234" s="67" t="s">
        <v>1674</v>
      </c>
      <c r="F1234" s="67" t="s">
        <v>1675</v>
      </c>
      <c r="G1234" s="82" t="s">
        <v>1290</v>
      </c>
      <c r="H1234" s="90" t="s">
        <v>3464</v>
      </c>
      <c r="I1234" s="67"/>
      <c r="J1234" s="67" t="s">
        <v>11</v>
      </c>
      <c r="K1234" s="67" t="s">
        <v>3393</v>
      </c>
      <c r="L1234" s="67"/>
      <c r="M1234" s="69"/>
      <c r="N1234" s="67" t="str">
        <f>IF(ISNUMBER(PL[[#This Row],[CTO]]),"CTO "&amp;PL[[#This Row],[CTO]],"Otros")</f>
        <v>CTO 10</v>
      </c>
      <c r="O1234" s="67" t="str">
        <f>IF(PL[[#This Row],[STATUS IUP]]="CERRADO","CERRADO",IF(ISNUMBER(SEARCH("validacion de enel",PL[[#This Row],[SUPPLIER NOTES]])),"PTE Validar Enel","ABIERTO"))</f>
        <v>ABIERTO</v>
      </c>
      <c r="P1234" s="67" t="str">
        <f>IF(PL[[#This Row],[ESTADO]]="CERRADO","Cerrados IUP",IF(PL[[#This Row],[ESTADO]]="PTE Validar Enel","Pendiente cierre ENEL",IF(ISNUMBER(SEARCH("suministro",PL[[#This Row],[SUPPLIER NOTES]])),"Suministros",IF(PL[[#This Row],[SC]]="SOCIAL","Social",IF(ISNUMBER(SEARCH("monolito",PL[[#This Row],[DESCRIPTION]])),"Monolitos","Varios")))))</f>
        <v>Varios</v>
      </c>
      <c r="Q123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5" spans="1:17" hidden="1" x14ac:dyDescent="0.2">
      <c r="A1235" s="66" t="s">
        <v>2714</v>
      </c>
      <c r="B1235" s="67" t="s">
        <v>8</v>
      </c>
      <c r="C1235" s="52">
        <v>10</v>
      </c>
      <c r="D1235" s="68" t="s">
        <v>3385</v>
      </c>
      <c r="E1235" s="67" t="s">
        <v>2715</v>
      </c>
      <c r="F1235" s="67" t="s">
        <v>2716</v>
      </c>
      <c r="G1235" s="82" t="s">
        <v>1289</v>
      </c>
      <c r="H1235" s="90" t="s">
        <v>3463</v>
      </c>
      <c r="I1235" s="67"/>
      <c r="J1235" s="67" t="s">
        <v>11</v>
      </c>
      <c r="K1235" s="67" t="s">
        <v>3393</v>
      </c>
      <c r="L1235" s="67"/>
      <c r="M1235" s="69"/>
      <c r="N1235" s="67" t="str">
        <f>IF(ISNUMBER(PL[[#This Row],[CTO]]),"CTO "&amp;PL[[#This Row],[CTO]],"Otros")</f>
        <v>CTO 10</v>
      </c>
      <c r="O1235" s="67" t="str">
        <f>IF(PL[[#This Row],[STATUS IUP]]="CERRADO","CERRADO",IF(ISNUMBER(SEARCH("validacion de enel",PL[[#This Row],[SUPPLIER NOTES]])),"PTE Validar Enel","ABIERTO"))</f>
        <v>ABIERTO</v>
      </c>
      <c r="P1235" s="67" t="str">
        <f>IF(PL[[#This Row],[ESTADO]]="CERRADO","Cerrados IUP",IF(PL[[#This Row],[ESTADO]]="PTE Validar Enel","Pendiente cierre ENEL",IF(ISNUMBER(SEARCH("suministro",PL[[#This Row],[SUPPLIER NOTES]])),"Suministros",IF(PL[[#This Row],[SC]]="SOCIAL","Social",IF(ISNUMBER(SEARCH("monolito",PL[[#This Row],[DESCRIPTION]])),"Monolitos","Varios")))))</f>
        <v>Varios</v>
      </c>
      <c r="Q1235"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6" spans="1:17" hidden="1" x14ac:dyDescent="0.2">
      <c r="A1236" s="66" t="s">
        <v>2807</v>
      </c>
      <c r="B1236" s="67" t="s">
        <v>41</v>
      </c>
      <c r="C1236" s="52">
        <v>10</v>
      </c>
      <c r="D1236" s="68" t="s">
        <v>3385</v>
      </c>
      <c r="E1236" s="67" t="s">
        <v>2808</v>
      </c>
      <c r="F1236" s="67" t="s">
        <v>2809</v>
      </c>
      <c r="G1236" s="82" t="s">
        <v>1289</v>
      </c>
      <c r="H1236" s="90"/>
      <c r="I1236" s="67"/>
      <c r="J1236" s="67" t="s">
        <v>74</v>
      </c>
      <c r="K1236" s="67" t="s">
        <v>3394</v>
      </c>
      <c r="L1236" s="119">
        <v>46305</v>
      </c>
      <c r="M1236" s="69"/>
      <c r="N1236" s="67" t="str">
        <f>IF(ISNUMBER(PL[[#This Row],[CTO]]),"CTO "&amp;PL[[#This Row],[CTO]],"Otros")</f>
        <v>CTO 10</v>
      </c>
      <c r="O1236" s="67" t="str">
        <f>IF(PL[[#This Row],[STATUS IUP]]="CERRADO","CERRADO",IF(ISNUMBER(SEARCH("validacion de enel",PL[[#This Row],[SUPPLIER NOTES]])),"PTE Validar Enel","ABIERTO"))</f>
        <v>CERRADO</v>
      </c>
      <c r="P1236" s="67" t="str">
        <f>IF(PL[[#This Row],[ESTADO]]="CERRADO","Cerrados IUP",IF(PL[[#This Row],[ESTADO]]="PTE Validar Enel","Pendiente cierre ENEL",IF(ISNUMBER(SEARCH("suministro",PL[[#This Row],[SUPPLIER NOTES]])),"Suministros",IF(PL[[#This Row],[SC]]="SOCIAL","Social",IF(ISNUMBER(SEARCH("monolito",PL[[#This Row],[DESCRIPTION]])),"Monolitos","Varios")))))</f>
        <v>Cerrados IUP</v>
      </c>
      <c r="Q123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37" spans="1:17" s="157" customFormat="1" hidden="1" x14ac:dyDescent="0.2">
      <c r="A1237" s="151" t="s">
        <v>1141</v>
      </c>
      <c r="B1237" s="154" t="s">
        <v>41</v>
      </c>
      <c r="C1237" s="152">
        <v>10</v>
      </c>
      <c r="D1237" s="153" t="s">
        <v>3385</v>
      </c>
      <c r="E1237" s="154"/>
      <c r="F1237" s="154" t="s">
        <v>1142</v>
      </c>
      <c r="G1237" s="154" t="s">
        <v>43</v>
      </c>
      <c r="H1237" s="154"/>
      <c r="I1237" s="154"/>
      <c r="J1237" s="154" t="s">
        <v>74</v>
      </c>
      <c r="K1237" s="154" t="s">
        <v>3394</v>
      </c>
      <c r="L1237" s="154"/>
      <c r="M1237" s="156"/>
      <c r="N1237" s="154" t="str">
        <f>IF(ISNUMBER(PL[[#This Row],[CTO]]),"CTO "&amp;PL[[#This Row],[CTO]],"Otros")</f>
        <v>CTO 10</v>
      </c>
      <c r="O1237" s="154" t="str">
        <f>IF(PL[[#This Row],[STATUS IUP]]="CERRADO","CERRADO",IF(ISNUMBER(SEARCH("validacion de enel",PL[[#This Row],[SUPPLIER NOTES]])),"PTE Validar Enel","ABIERTO"))</f>
        <v>CERRADO</v>
      </c>
      <c r="P1237" s="154" t="str">
        <f>IF(PL[[#This Row],[ESTADO]]="CERRADO","Cerrados IUP",IF(PL[[#This Row],[ESTADO]]="PTE Validar Enel","Pendiente cierre ENEL",IF(ISNUMBER(SEARCH("suministro",PL[[#This Row],[SUPPLIER NOTES]])),"Suministros",IF(PL[[#This Row],[SC]]="SOCIAL","Social",IF(ISNUMBER(SEARCH("monolito",PL[[#This Row],[DESCRIPTION]])),"Monolitos","Varios")))))</f>
        <v>Cerrados IUP</v>
      </c>
      <c r="Q123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238" spans="1:17" s="157" customFormat="1" hidden="1" x14ac:dyDescent="0.2">
      <c r="A1238" s="151" t="s">
        <v>1161</v>
      </c>
      <c r="B1238" s="154" t="s">
        <v>41</v>
      </c>
      <c r="C1238" s="152">
        <v>10</v>
      </c>
      <c r="D1238" s="153" t="s">
        <v>3385</v>
      </c>
      <c r="E1238" s="154"/>
      <c r="F1238" s="154" t="s">
        <v>1162</v>
      </c>
      <c r="G1238" s="154" t="s">
        <v>49</v>
      </c>
      <c r="H1238" s="154"/>
      <c r="I1238" s="154"/>
      <c r="J1238" s="154" t="s">
        <v>74</v>
      </c>
      <c r="K1238" s="154" t="s">
        <v>3394</v>
      </c>
      <c r="L1238" s="154"/>
      <c r="M1238" s="156"/>
      <c r="N1238" s="154" t="str">
        <f>IF(ISNUMBER(PL[[#This Row],[CTO]]),"CTO "&amp;PL[[#This Row],[CTO]],"Otros")</f>
        <v>CTO 10</v>
      </c>
      <c r="O1238" s="154" t="str">
        <f>IF(PL[[#This Row],[STATUS IUP]]="CERRADO","CERRADO",IF(ISNUMBER(SEARCH("validacion de enel",PL[[#This Row],[SUPPLIER NOTES]])),"PTE Validar Enel","ABIERTO"))</f>
        <v>CERRADO</v>
      </c>
      <c r="P1238" s="154" t="str">
        <f>IF(PL[[#This Row],[ESTADO]]="CERRADO","Cerrados IUP",IF(PL[[#This Row],[ESTADO]]="PTE Validar Enel","Pendiente cierre ENEL",IF(ISNUMBER(SEARCH("suministro",PL[[#This Row],[SUPPLIER NOTES]])),"Suministros",IF(PL[[#This Row],[SC]]="SOCIAL","Social",IF(ISNUMBER(SEARCH("monolito",PL[[#This Row],[DESCRIPTION]])),"Monolitos","Varios")))))</f>
        <v>Cerrados IUP</v>
      </c>
      <c r="Q123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39" spans="1:17" s="157" customFormat="1" hidden="1" x14ac:dyDescent="0.2">
      <c r="A1239" s="151" t="s">
        <v>1163</v>
      </c>
      <c r="B1239" s="154" t="s">
        <v>41</v>
      </c>
      <c r="C1239" s="152">
        <v>10</v>
      </c>
      <c r="D1239" s="153" t="s">
        <v>3385</v>
      </c>
      <c r="E1239" s="154"/>
      <c r="F1239" s="154" t="s">
        <v>1164</v>
      </c>
      <c r="G1239" s="154" t="s">
        <v>49</v>
      </c>
      <c r="H1239" s="154"/>
      <c r="I1239" s="154"/>
      <c r="J1239" s="154" t="s">
        <v>74</v>
      </c>
      <c r="K1239" s="154" t="s">
        <v>3394</v>
      </c>
      <c r="L1239" s="154"/>
      <c r="M1239" s="156"/>
      <c r="N1239" s="154" t="str">
        <f>IF(ISNUMBER(PL[[#This Row],[CTO]]),"CTO "&amp;PL[[#This Row],[CTO]],"Otros")</f>
        <v>CTO 10</v>
      </c>
      <c r="O1239" s="154" t="str">
        <f>IF(PL[[#This Row],[STATUS IUP]]="CERRADO","CERRADO",IF(ISNUMBER(SEARCH("validacion de enel",PL[[#This Row],[SUPPLIER NOTES]])),"PTE Validar Enel","ABIERTO"))</f>
        <v>CERRADO</v>
      </c>
      <c r="P1239" s="154" t="str">
        <f>IF(PL[[#This Row],[ESTADO]]="CERRADO","Cerrados IUP",IF(PL[[#This Row],[ESTADO]]="PTE Validar Enel","Pendiente cierre ENEL",IF(ISNUMBER(SEARCH("suministro",PL[[#This Row],[SUPPLIER NOTES]])),"Suministros",IF(PL[[#This Row],[SC]]="SOCIAL","Social",IF(ISNUMBER(SEARCH("monolito",PL[[#This Row],[DESCRIPTION]])),"Monolitos","Varios")))))</f>
        <v>Cerrados IUP</v>
      </c>
      <c r="Q123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0" spans="1:17" s="157" customFormat="1" hidden="1" x14ac:dyDescent="0.2">
      <c r="A1240" s="151" t="s">
        <v>1165</v>
      </c>
      <c r="B1240" s="154" t="s">
        <v>41</v>
      </c>
      <c r="C1240" s="152">
        <v>10</v>
      </c>
      <c r="D1240" s="153" t="s">
        <v>3385</v>
      </c>
      <c r="E1240" s="154"/>
      <c r="F1240" s="154" t="s">
        <v>1166</v>
      </c>
      <c r="G1240" s="154" t="s">
        <v>49</v>
      </c>
      <c r="H1240" s="154"/>
      <c r="I1240" s="154"/>
      <c r="J1240" s="154" t="s">
        <v>74</v>
      </c>
      <c r="K1240" s="154" t="s">
        <v>3394</v>
      </c>
      <c r="L1240" s="154"/>
      <c r="M1240" s="156"/>
      <c r="N1240" s="154" t="str">
        <f>IF(ISNUMBER(PL[[#This Row],[CTO]]),"CTO "&amp;PL[[#This Row],[CTO]],"Otros")</f>
        <v>CTO 10</v>
      </c>
      <c r="O1240" s="154" t="str">
        <f>IF(PL[[#This Row],[STATUS IUP]]="CERRADO","CERRADO",IF(ISNUMBER(SEARCH("validacion de enel",PL[[#This Row],[SUPPLIER NOTES]])),"PTE Validar Enel","ABIERTO"))</f>
        <v>CERRADO</v>
      </c>
      <c r="P1240" s="154" t="str">
        <f>IF(PL[[#This Row],[ESTADO]]="CERRADO","Cerrados IUP",IF(PL[[#This Row],[ESTADO]]="PTE Validar Enel","Pendiente cierre ENEL",IF(ISNUMBER(SEARCH("suministro",PL[[#This Row],[SUPPLIER NOTES]])),"Suministros",IF(PL[[#This Row],[SC]]="SOCIAL","Social",IF(ISNUMBER(SEARCH("monolito",PL[[#This Row],[DESCRIPTION]])),"Monolitos","Varios")))))</f>
        <v>Cerrados IUP</v>
      </c>
      <c r="Q124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1" spans="1:17" s="157" customFormat="1" hidden="1" x14ac:dyDescent="0.2">
      <c r="A1241" s="151" t="s">
        <v>1167</v>
      </c>
      <c r="B1241" s="154" t="s">
        <v>41</v>
      </c>
      <c r="C1241" s="152">
        <v>10</v>
      </c>
      <c r="D1241" s="153" t="s">
        <v>3385</v>
      </c>
      <c r="E1241" s="154"/>
      <c r="F1241" s="154" t="s">
        <v>1168</v>
      </c>
      <c r="G1241" s="154" t="s">
        <v>49</v>
      </c>
      <c r="H1241" s="154"/>
      <c r="I1241" s="154"/>
      <c r="J1241" s="154" t="s">
        <v>74</v>
      </c>
      <c r="K1241" s="154" t="s">
        <v>3394</v>
      </c>
      <c r="L1241" s="154"/>
      <c r="M1241" s="156"/>
      <c r="N1241" s="154" t="str">
        <f>IF(ISNUMBER(PL[[#This Row],[CTO]]),"CTO "&amp;PL[[#This Row],[CTO]],"Otros")</f>
        <v>CTO 10</v>
      </c>
      <c r="O1241" s="154" t="str">
        <f>IF(PL[[#This Row],[STATUS IUP]]="CERRADO","CERRADO",IF(ISNUMBER(SEARCH("validacion de enel",PL[[#This Row],[SUPPLIER NOTES]])),"PTE Validar Enel","ABIERTO"))</f>
        <v>CERRADO</v>
      </c>
      <c r="P1241" s="154" t="str">
        <f>IF(PL[[#This Row],[ESTADO]]="CERRADO","Cerrados IUP",IF(PL[[#This Row],[ESTADO]]="PTE Validar Enel","Pendiente cierre ENEL",IF(ISNUMBER(SEARCH("suministro",PL[[#This Row],[SUPPLIER NOTES]])),"Suministros",IF(PL[[#This Row],[SC]]="SOCIAL","Social",IF(ISNUMBER(SEARCH("monolito",PL[[#This Row],[DESCRIPTION]])),"Monolitos","Varios")))))</f>
        <v>Cerrados IUP</v>
      </c>
      <c r="Q12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2" spans="1:17" s="157" customFormat="1" hidden="1" x14ac:dyDescent="0.2">
      <c r="A1242" s="151" t="s">
        <v>1169</v>
      </c>
      <c r="B1242" s="154" t="s">
        <v>41</v>
      </c>
      <c r="C1242" s="152">
        <v>10</v>
      </c>
      <c r="D1242" s="153" t="s">
        <v>3385</v>
      </c>
      <c r="E1242" s="154"/>
      <c r="F1242" s="154" t="s">
        <v>1170</v>
      </c>
      <c r="G1242" s="154" t="s">
        <v>49</v>
      </c>
      <c r="H1242" s="154"/>
      <c r="I1242" s="154"/>
      <c r="J1242" s="154" t="s">
        <v>74</v>
      </c>
      <c r="K1242" s="154" t="s">
        <v>3394</v>
      </c>
      <c r="L1242" s="154"/>
      <c r="M1242" s="156"/>
      <c r="N1242" s="154" t="str">
        <f>IF(ISNUMBER(PL[[#This Row],[CTO]]),"CTO "&amp;PL[[#This Row],[CTO]],"Otros")</f>
        <v>CTO 10</v>
      </c>
      <c r="O1242" s="154" t="str">
        <f>IF(PL[[#This Row],[STATUS IUP]]="CERRADO","CERRADO",IF(ISNUMBER(SEARCH("validacion de enel",PL[[#This Row],[SUPPLIER NOTES]])),"PTE Validar Enel","ABIERTO"))</f>
        <v>CERRADO</v>
      </c>
      <c r="P1242" s="154" t="str">
        <f>IF(PL[[#This Row],[ESTADO]]="CERRADO","Cerrados IUP",IF(PL[[#This Row],[ESTADO]]="PTE Validar Enel","Pendiente cierre ENEL",IF(ISNUMBER(SEARCH("suministro",PL[[#This Row],[SUPPLIER NOTES]])),"Suministros",IF(PL[[#This Row],[SC]]="SOCIAL","Social",IF(ISNUMBER(SEARCH("monolito",PL[[#This Row],[DESCRIPTION]])),"Monolitos","Varios")))))</f>
        <v>Cerrados IUP</v>
      </c>
      <c r="Q124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3" spans="1:17" s="157" customFormat="1" hidden="1" x14ac:dyDescent="0.2">
      <c r="A1243" s="151" t="s">
        <v>1171</v>
      </c>
      <c r="B1243" s="154" t="s">
        <v>41</v>
      </c>
      <c r="C1243" s="152">
        <v>10</v>
      </c>
      <c r="D1243" s="153" t="s">
        <v>3385</v>
      </c>
      <c r="E1243" s="154"/>
      <c r="F1243" s="154" t="s">
        <v>1172</v>
      </c>
      <c r="G1243" s="154" t="s">
        <v>49</v>
      </c>
      <c r="H1243" s="154"/>
      <c r="I1243" s="154"/>
      <c r="J1243" s="154" t="s">
        <v>74</v>
      </c>
      <c r="K1243" s="154" t="s">
        <v>3394</v>
      </c>
      <c r="L1243" s="154"/>
      <c r="M1243" s="156"/>
      <c r="N1243" s="154" t="str">
        <f>IF(ISNUMBER(PL[[#This Row],[CTO]]),"CTO "&amp;PL[[#This Row],[CTO]],"Otros")</f>
        <v>CTO 10</v>
      </c>
      <c r="O1243" s="154" t="str">
        <f>IF(PL[[#This Row],[STATUS IUP]]="CERRADO","CERRADO",IF(ISNUMBER(SEARCH("validacion de enel",PL[[#This Row],[SUPPLIER NOTES]])),"PTE Validar Enel","ABIERTO"))</f>
        <v>CERRADO</v>
      </c>
      <c r="P1243" s="154" t="str">
        <f>IF(PL[[#This Row],[ESTADO]]="CERRADO","Cerrados IUP",IF(PL[[#This Row],[ESTADO]]="PTE Validar Enel","Pendiente cierre ENEL",IF(ISNUMBER(SEARCH("suministro",PL[[#This Row],[SUPPLIER NOTES]])),"Suministros",IF(PL[[#This Row],[SC]]="SOCIAL","Social",IF(ISNUMBER(SEARCH("monolito",PL[[#This Row],[DESCRIPTION]])),"Monolitos","Varios")))))</f>
        <v>Cerrados IUP</v>
      </c>
      <c r="Q12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4" spans="1:17" s="157" customFormat="1" hidden="1" x14ac:dyDescent="0.2">
      <c r="A1244" s="151" t="s">
        <v>1173</v>
      </c>
      <c r="B1244" s="154" t="s">
        <v>41</v>
      </c>
      <c r="C1244" s="152">
        <v>10</v>
      </c>
      <c r="D1244" s="153" t="s">
        <v>3385</v>
      </c>
      <c r="E1244" s="154"/>
      <c r="F1244" s="154" t="s">
        <v>1174</v>
      </c>
      <c r="G1244" s="154" t="s">
        <v>49</v>
      </c>
      <c r="H1244" s="154"/>
      <c r="I1244" s="154"/>
      <c r="J1244" s="154" t="s">
        <v>74</v>
      </c>
      <c r="K1244" s="154" t="s">
        <v>3394</v>
      </c>
      <c r="L1244" s="154"/>
      <c r="M1244" s="156"/>
      <c r="N1244" s="154" t="str">
        <f>IF(ISNUMBER(PL[[#This Row],[CTO]]),"CTO "&amp;PL[[#This Row],[CTO]],"Otros")</f>
        <v>CTO 10</v>
      </c>
      <c r="O1244" s="154" t="str">
        <f>IF(PL[[#This Row],[STATUS IUP]]="CERRADO","CERRADO",IF(ISNUMBER(SEARCH("validacion de enel",PL[[#This Row],[SUPPLIER NOTES]])),"PTE Validar Enel","ABIERTO"))</f>
        <v>CERRADO</v>
      </c>
      <c r="P1244" s="154" t="str">
        <f>IF(PL[[#This Row],[ESTADO]]="CERRADO","Cerrados IUP",IF(PL[[#This Row],[ESTADO]]="PTE Validar Enel","Pendiente cierre ENEL",IF(ISNUMBER(SEARCH("suministro",PL[[#This Row],[SUPPLIER NOTES]])),"Suministros",IF(PL[[#This Row],[SC]]="SOCIAL","Social",IF(ISNUMBER(SEARCH("monolito",PL[[#This Row],[DESCRIPTION]])),"Monolitos","Varios")))))</f>
        <v>Cerrados IUP</v>
      </c>
      <c r="Q12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5" spans="1:17" s="157" customFormat="1" hidden="1" x14ac:dyDescent="0.2">
      <c r="A1245" s="151" t="s">
        <v>1175</v>
      </c>
      <c r="B1245" s="154" t="s">
        <v>41</v>
      </c>
      <c r="C1245" s="152">
        <v>10</v>
      </c>
      <c r="D1245" s="153" t="s">
        <v>3385</v>
      </c>
      <c r="E1245" s="154"/>
      <c r="F1245" s="154" t="s">
        <v>1176</v>
      </c>
      <c r="G1245" s="154" t="s">
        <v>49</v>
      </c>
      <c r="H1245" s="154"/>
      <c r="I1245" s="154"/>
      <c r="J1245" s="154" t="s">
        <v>74</v>
      </c>
      <c r="K1245" s="154" t="s">
        <v>3394</v>
      </c>
      <c r="L1245" s="154"/>
      <c r="M1245" s="156"/>
      <c r="N1245" s="154" t="str">
        <f>IF(ISNUMBER(PL[[#This Row],[CTO]]),"CTO "&amp;PL[[#This Row],[CTO]],"Otros")</f>
        <v>CTO 10</v>
      </c>
      <c r="O1245" s="154" t="str">
        <f>IF(PL[[#This Row],[STATUS IUP]]="CERRADO","CERRADO",IF(ISNUMBER(SEARCH("validacion de enel",PL[[#This Row],[SUPPLIER NOTES]])),"PTE Validar Enel","ABIERTO"))</f>
        <v>CERRADO</v>
      </c>
      <c r="P1245" s="154" t="str">
        <f>IF(PL[[#This Row],[ESTADO]]="CERRADO","Cerrados IUP",IF(PL[[#This Row],[ESTADO]]="PTE Validar Enel","Pendiente cierre ENEL",IF(ISNUMBER(SEARCH("suministro",PL[[#This Row],[SUPPLIER NOTES]])),"Suministros",IF(PL[[#This Row],[SC]]="SOCIAL","Social",IF(ISNUMBER(SEARCH("monolito",PL[[#This Row],[DESCRIPTION]])),"Monolitos","Varios")))))</f>
        <v>Cerrados IUP</v>
      </c>
      <c r="Q12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6" spans="1:17" s="157" customFormat="1" hidden="1" x14ac:dyDescent="0.2">
      <c r="A1246" s="151" t="s">
        <v>1177</v>
      </c>
      <c r="B1246" s="154" t="s">
        <v>41</v>
      </c>
      <c r="C1246" s="152">
        <v>10</v>
      </c>
      <c r="D1246" s="153" t="s">
        <v>3385</v>
      </c>
      <c r="E1246" s="154"/>
      <c r="F1246" s="154" t="s">
        <v>1178</v>
      </c>
      <c r="G1246" s="154" t="s">
        <v>49</v>
      </c>
      <c r="H1246" s="154"/>
      <c r="I1246" s="154"/>
      <c r="J1246" s="154" t="s">
        <v>74</v>
      </c>
      <c r="K1246" s="154" t="s">
        <v>3394</v>
      </c>
      <c r="L1246" s="154"/>
      <c r="M1246" s="156"/>
      <c r="N1246" s="154" t="str">
        <f>IF(ISNUMBER(PL[[#This Row],[CTO]]),"CTO "&amp;PL[[#This Row],[CTO]],"Otros")</f>
        <v>CTO 10</v>
      </c>
      <c r="O1246" s="154" t="str">
        <f>IF(PL[[#This Row],[STATUS IUP]]="CERRADO","CERRADO",IF(ISNUMBER(SEARCH("validacion de enel",PL[[#This Row],[SUPPLIER NOTES]])),"PTE Validar Enel","ABIERTO"))</f>
        <v>CERRADO</v>
      </c>
      <c r="P1246" s="154" t="str">
        <f>IF(PL[[#This Row],[ESTADO]]="CERRADO","Cerrados IUP",IF(PL[[#This Row],[ESTADO]]="PTE Validar Enel","Pendiente cierre ENEL",IF(ISNUMBER(SEARCH("suministro",PL[[#This Row],[SUPPLIER NOTES]])),"Suministros",IF(PL[[#This Row],[SC]]="SOCIAL","Social",IF(ISNUMBER(SEARCH("monolito",PL[[#This Row],[DESCRIPTION]])),"Monolitos","Varios")))))</f>
        <v>Cerrados IUP</v>
      </c>
      <c r="Q124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247" spans="1:17" s="157" customFormat="1" hidden="1" x14ac:dyDescent="0.2">
      <c r="A1247" s="151" t="s">
        <v>89</v>
      </c>
      <c r="B1247" s="154" t="s">
        <v>8</v>
      </c>
      <c r="C1247" s="152">
        <v>10</v>
      </c>
      <c r="D1247" s="153" t="s">
        <v>3385</v>
      </c>
      <c r="E1247" s="154"/>
      <c r="F1247" s="154" t="s">
        <v>90</v>
      </c>
      <c r="G1247" s="154" t="s">
        <v>1290</v>
      </c>
      <c r="H1247" s="154"/>
      <c r="I1247" s="154"/>
      <c r="J1247" s="154" t="s">
        <v>74</v>
      </c>
      <c r="K1247" s="154" t="s">
        <v>3394</v>
      </c>
      <c r="L1247" s="154"/>
      <c r="M1247" s="156"/>
      <c r="N1247" s="154" t="str">
        <f>IF(ISNUMBER(PL[[#This Row],[CTO]]),"CTO "&amp;PL[[#This Row],[CTO]],"Otros")</f>
        <v>CTO 10</v>
      </c>
      <c r="O1247" s="154" t="str">
        <f>IF(PL[[#This Row],[STATUS IUP]]="CERRADO","CERRADO",IF(ISNUMBER(SEARCH("validacion de enel",PL[[#This Row],[SUPPLIER NOTES]])),"PTE Validar Enel","ABIERTO"))</f>
        <v>CERRADO</v>
      </c>
      <c r="P1247" s="154" t="str">
        <f>IF(PL[[#This Row],[ESTADO]]="CERRADO","Cerrados IUP",IF(PL[[#This Row],[ESTADO]]="PTE Validar Enel","Pendiente cierre ENEL",IF(ISNUMBER(SEARCH("suministro",PL[[#This Row],[SUPPLIER NOTES]])),"Suministros",IF(PL[[#This Row],[SC]]="SOCIAL","Social",IF(ISNUMBER(SEARCH("monolito",PL[[#This Row],[DESCRIPTION]])),"Monolitos","Varios")))))</f>
        <v>Cerrados IUP</v>
      </c>
      <c r="Q124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48" spans="1:17" x14ac:dyDescent="0.2">
      <c r="A1248" s="75" t="s">
        <v>1210</v>
      </c>
      <c r="B1248" s="74" t="s">
        <v>8</v>
      </c>
      <c r="C1248" s="52">
        <v>10</v>
      </c>
      <c r="D1248" s="76" t="s">
        <v>3385</v>
      </c>
      <c r="E1248" s="74"/>
      <c r="F1248" s="74" t="s">
        <v>1211</v>
      </c>
      <c r="G1248" s="112" t="s">
        <v>43</v>
      </c>
      <c r="H1248" s="74" t="s">
        <v>3460</v>
      </c>
      <c r="I1248" s="74"/>
      <c r="J1248" s="74" t="s">
        <v>11</v>
      </c>
      <c r="K1248" s="74" t="s">
        <v>3393</v>
      </c>
      <c r="L1248" s="74"/>
      <c r="M1248" s="77"/>
      <c r="N1248" s="74" t="str">
        <f>IF(ISNUMBER(PL[[#This Row],[CTO]]),"CTO "&amp;PL[[#This Row],[CTO]],"Otros")</f>
        <v>CTO 10</v>
      </c>
      <c r="O1248" s="74" t="str">
        <f>IF(PL[[#This Row],[STATUS IUP]]="CERRADO","CERRADO",IF(ISNUMBER(SEARCH("validacion de enel",PL[[#This Row],[SUPPLIER NOTES]])),"PTE Validar Enel","ABIERTO"))</f>
        <v>ABIERTO</v>
      </c>
      <c r="P1248" s="74" t="str">
        <f>IF(PL[[#This Row],[ESTADO]]="CERRADO","Cerrados IUP",IF(PL[[#This Row],[ESTADO]]="PTE Validar Enel","Pendiente cierre ENEL",IF(ISNUMBER(SEARCH("suministro",PL[[#This Row],[SUPPLIER NOTES]])),"Suministros",IF(PL[[#This Row],[SC]]="SOCIAL","Social",IF(ISNUMBER(SEARCH("monolito",PL[[#This Row],[DESCRIPTION]])),"Monolitos","Varios")))))</f>
        <v>Suministros</v>
      </c>
      <c r="Q1248"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249" spans="1:17" s="157" customFormat="1" hidden="1" x14ac:dyDescent="0.2">
      <c r="A1249" s="151" t="s">
        <v>1240</v>
      </c>
      <c r="B1249" s="154" t="s">
        <v>8</v>
      </c>
      <c r="C1249" s="152">
        <v>10</v>
      </c>
      <c r="D1249" s="153" t="s">
        <v>3385</v>
      </c>
      <c r="E1249" s="154"/>
      <c r="F1249" s="154" t="s">
        <v>1241</v>
      </c>
      <c r="G1249" s="154" t="s">
        <v>43</v>
      </c>
      <c r="H1249" s="154"/>
      <c r="I1249" s="154"/>
      <c r="J1249" s="154" t="s">
        <v>74</v>
      </c>
      <c r="K1249" s="154" t="s">
        <v>3394</v>
      </c>
      <c r="L1249" s="154"/>
      <c r="M1249" s="156"/>
      <c r="N1249" s="154" t="str">
        <f>IF(ISNUMBER(PL[[#This Row],[CTO]]),"CTO "&amp;PL[[#This Row],[CTO]],"Otros")</f>
        <v>CTO 10</v>
      </c>
      <c r="O1249" s="154" t="str">
        <f>IF(PL[[#This Row],[STATUS IUP]]="CERRADO","CERRADO",IF(ISNUMBER(SEARCH("validacion de enel",PL[[#This Row],[SUPPLIER NOTES]])),"PTE Validar Enel","ABIERTO"))</f>
        <v>CERRADO</v>
      </c>
      <c r="P1249" s="154" t="str">
        <f>IF(PL[[#This Row],[ESTADO]]="CERRADO","Cerrados IUP",IF(PL[[#This Row],[ESTADO]]="PTE Validar Enel","Pendiente cierre ENEL",IF(ISNUMBER(SEARCH("suministro",PL[[#This Row],[SUPPLIER NOTES]])),"Suministros",IF(PL[[#This Row],[SC]]="SOCIAL","Social",IF(ISNUMBER(SEARCH("monolito",PL[[#This Row],[DESCRIPTION]])),"Monolitos","Varios")))))</f>
        <v>Cerrados IUP</v>
      </c>
      <c r="Q124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250" spans="1:17" ht="48" x14ac:dyDescent="0.2">
      <c r="A1250" s="86" t="s">
        <v>1242</v>
      </c>
      <c r="B1250" s="115" t="s">
        <v>8</v>
      </c>
      <c r="C1250" s="52" t="s">
        <v>3419</v>
      </c>
      <c r="D1250" s="88" t="s">
        <v>3419</v>
      </c>
      <c r="E1250" s="87"/>
      <c r="F1250" s="115" t="s">
        <v>1243</v>
      </c>
      <c r="G1250" s="87" t="s">
        <v>43</v>
      </c>
      <c r="H1250" s="87" t="s">
        <v>3454</v>
      </c>
      <c r="I1250" s="87"/>
      <c r="J1250" s="87" t="s">
        <v>11</v>
      </c>
      <c r="K1250" s="87" t="s">
        <v>3393</v>
      </c>
      <c r="L1250" s="87"/>
      <c r="M1250" s="89"/>
      <c r="N1250" s="87" t="str">
        <f>IF(ISNUMBER(PL[[#This Row],[CTO]]),"CTO "&amp;PL[[#This Row],[CTO]],"Otros")</f>
        <v>Otros</v>
      </c>
      <c r="O1250" s="87" t="str">
        <f>IF(PL[[#This Row],[STATUS IUP]]="CERRADO","CERRADO",IF(ISNUMBER(SEARCH("validacion de enel",PL[[#This Row],[SUPPLIER NOTES]])),"PTE Validar Enel","ABIERTO"))</f>
        <v>PTE Validar Enel</v>
      </c>
      <c r="P1250"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250"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251" spans="1:17" s="157" customFormat="1" hidden="1" x14ac:dyDescent="0.2">
      <c r="A1251" s="151" t="s">
        <v>1246</v>
      </c>
      <c r="B1251" s="154" t="s">
        <v>8</v>
      </c>
      <c r="C1251" s="152">
        <v>10</v>
      </c>
      <c r="D1251" s="153" t="s">
        <v>3385</v>
      </c>
      <c r="E1251" s="154"/>
      <c r="F1251" s="154" t="s">
        <v>1247</v>
      </c>
      <c r="G1251" s="154" t="s">
        <v>43</v>
      </c>
      <c r="H1251" s="154"/>
      <c r="I1251" s="154"/>
      <c r="J1251" s="154" t="s">
        <v>74</v>
      </c>
      <c r="K1251" s="154" t="s">
        <v>3394</v>
      </c>
      <c r="L1251" s="154"/>
      <c r="M1251" s="156"/>
      <c r="N1251" s="154" t="str">
        <f>IF(ISNUMBER(PL[[#This Row],[CTO]]),"CTO "&amp;PL[[#This Row],[CTO]],"Otros")</f>
        <v>CTO 10</v>
      </c>
      <c r="O1251" s="154" t="str">
        <f>IF(PL[[#This Row],[STATUS IUP]]="CERRADO","CERRADO",IF(ISNUMBER(SEARCH("validacion de enel",PL[[#This Row],[SUPPLIER NOTES]])),"PTE Validar Enel","ABIERTO"))</f>
        <v>CERRADO</v>
      </c>
      <c r="P1251" s="154" t="str">
        <f>IF(PL[[#This Row],[ESTADO]]="CERRADO","Cerrados IUP",IF(PL[[#This Row],[ESTADO]]="PTE Validar Enel","Pendiente cierre ENEL",IF(ISNUMBER(SEARCH("suministro",PL[[#This Row],[SUPPLIER NOTES]])),"Suministros",IF(PL[[#This Row],[SC]]="SOCIAL","Social",IF(ISNUMBER(SEARCH("monolito",PL[[#This Row],[DESCRIPTION]])),"Monolitos","Varios")))))</f>
        <v>Cerrados IUP</v>
      </c>
      <c r="Q125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252" spans="1:17" s="157" customFormat="1" ht="16" hidden="1" x14ac:dyDescent="0.2">
      <c r="A1252" s="151" t="s">
        <v>2488</v>
      </c>
      <c r="B1252" s="152" t="s">
        <v>41</v>
      </c>
      <c r="C1252" s="152">
        <v>10</v>
      </c>
      <c r="D1252" s="153" t="s">
        <v>3375</v>
      </c>
      <c r="E1252" s="154" t="s">
        <v>2489</v>
      </c>
      <c r="F1252" s="152" t="s">
        <v>2490</v>
      </c>
      <c r="G1252" s="154" t="s">
        <v>1290</v>
      </c>
      <c r="H1252" s="154" t="s">
        <v>3454</v>
      </c>
      <c r="I1252" s="154"/>
      <c r="J1252" s="154" t="s">
        <v>74</v>
      </c>
      <c r="K1252" s="154" t="s">
        <v>3394</v>
      </c>
      <c r="L1252" s="155">
        <v>46303</v>
      </c>
      <c r="M1252" s="156"/>
      <c r="N1252" s="154" t="str">
        <f>IF(ISNUMBER(PL[[#This Row],[CTO]]),"CTO "&amp;PL[[#This Row],[CTO]],"Otros")</f>
        <v>CTO 10</v>
      </c>
      <c r="O1252" s="154" t="str">
        <f>IF(PL[[#This Row],[STATUS IUP]]="CERRADO","CERRADO",IF(ISNUMBER(SEARCH("validacion de enel",PL[[#This Row],[SUPPLIER NOTES]])),"PTE Validar Enel","ABIERTO"))</f>
        <v>CERRADO</v>
      </c>
      <c r="P1252" s="154" t="str">
        <f>IF(PL[[#This Row],[ESTADO]]="CERRADO","Cerrados IUP",IF(PL[[#This Row],[ESTADO]]="PTE Validar Enel","Pendiente cierre ENEL",IF(ISNUMBER(SEARCH("suministro",PL[[#This Row],[SUPPLIER NOTES]])),"Suministros",IF(PL[[#This Row],[SC]]="SOCIAL","Social",IF(ISNUMBER(SEARCH("monolito",PL[[#This Row],[DESCRIPTION]])),"Monolitos","Varios")))))</f>
        <v>Cerrados IUP</v>
      </c>
      <c r="Q125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3" spans="1:17" ht="32" hidden="1" x14ac:dyDescent="0.2">
      <c r="A1253" s="86" t="s">
        <v>2079</v>
      </c>
      <c r="B1253" s="115" t="s">
        <v>41</v>
      </c>
      <c r="C1253" s="52">
        <v>10</v>
      </c>
      <c r="D1253" s="88" t="s">
        <v>3375</v>
      </c>
      <c r="E1253" s="87" t="s">
        <v>2080</v>
      </c>
      <c r="F1253" s="115" t="s">
        <v>2081</v>
      </c>
      <c r="G1253" s="82" t="s">
        <v>1289</v>
      </c>
      <c r="H1253" s="87" t="s">
        <v>3454</v>
      </c>
      <c r="I1253" s="87"/>
      <c r="J1253" s="87" t="s">
        <v>11</v>
      </c>
      <c r="K1253" s="87" t="s">
        <v>3393</v>
      </c>
      <c r="L1253" s="87"/>
      <c r="M1253" s="89"/>
      <c r="N1253" s="87" t="str">
        <f>IF(ISNUMBER(PL[[#This Row],[CTO]]),"CTO "&amp;PL[[#This Row],[CTO]],"Otros")</f>
        <v>CTO 10</v>
      </c>
      <c r="O1253" s="87" t="str">
        <f>IF(PL[[#This Row],[STATUS IUP]]="CERRADO","CERRADO",IF(ISNUMBER(SEARCH("validacion de enel",PL[[#This Row],[SUPPLIER NOTES]])),"PTE Validar Enel","ABIERTO"))</f>
        <v>PTE Validar Enel</v>
      </c>
      <c r="P1253"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253"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4" spans="1:17" ht="32" hidden="1" x14ac:dyDescent="0.2">
      <c r="A1254" s="86" t="s">
        <v>1967</v>
      </c>
      <c r="B1254" s="115" t="s">
        <v>1266</v>
      </c>
      <c r="C1254" s="52">
        <v>10</v>
      </c>
      <c r="D1254" s="88" t="s">
        <v>3375</v>
      </c>
      <c r="E1254" s="87" t="s">
        <v>1968</v>
      </c>
      <c r="F1254" s="115" t="s">
        <v>1969</v>
      </c>
      <c r="G1254" s="82" t="s">
        <v>1290</v>
      </c>
      <c r="H1254" s="87" t="s">
        <v>3454</v>
      </c>
      <c r="I1254" s="87"/>
      <c r="J1254" s="87" t="s">
        <v>11</v>
      </c>
      <c r="K1254" s="87" t="s">
        <v>3393</v>
      </c>
      <c r="L1254" s="87"/>
      <c r="M1254" s="89"/>
      <c r="N1254" s="87" t="str">
        <f>IF(ISNUMBER(PL[[#This Row],[CTO]]),"CTO "&amp;PL[[#This Row],[CTO]],"Otros")</f>
        <v>CTO 10</v>
      </c>
      <c r="O1254" s="87" t="str">
        <f>IF(PL[[#This Row],[STATUS IUP]]="CERRADO","CERRADO",IF(ISNUMBER(SEARCH("validacion de enel",PL[[#This Row],[SUPPLIER NOTES]])),"PTE Validar Enel","ABIERTO"))</f>
        <v>PTE Validar Enel</v>
      </c>
      <c r="P1254" s="87" t="str">
        <f>IF(PL[[#This Row],[ESTADO]]="CERRADO","Cerrados IUP",IF(PL[[#This Row],[ESTADO]]="PTE Validar Enel","Pendiente cierre ENEL",IF(ISNUMBER(SEARCH("suministro",PL[[#This Row],[SUPPLIER NOTES]])),"Suministros",IF(PL[[#This Row],[SC]]="SOCIAL","Social",IF(ISNUMBER(SEARCH("monolito",PL[[#This Row],[DESCRIPTION]])),"Monolitos","Varios")))))</f>
        <v>Pendiente cierre ENEL</v>
      </c>
      <c r="Q1254" s="8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5" spans="1:17" s="157" customFormat="1" ht="32" hidden="1" x14ac:dyDescent="0.2">
      <c r="A1255" s="151" t="s">
        <v>1372</v>
      </c>
      <c r="B1255" s="152" t="s">
        <v>1266</v>
      </c>
      <c r="C1255" s="152">
        <v>10</v>
      </c>
      <c r="D1255" s="153" t="s">
        <v>3375</v>
      </c>
      <c r="E1255" s="154" t="s">
        <v>1373</v>
      </c>
      <c r="F1255" s="152" t="s">
        <v>1374</v>
      </c>
      <c r="G1255" s="154" t="s">
        <v>1290</v>
      </c>
      <c r="H1255" s="154" t="s">
        <v>3454</v>
      </c>
      <c r="I1255" s="154"/>
      <c r="J1255" s="154" t="s">
        <v>74</v>
      </c>
      <c r="K1255" s="154" t="s">
        <v>3394</v>
      </c>
      <c r="L1255" s="155">
        <v>46293</v>
      </c>
      <c r="M1255" s="156"/>
      <c r="N1255" s="154" t="str">
        <f>IF(ISNUMBER(PL[[#This Row],[CTO]]),"CTO "&amp;PL[[#This Row],[CTO]],"Otros")</f>
        <v>CTO 10</v>
      </c>
      <c r="O1255" s="154" t="str">
        <f>IF(PL[[#This Row],[STATUS IUP]]="CERRADO","CERRADO",IF(ISNUMBER(SEARCH("validacion de enel",PL[[#This Row],[SUPPLIER NOTES]])),"PTE Validar Enel","ABIERTO"))</f>
        <v>CERRADO</v>
      </c>
      <c r="P1255" s="154" t="str">
        <f>IF(PL[[#This Row],[ESTADO]]="CERRADO","Cerrados IUP",IF(PL[[#This Row],[ESTADO]]="PTE Validar Enel","Pendiente cierre ENEL",IF(ISNUMBER(SEARCH("suministro",PL[[#This Row],[SUPPLIER NOTES]])),"Suministros",IF(PL[[#This Row],[SC]]="SOCIAL","Social",IF(ISNUMBER(SEARCH("monolito",PL[[#This Row],[DESCRIPTION]])),"Monolitos","Varios")))))</f>
        <v>Cerrados IUP</v>
      </c>
      <c r="Q125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6" spans="1:17" s="157" customFormat="1" hidden="1" x14ac:dyDescent="0.2">
      <c r="A1256" s="151" t="s">
        <v>1331</v>
      </c>
      <c r="B1256" s="154" t="s">
        <v>1291</v>
      </c>
      <c r="C1256" s="152">
        <v>10</v>
      </c>
      <c r="D1256" s="153" t="s">
        <v>3375</v>
      </c>
      <c r="E1256" s="154" t="s">
        <v>1332</v>
      </c>
      <c r="F1256" s="154" t="s">
        <v>1333</v>
      </c>
      <c r="G1256" s="154" t="s">
        <v>43</v>
      </c>
      <c r="H1256" s="154" t="s">
        <v>77</v>
      </c>
      <c r="I1256" s="154" t="s">
        <v>77</v>
      </c>
      <c r="J1256" s="154" t="s">
        <v>74</v>
      </c>
      <c r="K1256" s="154" t="s">
        <v>3394</v>
      </c>
      <c r="L1256" s="161">
        <v>46226</v>
      </c>
      <c r="M1256" s="160">
        <v>46226</v>
      </c>
      <c r="N1256" s="154" t="str">
        <f>IF(ISNUMBER(PL[[#This Row],[CTO]]),"CTO "&amp;PL[[#This Row],[CTO]],"Otros")</f>
        <v>CTO 10</v>
      </c>
      <c r="O1256" s="154" t="str">
        <f>IF(PL[[#This Row],[STATUS IUP]]="CERRADO","CERRADO",IF(ISNUMBER(SEARCH("validacion de enel",PL[[#This Row],[SUPPLIER NOTES]])),"PTE Validar Enel","ABIERTO"))</f>
        <v>CERRADO</v>
      </c>
      <c r="P1256" s="154" t="str">
        <f>IF(PL[[#This Row],[ESTADO]]="CERRADO","Cerrados IUP",IF(PL[[#This Row],[ESTADO]]="PTE Validar Enel","Pendiente cierre ENEL",IF(ISNUMBER(SEARCH("suministro",PL[[#This Row],[SUPPLIER NOTES]])),"Suministros",IF(PL[[#This Row],[SC]]="SOCIAL","Social",IF(ISNUMBER(SEARCH("monolito",PL[[#This Row],[DESCRIPTION]])),"Monolitos","Varios")))))</f>
        <v>Cerrados IUP</v>
      </c>
      <c r="Q125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7" spans="1:17" s="157" customFormat="1" hidden="1" x14ac:dyDescent="0.2">
      <c r="A1257" s="151" t="s">
        <v>1453</v>
      </c>
      <c r="B1257" s="154" t="s">
        <v>8</v>
      </c>
      <c r="C1257" s="152">
        <v>10</v>
      </c>
      <c r="D1257" s="153" t="s">
        <v>3375</v>
      </c>
      <c r="E1257" s="154" t="s">
        <v>1454</v>
      </c>
      <c r="F1257" s="154" t="s">
        <v>1455</v>
      </c>
      <c r="G1257" s="154" t="s">
        <v>216</v>
      </c>
      <c r="H1257" s="154"/>
      <c r="I1257" s="154"/>
      <c r="J1257" s="154" t="s">
        <v>74</v>
      </c>
      <c r="K1257" s="154" t="s">
        <v>3394</v>
      </c>
      <c r="L1257" s="154"/>
      <c r="M1257" s="156"/>
      <c r="N1257" s="154" t="str">
        <f>IF(ISNUMBER(PL[[#This Row],[CTO]]),"CTO "&amp;PL[[#This Row],[CTO]],"Otros")</f>
        <v>CTO 10</v>
      </c>
      <c r="O1257" s="154" t="str">
        <f>IF(PL[[#This Row],[STATUS IUP]]="CERRADO","CERRADO",IF(ISNUMBER(SEARCH("validacion de enel",PL[[#This Row],[SUPPLIER NOTES]])),"PTE Validar Enel","ABIERTO"))</f>
        <v>CERRADO</v>
      </c>
      <c r="P1257" s="154" t="str">
        <f>IF(PL[[#This Row],[ESTADO]]="CERRADO","Cerrados IUP",IF(PL[[#This Row],[ESTADO]]="PTE Validar Enel","Pendiente cierre ENEL",IF(ISNUMBER(SEARCH("suministro",PL[[#This Row],[SUPPLIER NOTES]])),"Suministros",IF(PL[[#This Row],[SC]]="SOCIAL","Social",IF(ISNUMBER(SEARCH("monolito",PL[[#This Row],[DESCRIPTION]])),"Monolitos","Varios")))))</f>
        <v>Cerrados IUP</v>
      </c>
      <c r="Q125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8" spans="1:17" s="157" customFormat="1" hidden="1" x14ac:dyDescent="0.2">
      <c r="A1258" s="151" t="s">
        <v>2399</v>
      </c>
      <c r="B1258" s="154" t="s">
        <v>41</v>
      </c>
      <c r="C1258" s="152">
        <v>10</v>
      </c>
      <c r="D1258" s="153" t="s">
        <v>3375</v>
      </c>
      <c r="E1258" s="154" t="s">
        <v>2400</v>
      </c>
      <c r="F1258" s="154" t="s">
        <v>2401</v>
      </c>
      <c r="G1258" s="154" t="s">
        <v>1289</v>
      </c>
      <c r="H1258" s="154" t="s">
        <v>3455</v>
      </c>
      <c r="I1258" s="154"/>
      <c r="J1258" s="154" t="s">
        <v>74</v>
      </c>
      <c r="K1258" s="154" t="s">
        <v>3394</v>
      </c>
      <c r="L1258" s="155">
        <v>46282</v>
      </c>
      <c r="M1258" s="156"/>
      <c r="N1258" s="154" t="str">
        <f>IF(ISNUMBER(PL[[#This Row],[CTO]]),"CTO "&amp;PL[[#This Row],[CTO]],"Otros")</f>
        <v>CTO 10</v>
      </c>
      <c r="O1258" s="154" t="str">
        <f>IF(PL[[#This Row],[STATUS IUP]]="CERRADO","CERRADO",IF(ISNUMBER(SEARCH("validacion de enel",PL[[#This Row],[SUPPLIER NOTES]])),"PTE Validar Enel","ABIERTO"))</f>
        <v>CERRADO</v>
      </c>
      <c r="P1258" s="154" t="str">
        <f>IF(PL[[#This Row],[ESTADO]]="CERRADO","Cerrados IUP",IF(PL[[#This Row],[ESTADO]]="PTE Validar Enel","Pendiente cierre ENEL",IF(ISNUMBER(SEARCH("suministro",PL[[#This Row],[SUPPLIER NOTES]])),"Suministros",IF(PL[[#This Row],[SC]]="SOCIAL","Social",IF(ISNUMBER(SEARCH("monolito",PL[[#This Row],[DESCRIPTION]])),"Monolitos","Varios")))))</f>
        <v>Cerrados IUP</v>
      </c>
      <c r="Q125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59" spans="1:17" s="157" customFormat="1" hidden="1" x14ac:dyDescent="0.2">
      <c r="A1259" s="151" t="s">
        <v>1349</v>
      </c>
      <c r="B1259" s="154" t="s">
        <v>41</v>
      </c>
      <c r="C1259" s="152">
        <v>10</v>
      </c>
      <c r="D1259" s="153" t="s">
        <v>3375</v>
      </c>
      <c r="E1259" s="154" t="s">
        <v>1350</v>
      </c>
      <c r="F1259" s="154" t="s">
        <v>1351</v>
      </c>
      <c r="G1259" s="154" t="s">
        <v>1289</v>
      </c>
      <c r="H1259" s="154"/>
      <c r="I1259" s="154"/>
      <c r="J1259" s="154" t="s">
        <v>74</v>
      </c>
      <c r="K1259" s="154" t="s">
        <v>3394</v>
      </c>
      <c r="L1259" s="154"/>
      <c r="M1259" s="156"/>
      <c r="N1259" s="154" t="str">
        <f>IF(ISNUMBER(PL[[#This Row],[CTO]]),"CTO "&amp;PL[[#This Row],[CTO]],"Otros")</f>
        <v>CTO 10</v>
      </c>
      <c r="O1259" s="154" t="str">
        <f>IF(PL[[#This Row],[STATUS IUP]]="CERRADO","CERRADO",IF(ISNUMBER(SEARCH("validacion de enel",PL[[#This Row],[SUPPLIER NOTES]])),"PTE Validar Enel","ABIERTO"))</f>
        <v>CERRADO</v>
      </c>
      <c r="P1259" s="154" t="str">
        <f>IF(PL[[#This Row],[ESTADO]]="CERRADO","Cerrados IUP",IF(PL[[#This Row],[ESTADO]]="PTE Validar Enel","Pendiente cierre ENEL",IF(ISNUMBER(SEARCH("suministro",PL[[#This Row],[SUPPLIER NOTES]])),"Suministros",IF(PL[[#This Row],[SC]]="SOCIAL","Social",IF(ISNUMBER(SEARCH("monolito",PL[[#This Row],[DESCRIPTION]])),"Monolitos","Varios")))))</f>
        <v>Cerrados IUP</v>
      </c>
      <c r="Q125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0" spans="1:17" s="157" customFormat="1" hidden="1" x14ac:dyDescent="0.2">
      <c r="A1260" s="151" t="s">
        <v>2082</v>
      </c>
      <c r="B1260" s="154" t="s">
        <v>8</v>
      </c>
      <c r="C1260" s="152">
        <v>10</v>
      </c>
      <c r="D1260" s="153" t="s">
        <v>3375</v>
      </c>
      <c r="E1260" s="154" t="s">
        <v>2083</v>
      </c>
      <c r="F1260" s="154" t="s">
        <v>2084</v>
      </c>
      <c r="G1260" s="154" t="s">
        <v>1289</v>
      </c>
      <c r="H1260" s="154"/>
      <c r="I1260" s="154"/>
      <c r="J1260" s="154" t="s">
        <v>74</v>
      </c>
      <c r="K1260" s="154" t="s">
        <v>3394</v>
      </c>
      <c r="L1260" s="154"/>
      <c r="M1260" s="156"/>
      <c r="N1260" s="154" t="str">
        <f>IF(ISNUMBER(PL[[#This Row],[CTO]]),"CTO "&amp;PL[[#This Row],[CTO]],"Otros")</f>
        <v>CTO 10</v>
      </c>
      <c r="O1260" s="154" t="str">
        <f>IF(PL[[#This Row],[STATUS IUP]]="CERRADO","CERRADO",IF(ISNUMBER(SEARCH("validacion de enel",PL[[#This Row],[SUPPLIER NOTES]])),"PTE Validar Enel","ABIERTO"))</f>
        <v>CERRADO</v>
      </c>
      <c r="P1260" s="154" t="str">
        <f>IF(PL[[#This Row],[ESTADO]]="CERRADO","Cerrados IUP",IF(PL[[#This Row],[ESTADO]]="PTE Validar Enel","Pendiente cierre ENEL",IF(ISNUMBER(SEARCH("suministro",PL[[#This Row],[SUPPLIER NOTES]])),"Suministros",IF(PL[[#This Row],[SC]]="SOCIAL","Social",IF(ISNUMBER(SEARCH("monolito",PL[[#This Row],[DESCRIPTION]])),"Monolitos","Varios")))))</f>
        <v>Cerrados IUP</v>
      </c>
      <c r="Q12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1" spans="1:17" s="157" customFormat="1" hidden="1" x14ac:dyDescent="0.2">
      <c r="A1261" s="151" t="s">
        <v>1320</v>
      </c>
      <c r="B1261" s="154" t="s">
        <v>41</v>
      </c>
      <c r="C1261" s="152">
        <v>10</v>
      </c>
      <c r="D1261" s="153" t="s">
        <v>3375</v>
      </c>
      <c r="E1261" s="154" t="s">
        <v>1321</v>
      </c>
      <c r="F1261" s="154" t="s">
        <v>808</v>
      </c>
      <c r="G1261" s="154" t="s">
        <v>1289</v>
      </c>
      <c r="H1261" s="154"/>
      <c r="I1261" s="154"/>
      <c r="J1261" s="154" t="s">
        <v>74</v>
      </c>
      <c r="K1261" s="154" t="s">
        <v>3394</v>
      </c>
      <c r="L1261" s="154"/>
      <c r="M1261" s="156"/>
      <c r="N1261" s="154" t="str">
        <f>IF(ISNUMBER(PL[[#This Row],[CTO]]),"CTO "&amp;PL[[#This Row],[CTO]],"Otros")</f>
        <v>CTO 10</v>
      </c>
      <c r="O1261" s="154" t="str">
        <f>IF(PL[[#This Row],[STATUS IUP]]="CERRADO","CERRADO",IF(ISNUMBER(SEARCH("validacion de enel",PL[[#This Row],[SUPPLIER NOTES]])),"PTE Validar Enel","ABIERTO"))</f>
        <v>CERRADO</v>
      </c>
      <c r="P1261" s="154" t="str">
        <f>IF(PL[[#This Row],[ESTADO]]="CERRADO","Cerrados IUP",IF(PL[[#This Row],[ESTADO]]="PTE Validar Enel","Pendiente cierre ENEL",IF(ISNUMBER(SEARCH("suministro",PL[[#This Row],[SUPPLIER NOTES]])),"Suministros",IF(PL[[#This Row],[SC]]="SOCIAL","Social",IF(ISNUMBER(SEARCH("monolito",PL[[#This Row],[DESCRIPTION]])),"Monolitos","Varios")))))</f>
        <v>Cerrados IUP</v>
      </c>
      <c r="Q126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2" spans="1:17" s="157" customFormat="1" hidden="1" x14ac:dyDescent="0.2">
      <c r="A1262" s="151" t="s">
        <v>2482</v>
      </c>
      <c r="B1262" s="154" t="s">
        <v>929</v>
      </c>
      <c r="C1262" s="152">
        <v>10</v>
      </c>
      <c r="D1262" s="153" t="s">
        <v>3375</v>
      </c>
      <c r="E1262" s="154" t="s">
        <v>2483</v>
      </c>
      <c r="F1262" s="154" t="s">
        <v>2484</v>
      </c>
      <c r="G1262" s="154" t="s">
        <v>1290</v>
      </c>
      <c r="H1262" s="154"/>
      <c r="I1262" s="154" t="s">
        <v>3475</v>
      </c>
      <c r="J1262" s="154" t="s">
        <v>74</v>
      </c>
      <c r="K1262" s="154" t="s">
        <v>3394</v>
      </c>
      <c r="L1262" s="155">
        <v>46288</v>
      </c>
      <c r="M1262" s="156"/>
      <c r="N1262" s="154" t="str">
        <f>IF(ISNUMBER(PL[[#This Row],[CTO]]),"CTO "&amp;PL[[#This Row],[CTO]],"Otros")</f>
        <v>CTO 10</v>
      </c>
      <c r="O1262" s="154" t="str">
        <f>IF(PL[[#This Row],[STATUS IUP]]="CERRADO","CERRADO",IF(ISNUMBER(SEARCH("validacion de enel",PL[[#This Row],[SUPPLIER NOTES]])),"PTE Validar Enel","ABIERTO"))</f>
        <v>CERRADO</v>
      </c>
      <c r="P1262" s="154" t="str">
        <f>IF(PL[[#This Row],[ESTADO]]="CERRADO","Cerrados IUP",IF(PL[[#This Row],[ESTADO]]="PTE Validar Enel","Pendiente cierre ENEL",IF(ISNUMBER(SEARCH("suministro",PL[[#This Row],[SUPPLIER NOTES]])),"Suministros",IF(PL[[#This Row],[SC]]="SOCIAL","Social",IF(ISNUMBER(SEARCH("monolito",PL[[#This Row],[DESCRIPTION]])),"Monolitos","Varios")))))</f>
        <v>Cerrados IUP</v>
      </c>
      <c r="Q126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3" spans="1:17" s="157" customFormat="1" ht="16" hidden="1" x14ac:dyDescent="0.2">
      <c r="A1263" s="151" t="s">
        <v>2324</v>
      </c>
      <c r="B1263" s="152" t="s">
        <v>41</v>
      </c>
      <c r="C1263" s="152">
        <v>10</v>
      </c>
      <c r="D1263" s="153" t="s">
        <v>3375</v>
      </c>
      <c r="E1263" s="154" t="s">
        <v>2325</v>
      </c>
      <c r="F1263" s="152" t="s">
        <v>2326</v>
      </c>
      <c r="G1263" s="154" t="s">
        <v>1290</v>
      </c>
      <c r="H1263" s="154"/>
      <c r="I1263" s="154"/>
      <c r="J1263" s="154" t="s">
        <v>74</v>
      </c>
      <c r="K1263" s="154" t="s">
        <v>3394</v>
      </c>
      <c r="L1263" s="155">
        <v>46293</v>
      </c>
      <c r="M1263" s="156"/>
      <c r="N1263" s="154" t="str">
        <f>IF(ISNUMBER(PL[[#This Row],[CTO]]),"CTO "&amp;PL[[#This Row],[CTO]],"Otros")</f>
        <v>CTO 10</v>
      </c>
      <c r="O1263" s="154" t="str">
        <f>IF(PL[[#This Row],[STATUS IUP]]="CERRADO","CERRADO",IF(ISNUMBER(SEARCH("validacion de enel",PL[[#This Row],[SUPPLIER NOTES]])),"PTE Validar Enel","ABIERTO"))</f>
        <v>CERRADO</v>
      </c>
      <c r="P1263" s="154" t="str">
        <f>IF(PL[[#This Row],[ESTADO]]="CERRADO","Cerrados IUP",IF(PL[[#This Row],[ESTADO]]="PTE Validar Enel","Pendiente cierre ENEL",IF(ISNUMBER(SEARCH("suministro",PL[[#This Row],[SUPPLIER NOTES]])),"Suministros",IF(PL[[#This Row],[SC]]="SOCIAL","Social",IF(ISNUMBER(SEARCH("monolito",PL[[#This Row],[DESCRIPTION]])),"Monolitos","Varios")))))</f>
        <v>Cerrados IUP</v>
      </c>
      <c r="Q126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4" spans="1:17" s="157" customFormat="1" hidden="1" x14ac:dyDescent="0.2">
      <c r="A1264" s="151" t="s">
        <v>2073</v>
      </c>
      <c r="B1264" s="154" t="s">
        <v>41</v>
      </c>
      <c r="C1264" s="152">
        <v>10</v>
      </c>
      <c r="D1264" s="153" t="s">
        <v>3375</v>
      </c>
      <c r="E1264" s="154" t="s">
        <v>2074</v>
      </c>
      <c r="F1264" s="154" t="s">
        <v>2075</v>
      </c>
      <c r="G1264" s="154" t="s">
        <v>1289</v>
      </c>
      <c r="H1264" s="154"/>
      <c r="I1264" s="154"/>
      <c r="J1264" s="154" t="s">
        <v>74</v>
      </c>
      <c r="K1264" s="154" t="s">
        <v>3394</v>
      </c>
      <c r="L1264" s="154"/>
      <c r="M1264" s="156"/>
      <c r="N1264" s="154" t="str">
        <f>IF(ISNUMBER(PL[[#This Row],[CTO]]),"CTO "&amp;PL[[#This Row],[CTO]],"Otros")</f>
        <v>CTO 10</v>
      </c>
      <c r="O1264" s="154" t="str">
        <f>IF(PL[[#This Row],[STATUS IUP]]="CERRADO","CERRADO",IF(ISNUMBER(SEARCH("validacion de enel",PL[[#This Row],[SUPPLIER NOTES]])),"PTE Validar Enel","ABIERTO"))</f>
        <v>CERRADO</v>
      </c>
      <c r="P1264" s="154" t="str">
        <f>IF(PL[[#This Row],[ESTADO]]="CERRADO","Cerrados IUP",IF(PL[[#This Row],[ESTADO]]="PTE Validar Enel","Pendiente cierre ENEL",IF(ISNUMBER(SEARCH("suministro",PL[[#This Row],[SUPPLIER NOTES]])),"Suministros",IF(PL[[#This Row],[SC]]="SOCIAL","Social",IF(ISNUMBER(SEARCH("monolito",PL[[#This Row],[DESCRIPTION]])),"Monolitos","Varios")))))</f>
        <v>Cerrados IUP</v>
      </c>
      <c r="Q126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5" spans="1:17" s="157" customFormat="1" hidden="1" x14ac:dyDescent="0.2">
      <c r="A1265" s="151" t="s">
        <v>1470</v>
      </c>
      <c r="B1265" s="154" t="s">
        <v>1291</v>
      </c>
      <c r="C1265" s="152">
        <v>10</v>
      </c>
      <c r="D1265" s="153" t="s">
        <v>3375</v>
      </c>
      <c r="E1265" s="154" t="s">
        <v>1471</v>
      </c>
      <c r="F1265" s="154" t="s">
        <v>1472</v>
      </c>
      <c r="G1265" s="154" t="s">
        <v>1289</v>
      </c>
      <c r="H1265" s="154"/>
      <c r="I1265" s="154" t="s">
        <v>3475</v>
      </c>
      <c r="J1265" s="154" t="s">
        <v>74</v>
      </c>
      <c r="K1265" s="154" t="s">
        <v>3394</v>
      </c>
      <c r="L1265" s="155">
        <v>46288</v>
      </c>
      <c r="M1265" s="156"/>
      <c r="N1265" s="154" t="str">
        <f>IF(ISNUMBER(PL[[#This Row],[CTO]]),"CTO "&amp;PL[[#This Row],[CTO]],"Otros")</f>
        <v>CTO 10</v>
      </c>
      <c r="O1265" s="154" t="str">
        <f>IF(PL[[#This Row],[STATUS IUP]]="CERRADO","CERRADO",IF(ISNUMBER(SEARCH("validacion de enel",PL[[#This Row],[SUPPLIER NOTES]])),"PTE Validar Enel","ABIERTO"))</f>
        <v>CERRADO</v>
      </c>
      <c r="P1265" s="154" t="str">
        <f>IF(PL[[#This Row],[ESTADO]]="CERRADO","Cerrados IUP",IF(PL[[#This Row],[ESTADO]]="PTE Validar Enel","Pendiente cierre ENEL",IF(ISNUMBER(SEARCH("suministro",PL[[#This Row],[SUPPLIER NOTES]])),"Suministros",IF(PL[[#This Row],[SC]]="SOCIAL","Social",IF(ISNUMBER(SEARCH("monolito",PL[[#This Row],[DESCRIPTION]])),"Monolitos","Varios")))))</f>
        <v>Cerrados IUP</v>
      </c>
      <c r="Q126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6" spans="1:17" s="157" customFormat="1" hidden="1" x14ac:dyDescent="0.2">
      <c r="A1266" s="151" t="s">
        <v>2067</v>
      </c>
      <c r="B1266" s="154" t="s">
        <v>929</v>
      </c>
      <c r="C1266" s="152">
        <v>10</v>
      </c>
      <c r="D1266" s="153" t="s">
        <v>3375</v>
      </c>
      <c r="E1266" s="154" t="s">
        <v>2068</v>
      </c>
      <c r="F1266" s="154" t="s">
        <v>2069</v>
      </c>
      <c r="G1266" s="154" t="s">
        <v>1289</v>
      </c>
      <c r="H1266" s="154"/>
      <c r="I1266" s="154"/>
      <c r="J1266" s="154" t="s">
        <v>74</v>
      </c>
      <c r="K1266" s="154" t="s">
        <v>3394</v>
      </c>
      <c r="L1266" s="154"/>
      <c r="M1266" s="156"/>
      <c r="N1266" s="154" t="str">
        <f>IF(ISNUMBER(PL[[#This Row],[CTO]]),"CTO "&amp;PL[[#This Row],[CTO]],"Otros")</f>
        <v>CTO 10</v>
      </c>
      <c r="O1266" s="154" t="str">
        <f>IF(PL[[#This Row],[STATUS IUP]]="CERRADO","CERRADO",IF(ISNUMBER(SEARCH("validacion de enel",PL[[#This Row],[SUPPLIER NOTES]])),"PTE Validar Enel","ABIERTO"))</f>
        <v>CERRADO</v>
      </c>
      <c r="P1266" s="154" t="str">
        <f>IF(PL[[#This Row],[ESTADO]]="CERRADO","Cerrados IUP",IF(PL[[#This Row],[ESTADO]]="PTE Validar Enel","Pendiente cierre ENEL",IF(ISNUMBER(SEARCH("suministro",PL[[#This Row],[SUPPLIER NOTES]])),"Suministros",IF(PL[[#This Row],[SC]]="SOCIAL","Social",IF(ISNUMBER(SEARCH("monolito",PL[[#This Row],[DESCRIPTION]])),"Monolitos","Varios")))))</f>
        <v>Cerrados IUP</v>
      </c>
      <c r="Q126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7" spans="1:17" s="157" customFormat="1" hidden="1" x14ac:dyDescent="0.2">
      <c r="A1267" s="151" t="s">
        <v>1313</v>
      </c>
      <c r="B1267" s="154" t="s">
        <v>1314</v>
      </c>
      <c r="C1267" s="152">
        <v>10</v>
      </c>
      <c r="D1267" s="153" t="s">
        <v>3375</v>
      </c>
      <c r="E1267" s="154" t="s">
        <v>1315</v>
      </c>
      <c r="F1267" s="154" t="s">
        <v>1316</v>
      </c>
      <c r="G1267" s="154" t="s">
        <v>43</v>
      </c>
      <c r="H1267" s="154" t="s">
        <v>73</v>
      </c>
      <c r="I1267" s="154" t="s">
        <v>77</v>
      </c>
      <c r="J1267" s="154" t="s">
        <v>74</v>
      </c>
      <c r="K1267" s="154" t="s">
        <v>3394</v>
      </c>
      <c r="L1267" s="161">
        <v>46226</v>
      </c>
      <c r="M1267" s="160">
        <v>46226</v>
      </c>
      <c r="N1267" s="154" t="str">
        <f>IF(ISNUMBER(PL[[#This Row],[CTO]]),"CTO "&amp;PL[[#This Row],[CTO]],"Otros")</f>
        <v>CTO 10</v>
      </c>
      <c r="O1267" s="154" t="str">
        <f>IF(PL[[#This Row],[STATUS IUP]]="CERRADO","CERRADO",IF(ISNUMBER(SEARCH("validacion de enel",PL[[#This Row],[SUPPLIER NOTES]])),"PTE Validar Enel","ABIERTO"))</f>
        <v>CERRADO</v>
      </c>
      <c r="P1267" s="154" t="str">
        <f>IF(PL[[#This Row],[ESTADO]]="CERRADO","Cerrados IUP",IF(PL[[#This Row],[ESTADO]]="PTE Validar Enel","Pendiente cierre ENEL",IF(ISNUMBER(SEARCH("suministro",PL[[#This Row],[SUPPLIER NOTES]])),"Suministros",IF(PL[[#This Row],[SC]]="SOCIAL","Social",IF(ISNUMBER(SEARCH("monolito",PL[[#This Row],[DESCRIPTION]])),"Monolitos","Varios")))))</f>
        <v>Cerrados IUP</v>
      </c>
      <c r="Q126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8" spans="1:17" s="157" customFormat="1" hidden="1" x14ac:dyDescent="0.2">
      <c r="A1268" s="151" t="s">
        <v>1976</v>
      </c>
      <c r="B1268" s="154" t="s">
        <v>41</v>
      </c>
      <c r="C1268" s="152">
        <v>10</v>
      </c>
      <c r="D1268" s="153" t="s">
        <v>3375</v>
      </c>
      <c r="E1268" s="154" t="s">
        <v>1977</v>
      </c>
      <c r="F1268" s="154" t="s">
        <v>1978</v>
      </c>
      <c r="G1268" s="154" t="s">
        <v>1289</v>
      </c>
      <c r="H1268" s="154"/>
      <c r="I1268" s="154"/>
      <c r="J1268" s="154" t="s">
        <v>74</v>
      </c>
      <c r="K1268" s="154" t="s">
        <v>3394</v>
      </c>
      <c r="L1268" s="154"/>
      <c r="M1268" s="156"/>
      <c r="N1268" s="154" t="str">
        <f>IF(ISNUMBER(PL[[#This Row],[CTO]]),"CTO "&amp;PL[[#This Row],[CTO]],"Otros")</f>
        <v>CTO 10</v>
      </c>
      <c r="O1268" s="154" t="str">
        <f>IF(PL[[#This Row],[STATUS IUP]]="CERRADO","CERRADO",IF(ISNUMBER(SEARCH("validacion de enel",PL[[#This Row],[SUPPLIER NOTES]])),"PTE Validar Enel","ABIERTO"))</f>
        <v>CERRADO</v>
      </c>
      <c r="P1268" s="154" t="str">
        <f>IF(PL[[#This Row],[ESTADO]]="CERRADO","Cerrados IUP",IF(PL[[#This Row],[ESTADO]]="PTE Validar Enel","Pendiente cierre ENEL",IF(ISNUMBER(SEARCH("suministro",PL[[#This Row],[SUPPLIER NOTES]])),"Suministros",IF(PL[[#This Row],[SC]]="SOCIAL","Social",IF(ISNUMBER(SEARCH("monolito",PL[[#This Row],[DESCRIPTION]])),"Monolitos","Varios")))))</f>
        <v>Cerrados IUP</v>
      </c>
      <c r="Q126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69" spans="1:17" s="157" customFormat="1" hidden="1" x14ac:dyDescent="0.2">
      <c r="A1269" s="151" t="s">
        <v>1296</v>
      </c>
      <c r="B1269" s="154" t="s">
        <v>1297</v>
      </c>
      <c r="C1269" s="152">
        <v>10</v>
      </c>
      <c r="D1269" s="153" t="s">
        <v>3375</v>
      </c>
      <c r="E1269" s="154" t="s">
        <v>1298</v>
      </c>
      <c r="F1269" s="154" t="s">
        <v>1299</v>
      </c>
      <c r="G1269" s="154" t="s">
        <v>1290</v>
      </c>
      <c r="H1269" s="154"/>
      <c r="I1269" s="154"/>
      <c r="J1269" s="154" t="s">
        <v>74</v>
      </c>
      <c r="K1269" s="154" t="s">
        <v>3394</v>
      </c>
      <c r="L1269" s="154"/>
      <c r="M1269" s="156"/>
      <c r="N1269" s="154" t="str">
        <f>IF(ISNUMBER(PL[[#This Row],[CTO]]),"CTO "&amp;PL[[#This Row],[CTO]],"Otros")</f>
        <v>CTO 10</v>
      </c>
      <c r="O1269" s="154" t="str">
        <f>IF(PL[[#This Row],[STATUS IUP]]="CERRADO","CERRADO",IF(ISNUMBER(SEARCH("validacion de enel",PL[[#This Row],[SUPPLIER NOTES]])),"PTE Validar Enel","ABIERTO"))</f>
        <v>CERRADO</v>
      </c>
      <c r="P1269" s="154" t="str">
        <f>IF(PL[[#This Row],[ESTADO]]="CERRADO","Cerrados IUP",IF(PL[[#This Row],[ESTADO]]="PTE Validar Enel","Pendiente cierre ENEL",IF(ISNUMBER(SEARCH("suministro",PL[[#This Row],[SUPPLIER NOTES]])),"Suministros",IF(PL[[#This Row],[SC]]="SOCIAL","Social",IF(ISNUMBER(SEARCH("monolito",PL[[#This Row],[DESCRIPTION]])),"Monolitos","Varios")))))</f>
        <v>Cerrados IUP</v>
      </c>
      <c r="Q126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0" spans="1:17" s="157" customFormat="1" hidden="1" x14ac:dyDescent="0.2">
      <c r="A1270" s="151" t="s">
        <v>2627</v>
      </c>
      <c r="B1270" s="154" t="s">
        <v>41</v>
      </c>
      <c r="C1270" s="152">
        <v>10</v>
      </c>
      <c r="D1270" s="153" t="s">
        <v>3375</v>
      </c>
      <c r="E1270" s="154" t="s">
        <v>2628</v>
      </c>
      <c r="F1270" s="154" t="s">
        <v>2629</v>
      </c>
      <c r="G1270" s="154" t="s">
        <v>43</v>
      </c>
      <c r="H1270" s="154" t="s">
        <v>73</v>
      </c>
      <c r="I1270" s="154" t="s">
        <v>78</v>
      </c>
      <c r="J1270" s="154" t="s">
        <v>74</v>
      </c>
      <c r="K1270" s="154" t="s">
        <v>3394</v>
      </c>
      <c r="L1270" s="161">
        <v>46226</v>
      </c>
      <c r="M1270" s="160">
        <v>46226</v>
      </c>
      <c r="N1270" s="154" t="str">
        <f>IF(ISNUMBER(PL[[#This Row],[CTO]]),"CTO "&amp;PL[[#This Row],[CTO]],"Otros")</f>
        <v>CTO 10</v>
      </c>
      <c r="O1270" s="154" t="str">
        <f>IF(PL[[#This Row],[STATUS IUP]]="CERRADO","CERRADO",IF(ISNUMBER(SEARCH("validacion de enel",PL[[#This Row],[SUPPLIER NOTES]])),"PTE Validar Enel","ABIERTO"))</f>
        <v>CERRADO</v>
      </c>
      <c r="P1270" s="154" t="str">
        <f>IF(PL[[#This Row],[ESTADO]]="CERRADO","Cerrados IUP",IF(PL[[#This Row],[ESTADO]]="PTE Validar Enel","Pendiente cierre ENEL",IF(ISNUMBER(SEARCH("suministro",PL[[#This Row],[SUPPLIER NOTES]])),"Suministros",IF(PL[[#This Row],[SC]]="SOCIAL","Social",IF(ISNUMBER(SEARCH("monolito",PL[[#This Row],[DESCRIPTION]])),"Monolitos","Varios")))))</f>
        <v>Cerrados IUP</v>
      </c>
      <c r="Q127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1" spans="1:17" s="157" customFormat="1" hidden="1" x14ac:dyDescent="0.2">
      <c r="A1271" s="151" t="s">
        <v>2485</v>
      </c>
      <c r="B1271" s="154" t="s">
        <v>1266</v>
      </c>
      <c r="C1271" s="152">
        <v>10</v>
      </c>
      <c r="D1271" s="153" t="s">
        <v>3375</v>
      </c>
      <c r="E1271" s="154" t="s">
        <v>2486</v>
      </c>
      <c r="F1271" s="154" t="s">
        <v>2487</v>
      </c>
      <c r="G1271" s="154" t="s">
        <v>43</v>
      </c>
      <c r="H1271" s="154"/>
      <c r="I1271" s="154"/>
      <c r="J1271" s="154" t="s">
        <v>74</v>
      </c>
      <c r="K1271" s="154" t="s">
        <v>3394</v>
      </c>
      <c r="L1271" s="154"/>
      <c r="M1271" s="156"/>
      <c r="N1271" s="154" t="str">
        <f>IF(ISNUMBER(PL[[#This Row],[CTO]]),"CTO "&amp;PL[[#This Row],[CTO]],"Otros")</f>
        <v>CTO 10</v>
      </c>
      <c r="O1271" s="154" t="str">
        <f>IF(PL[[#This Row],[STATUS IUP]]="CERRADO","CERRADO",IF(ISNUMBER(SEARCH("validacion de enel",PL[[#This Row],[SUPPLIER NOTES]])),"PTE Validar Enel","ABIERTO"))</f>
        <v>CERRADO</v>
      </c>
      <c r="P1271" s="154" t="str">
        <f>IF(PL[[#This Row],[ESTADO]]="CERRADO","Cerrados IUP",IF(PL[[#This Row],[ESTADO]]="PTE Validar Enel","Pendiente cierre ENEL",IF(ISNUMBER(SEARCH("suministro",PL[[#This Row],[SUPPLIER NOTES]])),"Suministros",IF(PL[[#This Row],[SC]]="SOCIAL","Social",IF(ISNUMBER(SEARCH("monolito",PL[[#This Row],[DESCRIPTION]])),"Monolitos","Varios")))))</f>
        <v>Cerrados IUP</v>
      </c>
      <c r="Q127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2" spans="1:17" s="157" customFormat="1" hidden="1" x14ac:dyDescent="0.2">
      <c r="A1272" s="151" t="s">
        <v>1970</v>
      </c>
      <c r="B1272" s="154" t="s">
        <v>1266</v>
      </c>
      <c r="C1272" s="152">
        <v>10</v>
      </c>
      <c r="D1272" s="153" t="s">
        <v>3375</v>
      </c>
      <c r="E1272" s="154" t="s">
        <v>1971</v>
      </c>
      <c r="F1272" s="154" t="s">
        <v>1972</v>
      </c>
      <c r="G1272" s="154" t="s">
        <v>43</v>
      </c>
      <c r="H1272" s="154"/>
      <c r="I1272" s="154"/>
      <c r="J1272" s="154" t="s">
        <v>74</v>
      </c>
      <c r="K1272" s="154" t="s">
        <v>3394</v>
      </c>
      <c r="L1272" s="154"/>
      <c r="M1272" s="156"/>
      <c r="N1272" s="154" t="str">
        <f>IF(ISNUMBER(PL[[#This Row],[CTO]]),"CTO "&amp;PL[[#This Row],[CTO]],"Otros")</f>
        <v>CTO 10</v>
      </c>
      <c r="O1272" s="154" t="str">
        <f>IF(PL[[#This Row],[STATUS IUP]]="CERRADO","CERRADO",IF(ISNUMBER(SEARCH("validacion de enel",PL[[#This Row],[SUPPLIER NOTES]])),"PTE Validar Enel","ABIERTO"))</f>
        <v>CERRADO</v>
      </c>
      <c r="P1272" s="154" t="str">
        <f>IF(PL[[#This Row],[ESTADO]]="CERRADO","Cerrados IUP",IF(PL[[#This Row],[ESTADO]]="PTE Validar Enel","Pendiente cierre ENEL",IF(ISNUMBER(SEARCH("suministro",PL[[#This Row],[SUPPLIER NOTES]])),"Suministros",IF(PL[[#This Row],[SC]]="SOCIAL","Social",IF(ISNUMBER(SEARCH("monolito",PL[[#This Row],[DESCRIPTION]])),"Monolitos","Varios")))))</f>
        <v>Cerrados IUP</v>
      </c>
      <c r="Q127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3" spans="1:17" s="157" customFormat="1" hidden="1" x14ac:dyDescent="0.2">
      <c r="A1273" s="151" t="s">
        <v>1964</v>
      </c>
      <c r="B1273" s="154" t="s">
        <v>1291</v>
      </c>
      <c r="C1273" s="152">
        <v>10</v>
      </c>
      <c r="D1273" s="153" t="s">
        <v>3375</v>
      </c>
      <c r="E1273" s="154" t="s">
        <v>1965</v>
      </c>
      <c r="F1273" s="154" t="s">
        <v>1966</v>
      </c>
      <c r="G1273" s="154" t="s">
        <v>1289</v>
      </c>
      <c r="H1273" s="154"/>
      <c r="I1273" s="154"/>
      <c r="J1273" s="154" t="s">
        <v>74</v>
      </c>
      <c r="K1273" s="154" t="s">
        <v>3394</v>
      </c>
      <c r="L1273" s="154"/>
      <c r="M1273" s="156"/>
      <c r="N1273" s="154" t="str">
        <f>IF(ISNUMBER(PL[[#This Row],[CTO]]),"CTO "&amp;PL[[#This Row],[CTO]],"Otros")</f>
        <v>CTO 10</v>
      </c>
      <c r="O1273" s="154" t="str">
        <f>IF(PL[[#This Row],[STATUS IUP]]="CERRADO","CERRADO",IF(ISNUMBER(SEARCH("validacion de enel",PL[[#This Row],[SUPPLIER NOTES]])),"PTE Validar Enel","ABIERTO"))</f>
        <v>CERRADO</v>
      </c>
      <c r="P1273" s="154" t="str">
        <f>IF(PL[[#This Row],[ESTADO]]="CERRADO","Cerrados IUP",IF(PL[[#This Row],[ESTADO]]="PTE Validar Enel","Pendiente cierre ENEL",IF(ISNUMBER(SEARCH("suministro",PL[[#This Row],[SUPPLIER NOTES]])),"Suministros",IF(PL[[#This Row],[SC]]="SOCIAL","Social",IF(ISNUMBER(SEARCH("monolito",PL[[#This Row],[DESCRIPTION]])),"Monolitos","Varios")))))</f>
        <v>Cerrados IUP</v>
      </c>
      <c r="Q127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4" spans="1:17" s="157" customFormat="1" hidden="1" x14ac:dyDescent="0.2">
      <c r="A1274" s="151" t="s">
        <v>1961</v>
      </c>
      <c r="B1274" s="154" t="s">
        <v>41</v>
      </c>
      <c r="C1274" s="152">
        <v>10</v>
      </c>
      <c r="D1274" s="153" t="s">
        <v>3375</v>
      </c>
      <c r="E1274" s="154" t="s">
        <v>1962</v>
      </c>
      <c r="F1274" s="154" t="s">
        <v>1963</v>
      </c>
      <c r="G1274" s="154" t="s">
        <v>1290</v>
      </c>
      <c r="H1274" s="154"/>
      <c r="I1274" s="154"/>
      <c r="J1274" s="154" t="s">
        <v>74</v>
      </c>
      <c r="K1274" s="154" t="s">
        <v>3394</v>
      </c>
      <c r="L1274" s="154"/>
      <c r="M1274" s="156"/>
      <c r="N1274" s="154" t="str">
        <f>IF(ISNUMBER(PL[[#This Row],[CTO]]),"CTO "&amp;PL[[#This Row],[CTO]],"Otros")</f>
        <v>CTO 10</v>
      </c>
      <c r="O1274" s="154" t="str">
        <f>IF(PL[[#This Row],[STATUS IUP]]="CERRADO","CERRADO",IF(ISNUMBER(SEARCH("validacion de enel",PL[[#This Row],[SUPPLIER NOTES]])),"PTE Validar Enel","ABIERTO"))</f>
        <v>CERRADO</v>
      </c>
      <c r="P1274" s="154" t="str">
        <f>IF(PL[[#This Row],[ESTADO]]="CERRADO","Cerrados IUP",IF(PL[[#This Row],[ESTADO]]="PTE Validar Enel","Pendiente cierre ENEL",IF(ISNUMBER(SEARCH("suministro",PL[[#This Row],[SUPPLIER NOTES]])),"Suministros",IF(PL[[#This Row],[SC]]="SOCIAL","Social",IF(ISNUMBER(SEARCH("monolito",PL[[#This Row],[DESCRIPTION]])),"Monolitos","Varios")))))</f>
        <v>Cerrados IUP</v>
      </c>
      <c r="Q127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5" spans="1:17" s="157" customFormat="1" hidden="1" x14ac:dyDescent="0.2">
      <c r="A1275" s="151" t="s">
        <v>2006</v>
      </c>
      <c r="B1275" s="154" t="s">
        <v>1266</v>
      </c>
      <c r="C1275" s="152">
        <v>10</v>
      </c>
      <c r="D1275" s="153" t="s">
        <v>3375</v>
      </c>
      <c r="E1275" s="154" t="s">
        <v>2007</v>
      </c>
      <c r="F1275" s="154" t="s">
        <v>2008</v>
      </c>
      <c r="G1275" s="154" t="s">
        <v>1290</v>
      </c>
      <c r="H1275" s="154"/>
      <c r="I1275" s="154"/>
      <c r="J1275" s="154" t="s">
        <v>74</v>
      </c>
      <c r="K1275" s="154" t="s">
        <v>3394</v>
      </c>
      <c r="L1275" s="154"/>
      <c r="M1275" s="156"/>
      <c r="N1275" s="154" t="str">
        <f>IF(ISNUMBER(PL[[#This Row],[CTO]]),"CTO "&amp;PL[[#This Row],[CTO]],"Otros")</f>
        <v>CTO 10</v>
      </c>
      <c r="O1275" s="154" t="str">
        <f>IF(PL[[#This Row],[STATUS IUP]]="CERRADO","CERRADO",IF(ISNUMBER(SEARCH("validacion de enel",PL[[#This Row],[SUPPLIER NOTES]])),"PTE Validar Enel","ABIERTO"))</f>
        <v>CERRADO</v>
      </c>
      <c r="P1275" s="154" t="str">
        <f>IF(PL[[#This Row],[ESTADO]]="CERRADO","Cerrados IUP",IF(PL[[#This Row],[ESTADO]]="PTE Validar Enel","Pendiente cierre ENEL",IF(ISNUMBER(SEARCH("suministro",PL[[#This Row],[SUPPLIER NOTES]])),"Suministros",IF(PL[[#This Row],[SC]]="SOCIAL","Social",IF(ISNUMBER(SEARCH("monolito",PL[[#This Row],[DESCRIPTION]])),"Monolitos","Varios")))))</f>
        <v>Cerrados IUP</v>
      </c>
      <c r="Q127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6" spans="1:17" s="157" customFormat="1" hidden="1" x14ac:dyDescent="0.2">
      <c r="A1276" s="151" t="s">
        <v>2397</v>
      </c>
      <c r="B1276" s="154" t="s">
        <v>1266</v>
      </c>
      <c r="C1276" s="152">
        <v>10</v>
      </c>
      <c r="D1276" s="153" t="s">
        <v>3375</v>
      </c>
      <c r="E1276" s="154" t="s">
        <v>2398</v>
      </c>
      <c r="F1276" s="154" t="s">
        <v>2331</v>
      </c>
      <c r="G1276" s="154" t="s">
        <v>1290</v>
      </c>
      <c r="H1276" s="154"/>
      <c r="I1276" s="154"/>
      <c r="J1276" s="154" t="s">
        <v>74</v>
      </c>
      <c r="K1276" s="154" t="s">
        <v>3394</v>
      </c>
      <c r="L1276" s="154"/>
      <c r="M1276" s="156"/>
      <c r="N1276" s="154" t="str">
        <f>IF(ISNUMBER(PL[[#This Row],[CTO]]),"CTO "&amp;PL[[#This Row],[CTO]],"Otros")</f>
        <v>CTO 10</v>
      </c>
      <c r="O1276" s="154" t="str">
        <f>IF(PL[[#This Row],[STATUS IUP]]="CERRADO","CERRADO",IF(ISNUMBER(SEARCH("validacion de enel",PL[[#This Row],[SUPPLIER NOTES]])),"PTE Validar Enel","ABIERTO"))</f>
        <v>CERRADO</v>
      </c>
      <c r="P1276" s="154" t="str">
        <f>IF(PL[[#This Row],[ESTADO]]="CERRADO","Cerrados IUP",IF(PL[[#This Row],[ESTADO]]="PTE Validar Enel","Pendiente cierre ENEL",IF(ISNUMBER(SEARCH("suministro",PL[[#This Row],[SUPPLIER NOTES]])),"Suministros",IF(PL[[#This Row],[SC]]="SOCIAL","Social",IF(ISNUMBER(SEARCH("monolito",PL[[#This Row],[DESCRIPTION]])),"Monolitos","Varios")))))</f>
        <v>Cerrados IUP</v>
      </c>
      <c r="Q127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7" spans="1:17" s="157" customFormat="1" hidden="1" x14ac:dyDescent="0.2">
      <c r="A1277" s="151" t="s">
        <v>1384</v>
      </c>
      <c r="B1277" s="154" t="s">
        <v>1314</v>
      </c>
      <c r="C1277" s="152">
        <v>10</v>
      </c>
      <c r="D1277" s="153" t="s">
        <v>3375</v>
      </c>
      <c r="E1277" s="154" t="s">
        <v>1385</v>
      </c>
      <c r="F1277" s="154" t="s">
        <v>1386</v>
      </c>
      <c r="G1277" s="154" t="s">
        <v>43</v>
      </c>
      <c r="H1277" s="154"/>
      <c r="I1277" s="154"/>
      <c r="J1277" s="154" t="s">
        <v>74</v>
      </c>
      <c r="K1277" s="154" t="s">
        <v>3394</v>
      </c>
      <c r="L1277" s="154"/>
      <c r="M1277" s="156"/>
      <c r="N1277" s="154" t="str">
        <f>IF(ISNUMBER(PL[[#This Row],[CTO]]),"CTO "&amp;PL[[#This Row],[CTO]],"Otros")</f>
        <v>CTO 10</v>
      </c>
      <c r="O1277" s="154" t="str">
        <f>IF(PL[[#This Row],[STATUS IUP]]="CERRADO","CERRADO",IF(ISNUMBER(SEARCH("validacion de enel",PL[[#This Row],[SUPPLIER NOTES]])),"PTE Validar Enel","ABIERTO"))</f>
        <v>CERRADO</v>
      </c>
      <c r="P1277" s="154" t="str">
        <f>IF(PL[[#This Row],[ESTADO]]="CERRADO","Cerrados IUP",IF(PL[[#This Row],[ESTADO]]="PTE Validar Enel","Pendiente cierre ENEL",IF(ISNUMBER(SEARCH("suministro",PL[[#This Row],[SUPPLIER NOTES]])),"Suministros",IF(PL[[#This Row],[SC]]="SOCIAL","Social",IF(ISNUMBER(SEARCH("monolito",PL[[#This Row],[DESCRIPTION]])),"Monolitos","Varios")))))</f>
        <v>Cerrados IUP</v>
      </c>
      <c r="Q127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8" spans="1:17" s="157" customFormat="1" hidden="1" x14ac:dyDescent="0.2">
      <c r="A1278" s="151" t="s">
        <v>3345</v>
      </c>
      <c r="B1278" s="154" t="s">
        <v>8</v>
      </c>
      <c r="C1278" s="152">
        <v>10</v>
      </c>
      <c r="D1278" s="153" t="s">
        <v>3375</v>
      </c>
      <c r="E1278" s="154" t="s">
        <v>3346</v>
      </c>
      <c r="F1278" s="154" t="s">
        <v>1333</v>
      </c>
      <c r="G1278" s="154" t="s">
        <v>291</v>
      </c>
      <c r="H1278" s="154" t="s">
        <v>163</v>
      </c>
      <c r="I1278" s="154" t="s">
        <v>163</v>
      </c>
      <c r="J1278" s="154" t="s">
        <v>74</v>
      </c>
      <c r="K1278" s="154" t="s">
        <v>3394</v>
      </c>
      <c r="L1278" s="161">
        <v>46155</v>
      </c>
      <c r="M1278" s="160">
        <v>46155</v>
      </c>
      <c r="N1278" s="154" t="str">
        <f>IF(ISNUMBER(PL[[#This Row],[CTO]]),"CTO "&amp;PL[[#This Row],[CTO]],"Otros")</f>
        <v>CTO 10</v>
      </c>
      <c r="O1278" s="154" t="str">
        <f>IF(PL[[#This Row],[STATUS IUP]]="CERRADO","CERRADO",IF(ISNUMBER(SEARCH("validacion de enel",PL[[#This Row],[SUPPLIER NOTES]])),"PTE Validar Enel","ABIERTO"))</f>
        <v>CERRADO</v>
      </c>
      <c r="P1278" s="154" t="str">
        <f>IF(PL[[#This Row],[ESTADO]]="CERRADO","Cerrados IUP",IF(PL[[#This Row],[ESTADO]]="PTE Validar Enel","Pendiente cierre ENEL",IF(ISNUMBER(SEARCH("suministro",PL[[#This Row],[SUPPLIER NOTES]])),"Suministros",IF(PL[[#This Row],[SC]]="SOCIAL","Social",IF(ISNUMBER(SEARCH("monolito",PL[[#This Row],[DESCRIPTION]])),"Monolitos","Varios")))))</f>
        <v>Cerrados IUP</v>
      </c>
      <c r="Q127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79" spans="1:17" s="157" customFormat="1" hidden="1" x14ac:dyDescent="0.2">
      <c r="A1279" s="151" t="s">
        <v>3325</v>
      </c>
      <c r="B1279" s="154" t="s">
        <v>8</v>
      </c>
      <c r="C1279" s="152">
        <v>10</v>
      </c>
      <c r="D1279" s="153" t="s">
        <v>3375</v>
      </c>
      <c r="E1279" s="154" t="s">
        <v>3326</v>
      </c>
      <c r="F1279" s="154" t="s">
        <v>3327</v>
      </c>
      <c r="G1279" s="154" t="s">
        <v>291</v>
      </c>
      <c r="H1279" s="154" t="s">
        <v>163</v>
      </c>
      <c r="I1279" s="154" t="s">
        <v>163</v>
      </c>
      <c r="J1279" s="154" t="s">
        <v>74</v>
      </c>
      <c r="K1279" s="154" t="s">
        <v>3394</v>
      </c>
      <c r="L1279" s="161">
        <v>46155</v>
      </c>
      <c r="M1279" s="160">
        <v>46155</v>
      </c>
      <c r="N1279" s="154" t="str">
        <f>IF(ISNUMBER(PL[[#This Row],[CTO]]),"CTO "&amp;PL[[#This Row],[CTO]],"Otros")</f>
        <v>CTO 10</v>
      </c>
      <c r="O1279" s="154" t="str">
        <f>IF(PL[[#This Row],[STATUS IUP]]="CERRADO","CERRADO",IF(ISNUMBER(SEARCH("validacion de enel",PL[[#This Row],[SUPPLIER NOTES]])),"PTE Validar Enel","ABIERTO"))</f>
        <v>CERRADO</v>
      </c>
      <c r="P1279" s="154" t="str">
        <f>IF(PL[[#This Row],[ESTADO]]="CERRADO","Cerrados IUP",IF(PL[[#This Row],[ESTADO]]="PTE Validar Enel","Pendiente cierre ENEL",IF(ISNUMBER(SEARCH("suministro",PL[[#This Row],[SUPPLIER NOTES]])),"Suministros",IF(PL[[#This Row],[SC]]="SOCIAL","Social",IF(ISNUMBER(SEARCH("monolito",PL[[#This Row],[DESCRIPTION]])),"Monolitos","Varios")))))</f>
        <v>Cerrados IUP</v>
      </c>
      <c r="Q127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0" spans="1:17" s="157" customFormat="1" hidden="1" x14ac:dyDescent="0.2">
      <c r="A1280" s="151" t="s">
        <v>3315</v>
      </c>
      <c r="B1280" s="154" t="s">
        <v>8</v>
      </c>
      <c r="C1280" s="152">
        <v>10</v>
      </c>
      <c r="D1280" s="153" t="s">
        <v>3375</v>
      </c>
      <c r="E1280" s="154" t="s">
        <v>3316</v>
      </c>
      <c r="F1280" s="154" t="s">
        <v>2401</v>
      </c>
      <c r="G1280" s="154" t="s">
        <v>291</v>
      </c>
      <c r="H1280" s="154" t="s">
        <v>163</v>
      </c>
      <c r="I1280" s="154" t="s">
        <v>163</v>
      </c>
      <c r="J1280" s="154" t="s">
        <v>74</v>
      </c>
      <c r="K1280" s="154" t="s">
        <v>3394</v>
      </c>
      <c r="L1280" s="161">
        <v>46155</v>
      </c>
      <c r="M1280" s="160">
        <v>46155</v>
      </c>
      <c r="N1280" s="154" t="str">
        <f>IF(ISNUMBER(PL[[#This Row],[CTO]]),"CTO "&amp;PL[[#This Row],[CTO]],"Otros")</f>
        <v>CTO 10</v>
      </c>
      <c r="O1280" s="154" t="str">
        <f>IF(PL[[#This Row],[STATUS IUP]]="CERRADO","CERRADO",IF(ISNUMBER(SEARCH("validacion de enel",PL[[#This Row],[SUPPLIER NOTES]])),"PTE Validar Enel","ABIERTO"))</f>
        <v>CERRADO</v>
      </c>
      <c r="P1280" s="154" t="str">
        <f>IF(PL[[#This Row],[ESTADO]]="CERRADO","Cerrados IUP",IF(PL[[#This Row],[ESTADO]]="PTE Validar Enel","Pendiente cierre ENEL",IF(ISNUMBER(SEARCH("suministro",PL[[#This Row],[SUPPLIER NOTES]])),"Suministros",IF(PL[[#This Row],[SC]]="SOCIAL","Social",IF(ISNUMBER(SEARCH("monolito",PL[[#This Row],[DESCRIPTION]])),"Monolitos","Varios")))))</f>
        <v>Cerrados IUP</v>
      </c>
      <c r="Q128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1" spans="1:17" s="157" customFormat="1" hidden="1" x14ac:dyDescent="0.2">
      <c r="A1281" s="151" t="s">
        <v>3305</v>
      </c>
      <c r="B1281" s="154" t="s">
        <v>8</v>
      </c>
      <c r="C1281" s="152">
        <v>10</v>
      </c>
      <c r="D1281" s="153" t="s">
        <v>3375</v>
      </c>
      <c r="E1281" s="154" t="s">
        <v>3306</v>
      </c>
      <c r="F1281" s="154" t="s">
        <v>1351</v>
      </c>
      <c r="G1281" s="154" t="s">
        <v>291</v>
      </c>
      <c r="H1281" s="154" t="s">
        <v>163</v>
      </c>
      <c r="I1281" s="154" t="s">
        <v>163</v>
      </c>
      <c r="J1281" s="154" t="s">
        <v>74</v>
      </c>
      <c r="K1281" s="154" t="s">
        <v>3394</v>
      </c>
      <c r="L1281" s="161">
        <v>46155</v>
      </c>
      <c r="M1281" s="160">
        <v>46155</v>
      </c>
      <c r="N1281" s="154" t="str">
        <f>IF(ISNUMBER(PL[[#This Row],[CTO]]),"CTO "&amp;PL[[#This Row],[CTO]],"Otros")</f>
        <v>CTO 10</v>
      </c>
      <c r="O1281" s="154" t="str">
        <f>IF(PL[[#This Row],[STATUS IUP]]="CERRADO","CERRADO",IF(ISNUMBER(SEARCH("validacion de enel",PL[[#This Row],[SUPPLIER NOTES]])),"PTE Validar Enel","ABIERTO"))</f>
        <v>CERRADO</v>
      </c>
      <c r="P1281" s="154" t="str">
        <f>IF(PL[[#This Row],[ESTADO]]="CERRADO","Cerrados IUP",IF(PL[[#This Row],[ESTADO]]="PTE Validar Enel","Pendiente cierre ENEL",IF(ISNUMBER(SEARCH("suministro",PL[[#This Row],[SUPPLIER NOTES]])),"Suministros",IF(PL[[#This Row],[SC]]="SOCIAL","Social",IF(ISNUMBER(SEARCH("monolito",PL[[#This Row],[DESCRIPTION]])),"Monolitos","Varios")))))</f>
        <v>Cerrados IUP</v>
      </c>
      <c r="Q128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2" spans="1:17" s="157" customFormat="1" hidden="1" x14ac:dyDescent="0.2">
      <c r="A1282" s="151" t="s">
        <v>3323</v>
      </c>
      <c r="B1282" s="154" t="s">
        <v>8</v>
      </c>
      <c r="C1282" s="152">
        <v>10</v>
      </c>
      <c r="D1282" s="153" t="s">
        <v>3375</v>
      </c>
      <c r="E1282" s="154" t="s">
        <v>3324</v>
      </c>
      <c r="F1282" s="154" t="s">
        <v>2632</v>
      </c>
      <c r="G1282" s="154" t="s">
        <v>291</v>
      </c>
      <c r="H1282" s="154" t="s">
        <v>163</v>
      </c>
      <c r="I1282" s="154" t="s">
        <v>163</v>
      </c>
      <c r="J1282" s="154" t="s">
        <v>74</v>
      </c>
      <c r="K1282" s="154" t="s">
        <v>3394</v>
      </c>
      <c r="L1282" s="161">
        <v>46155</v>
      </c>
      <c r="M1282" s="160">
        <v>46155</v>
      </c>
      <c r="N1282" s="154" t="str">
        <f>IF(ISNUMBER(PL[[#This Row],[CTO]]),"CTO "&amp;PL[[#This Row],[CTO]],"Otros")</f>
        <v>CTO 10</v>
      </c>
      <c r="O1282" s="154" t="str">
        <f>IF(PL[[#This Row],[STATUS IUP]]="CERRADO","CERRADO",IF(ISNUMBER(SEARCH("validacion de enel",PL[[#This Row],[SUPPLIER NOTES]])),"PTE Validar Enel","ABIERTO"))</f>
        <v>CERRADO</v>
      </c>
      <c r="P1282" s="154" t="str">
        <f>IF(PL[[#This Row],[ESTADO]]="CERRADO","Cerrados IUP",IF(PL[[#This Row],[ESTADO]]="PTE Validar Enel","Pendiente cierre ENEL",IF(ISNUMBER(SEARCH("suministro",PL[[#This Row],[SUPPLIER NOTES]])),"Suministros",IF(PL[[#This Row],[SC]]="SOCIAL","Social",IF(ISNUMBER(SEARCH("monolito",PL[[#This Row],[DESCRIPTION]])),"Monolitos","Varios")))))</f>
        <v>Cerrados IUP</v>
      </c>
      <c r="Q128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3" spans="1:17" s="157" customFormat="1" hidden="1" x14ac:dyDescent="0.2">
      <c r="A1283" s="151" t="s">
        <v>3319</v>
      </c>
      <c r="B1283" s="154" t="s">
        <v>8</v>
      </c>
      <c r="C1283" s="152">
        <v>10</v>
      </c>
      <c r="D1283" s="153" t="s">
        <v>3375</v>
      </c>
      <c r="E1283" s="154" t="s">
        <v>3320</v>
      </c>
      <c r="F1283" s="154" t="s">
        <v>2084</v>
      </c>
      <c r="G1283" s="154" t="s">
        <v>291</v>
      </c>
      <c r="H1283" s="154" t="s">
        <v>163</v>
      </c>
      <c r="I1283" s="154" t="s">
        <v>163</v>
      </c>
      <c r="J1283" s="154" t="s">
        <v>74</v>
      </c>
      <c r="K1283" s="154" t="s">
        <v>3394</v>
      </c>
      <c r="L1283" s="161">
        <v>46155</v>
      </c>
      <c r="M1283" s="160">
        <v>46155</v>
      </c>
      <c r="N1283" s="154" t="str">
        <f>IF(ISNUMBER(PL[[#This Row],[CTO]]),"CTO "&amp;PL[[#This Row],[CTO]],"Otros")</f>
        <v>CTO 10</v>
      </c>
      <c r="O1283" s="154" t="str">
        <f>IF(PL[[#This Row],[STATUS IUP]]="CERRADO","CERRADO",IF(ISNUMBER(SEARCH("validacion de enel",PL[[#This Row],[SUPPLIER NOTES]])),"PTE Validar Enel","ABIERTO"))</f>
        <v>CERRADO</v>
      </c>
      <c r="P1283" s="154" t="str">
        <f>IF(PL[[#This Row],[ESTADO]]="CERRADO","Cerrados IUP",IF(PL[[#This Row],[ESTADO]]="PTE Validar Enel","Pendiente cierre ENEL",IF(ISNUMBER(SEARCH("suministro",PL[[#This Row],[SUPPLIER NOTES]])),"Suministros",IF(PL[[#This Row],[SC]]="SOCIAL","Social",IF(ISNUMBER(SEARCH("monolito",PL[[#This Row],[DESCRIPTION]])),"Monolitos","Varios")))))</f>
        <v>Cerrados IUP</v>
      </c>
      <c r="Q128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4" spans="1:17" s="157" customFormat="1" hidden="1" x14ac:dyDescent="0.2">
      <c r="A1284" s="151" t="s">
        <v>3008</v>
      </c>
      <c r="B1284" s="154" t="s">
        <v>8</v>
      </c>
      <c r="C1284" s="152">
        <v>10</v>
      </c>
      <c r="D1284" s="153" t="s">
        <v>3375</v>
      </c>
      <c r="E1284" s="154" t="s">
        <v>3009</v>
      </c>
      <c r="F1284" s="154" t="s">
        <v>2490</v>
      </c>
      <c r="G1284" s="154" t="s">
        <v>291</v>
      </c>
      <c r="H1284" s="154" t="s">
        <v>163</v>
      </c>
      <c r="I1284" s="154" t="s">
        <v>163</v>
      </c>
      <c r="J1284" s="154" t="s">
        <v>74</v>
      </c>
      <c r="K1284" s="154" t="s">
        <v>3394</v>
      </c>
      <c r="L1284" s="161">
        <v>46155</v>
      </c>
      <c r="M1284" s="160">
        <v>46155</v>
      </c>
      <c r="N1284" s="154" t="str">
        <f>IF(ISNUMBER(PL[[#This Row],[CTO]]),"CTO "&amp;PL[[#This Row],[CTO]],"Otros")</f>
        <v>CTO 10</v>
      </c>
      <c r="O1284" s="154" t="str">
        <f>IF(PL[[#This Row],[STATUS IUP]]="CERRADO","CERRADO",IF(ISNUMBER(SEARCH("validacion de enel",PL[[#This Row],[SUPPLIER NOTES]])),"PTE Validar Enel","ABIERTO"))</f>
        <v>CERRADO</v>
      </c>
      <c r="P1284" s="154" t="str">
        <f>IF(PL[[#This Row],[ESTADO]]="CERRADO","Cerrados IUP",IF(PL[[#This Row],[ESTADO]]="PTE Validar Enel","Pendiente cierre ENEL",IF(ISNUMBER(SEARCH("suministro",PL[[#This Row],[SUPPLIER NOTES]])),"Suministros",IF(PL[[#This Row],[SC]]="SOCIAL","Social",IF(ISNUMBER(SEARCH("monolito",PL[[#This Row],[DESCRIPTION]])),"Monolitos","Varios")))))</f>
        <v>Cerrados IUP</v>
      </c>
      <c r="Q128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5" spans="1:17" s="157" customFormat="1" hidden="1" x14ac:dyDescent="0.2">
      <c r="A1285" s="151" t="s">
        <v>3321</v>
      </c>
      <c r="B1285" s="154" t="s">
        <v>8</v>
      </c>
      <c r="C1285" s="152">
        <v>10</v>
      </c>
      <c r="D1285" s="153" t="s">
        <v>3375</v>
      </c>
      <c r="E1285" s="154" t="s">
        <v>3322</v>
      </c>
      <c r="F1285" s="154" t="s">
        <v>2081</v>
      </c>
      <c r="G1285" s="154" t="s">
        <v>291</v>
      </c>
      <c r="H1285" s="154" t="s">
        <v>163</v>
      </c>
      <c r="I1285" s="154" t="s">
        <v>163</v>
      </c>
      <c r="J1285" s="154" t="s">
        <v>74</v>
      </c>
      <c r="K1285" s="154" t="s">
        <v>3394</v>
      </c>
      <c r="L1285" s="161">
        <v>46155</v>
      </c>
      <c r="M1285" s="160">
        <v>46155</v>
      </c>
      <c r="N1285" s="154" t="str">
        <f>IF(ISNUMBER(PL[[#This Row],[CTO]]),"CTO "&amp;PL[[#This Row],[CTO]],"Otros")</f>
        <v>CTO 10</v>
      </c>
      <c r="O1285" s="154" t="str">
        <f>IF(PL[[#This Row],[STATUS IUP]]="CERRADO","CERRADO",IF(ISNUMBER(SEARCH("validacion de enel",PL[[#This Row],[SUPPLIER NOTES]])),"PTE Validar Enel","ABIERTO"))</f>
        <v>CERRADO</v>
      </c>
      <c r="P1285" s="154" t="str">
        <f>IF(PL[[#This Row],[ESTADO]]="CERRADO","Cerrados IUP",IF(PL[[#This Row],[ESTADO]]="PTE Validar Enel","Pendiente cierre ENEL",IF(ISNUMBER(SEARCH("suministro",PL[[#This Row],[SUPPLIER NOTES]])),"Suministros",IF(PL[[#This Row],[SC]]="SOCIAL","Social",IF(ISNUMBER(SEARCH("monolito",PL[[#This Row],[DESCRIPTION]])),"Monolitos","Varios")))))</f>
        <v>Cerrados IUP</v>
      </c>
      <c r="Q128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6" spans="1:17" s="157" customFormat="1" hidden="1" x14ac:dyDescent="0.2">
      <c r="A1286" s="151" t="s">
        <v>3191</v>
      </c>
      <c r="B1286" s="154" t="s">
        <v>8</v>
      </c>
      <c r="C1286" s="152">
        <v>10</v>
      </c>
      <c r="D1286" s="153" t="s">
        <v>3375</v>
      </c>
      <c r="E1286" s="154" t="s">
        <v>3192</v>
      </c>
      <c r="F1286" s="154" t="s">
        <v>1327</v>
      </c>
      <c r="G1286" s="154" t="s">
        <v>291</v>
      </c>
      <c r="H1286" s="154" t="s">
        <v>163</v>
      </c>
      <c r="I1286" s="154" t="s">
        <v>163</v>
      </c>
      <c r="J1286" s="154" t="s">
        <v>74</v>
      </c>
      <c r="K1286" s="154" t="s">
        <v>3394</v>
      </c>
      <c r="L1286" s="161">
        <v>46155</v>
      </c>
      <c r="M1286" s="160">
        <v>46155</v>
      </c>
      <c r="N1286" s="154" t="str">
        <f>IF(ISNUMBER(PL[[#This Row],[CTO]]),"CTO "&amp;PL[[#This Row],[CTO]],"Otros")</f>
        <v>CTO 10</v>
      </c>
      <c r="O1286" s="154" t="str">
        <f>IF(PL[[#This Row],[STATUS IUP]]="CERRADO","CERRADO",IF(ISNUMBER(SEARCH("validacion de enel",PL[[#This Row],[SUPPLIER NOTES]])),"PTE Validar Enel","ABIERTO"))</f>
        <v>CERRADO</v>
      </c>
      <c r="P1286" s="154" t="str">
        <f>IF(PL[[#This Row],[ESTADO]]="CERRADO","Cerrados IUP",IF(PL[[#This Row],[ESTADO]]="PTE Validar Enel","Pendiente cierre ENEL",IF(ISNUMBER(SEARCH("suministro",PL[[#This Row],[SUPPLIER NOTES]])),"Suministros",IF(PL[[#This Row],[SC]]="SOCIAL","Social",IF(ISNUMBER(SEARCH("monolito",PL[[#This Row],[DESCRIPTION]])),"Monolitos","Varios")))))</f>
        <v>Cerrados IUP</v>
      </c>
      <c r="Q128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7" spans="1:17" s="157" customFormat="1" hidden="1" x14ac:dyDescent="0.2">
      <c r="A1287" s="151" t="s">
        <v>3317</v>
      </c>
      <c r="B1287" s="154" t="s">
        <v>8</v>
      </c>
      <c r="C1287" s="152">
        <v>10</v>
      </c>
      <c r="D1287" s="153" t="s">
        <v>3375</v>
      </c>
      <c r="E1287" s="154" t="s">
        <v>3318</v>
      </c>
      <c r="F1287" s="154" t="s">
        <v>1324</v>
      </c>
      <c r="G1287" s="154" t="s">
        <v>291</v>
      </c>
      <c r="H1287" s="154" t="s">
        <v>163</v>
      </c>
      <c r="I1287" s="154" t="s">
        <v>163</v>
      </c>
      <c r="J1287" s="154" t="s">
        <v>74</v>
      </c>
      <c r="K1287" s="154" t="s">
        <v>3394</v>
      </c>
      <c r="L1287" s="161">
        <v>46155</v>
      </c>
      <c r="M1287" s="160">
        <v>46155</v>
      </c>
      <c r="N1287" s="154" t="str">
        <f>IF(ISNUMBER(PL[[#This Row],[CTO]]),"CTO "&amp;PL[[#This Row],[CTO]],"Otros")</f>
        <v>CTO 10</v>
      </c>
      <c r="O1287" s="154" t="str">
        <f>IF(PL[[#This Row],[STATUS IUP]]="CERRADO","CERRADO",IF(ISNUMBER(SEARCH("validacion de enel",PL[[#This Row],[SUPPLIER NOTES]])),"PTE Validar Enel","ABIERTO"))</f>
        <v>CERRADO</v>
      </c>
      <c r="P1287" s="154" t="str">
        <f>IF(PL[[#This Row],[ESTADO]]="CERRADO","Cerrados IUP",IF(PL[[#This Row],[ESTADO]]="PTE Validar Enel","Pendiente cierre ENEL",IF(ISNUMBER(SEARCH("suministro",PL[[#This Row],[SUPPLIER NOTES]])),"Suministros",IF(PL[[#This Row],[SC]]="SOCIAL","Social",IF(ISNUMBER(SEARCH("monolito",PL[[#This Row],[DESCRIPTION]])),"Monolitos","Varios")))))</f>
        <v>Cerrados IUP</v>
      </c>
      <c r="Q128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8" spans="1:17" s="157" customFormat="1" hidden="1" x14ac:dyDescent="0.2">
      <c r="A1288" s="151" t="s">
        <v>3189</v>
      </c>
      <c r="B1288" s="154" t="s">
        <v>8</v>
      </c>
      <c r="C1288" s="152">
        <v>10</v>
      </c>
      <c r="D1288" s="153" t="s">
        <v>3375</v>
      </c>
      <c r="E1288" s="154" t="s">
        <v>3190</v>
      </c>
      <c r="F1288" s="154" t="s">
        <v>2078</v>
      </c>
      <c r="G1288" s="154" t="s">
        <v>291</v>
      </c>
      <c r="H1288" s="154" t="s">
        <v>163</v>
      </c>
      <c r="I1288" s="154" t="s">
        <v>163</v>
      </c>
      <c r="J1288" s="154" t="s">
        <v>74</v>
      </c>
      <c r="K1288" s="154" t="s">
        <v>3394</v>
      </c>
      <c r="L1288" s="161">
        <v>46155</v>
      </c>
      <c r="M1288" s="160">
        <v>46155</v>
      </c>
      <c r="N1288" s="154" t="str">
        <f>IF(ISNUMBER(PL[[#This Row],[CTO]]),"CTO "&amp;PL[[#This Row],[CTO]],"Otros")</f>
        <v>CTO 10</v>
      </c>
      <c r="O1288" s="154" t="str">
        <f>IF(PL[[#This Row],[STATUS IUP]]="CERRADO","CERRADO",IF(ISNUMBER(SEARCH("validacion de enel",PL[[#This Row],[SUPPLIER NOTES]])),"PTE Validar Enel","ABIERTO"))</f>
        <v>CERRADO</v>
      </c>
      <c r="P1288" s="154" t="str">
        <f>IF(PL[[#This Row],[ESTADO]]="CERRADO","Cerrados IUP",IF(PL[[#This Row],[ESTADO]]="PTE Validar Enel","Pendiente cierre ENEL",IF(ISNUMBER(SEARCH("suministro",PL[[#This Row],[SUPPLIER NOTES]])),"Suministros",IF(PL[[#This Row],[SC]]="SOCIAL","Social",IF(ISNUMBER(SEARCH("monolito",PL[[#This Row],[DESCRIPTION]])),"Monolitos","Varios")))))</f>
        <v>Cerrados IUP</v>
      </c>
      <c r="Q128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89" spans="1:17" s="157" customFormat="1" hidden="1" x14ac:dyDescent="0.2">
      <c r="A1289" s="151" t="s">
        <v>3195</v>
      </c>
      <c r="B1289" s="154" t="s">
        <v>8</v>
      </c>
      <c r="C1289" s="152">
        <v>10</v>
      </c>
      <c r="D1289" s="153" t="s">
        <v>3375</v>
      </c>
      <c r="E1289" s="154" t="s">
        <v>3196</v>
      </c>
      <c r="F1289" s="154" t="s">
        <v>1330</v>
      </c>
      <c r="G1289" s="154" t="s">
        <v>291</v>
      </c>
      <c r="H1289" s="154" t="s">
        <v>163</v>
      </c>
      <c r="I1289" s="154" t="s">
        <v>163</v>
      </c>
      <c r="J1289" s="154" t="s">
        <v>74</v>
      </c>
      <c r="K1289" s="154" t="s">
        <v>3394</v>
      </c>
      <c r="L1289" s="161">
        <v>46155</v>
      </c>
      <c r="M1289" s="160">
        <v>46155</v>
      </c>
      <c r="N1289" s="154" t="str">
        <f>IF(ISNUMBER(PL[[#This Row],[CTO]]),"CTO "&amp;PL[[#This Row],[CTO]],"Otros")</f>
        <v>CTO 10</v>
      </c>
      <c r="O1289" s="154" t="str">
        <f>IF(PL[[#This Row],[STATUS IUP]]="CERRADO","CERRADO",IF(ISNUMBER(SEARCH("validacion de enel",PL[[#This Row],[SUPPLIER NOTES]])),"PTE Validar Enel","ABIERTO"))</f>
        <v>CERRADO</v>
      </c>
      <c r="P1289" s="154" t="str">
        <f>IF(PL[[#This Row],[ESTADO]]="CERRADO","Cerrados IUP",IF(PL[[#This Row],[ESTADO]]="PTE Validar Enel","Pendiente cierre ENEL",IF(ISNUMBER(SEARCH("suministro",PL[[#This Row],[SUPPLIER NOTES]])),"Suministros",IF(PL[[#This Row],[SC]]="SOCIAL","Social",IF(ISNUMBER(SEARCH("monolito",PL[[#This Row],[DESCRIPTION]])),"Monolitos","Varios")))))</f>
        <v>Cerrados IUP</v>
      </c>
      <c r="Q128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0" spans="1:17" s="157" customFormat="1" hidden="1" x14ac:dyDescent="0.2">
      <c r="A1290" s="151" t="s">
        <v>3072</v>
      </c>
      <c r="B1290" s="154" t="s">
        <v>8</v>
      </c>
      <c r="C1290" s="152">
        <v>10</v>
      </c>
      <c r="D1290" s="153" t="s">
        <v>3375</v>
      </c>
      <c r="E1290" s="154" t="s">
        <v>3073</v>
      </c>
      <c r="F1290" s="154" t="s">
        <v>1458</v>
      </c>
      <c r="G1290" s="154" t="s">
        <v>291</v>
      </c>
      <c r="H1290" s="154" t="s">
        <v>163</v>
      </c>
      <c r="I1290" s="154" t="s">
        <v>163</v>
      </c>
      <c r="J1290" s="154" t="s">
        <v>74</v>
      </c>
      <c r="K1290" s="154" t="s">
        <v>3394</v>
      </c>
      <c r="L1290" s="161">
        <v>46155</v>
      </c>
      <c r="M1290" s="160">
        <v>46155</v>
      </c>
      <c r="N1290" s="154" t="str">
        <f>IF(ISNUMBER(PL[[#This Row],[CTO]]),"CTO "&amp;PL[[#This Row],[CTO]],"Otros")</f>
        <v>CTO 10</v>
      </c>
      <c r="O1290" s="154" t="str">
        <f>IF(PL[[#This Row],[STATUS IUP]]="CERRADO","CERRADO",IF(ISNUMBER(SEARCH("validacion de enel",PL[[#This Row],[SUPPLIER NOTES]])),"PTE Validar Enel","ABIERTO"))</f>
        <v>CERRADO</v>
      </c>
      <c r="P1290" s="154" t="str">
        <f>IF(PL[[#This Row],[ESTADO]]="CERRADO","Cerrados IUP",IF(PL[[#This Row],[ESTADO]]="PTE Validar Enel","Pendiente cierre ENEL",IF(ISNUMBER(SEARCH("suministro",PL[[#This Row],[SUPPLIER NOTES]])),"Suministros",IF(PL[[#This Row],[SC]]="SOCIAL","Social",IF(ISNUMBER(SEARCH("monolito",PL[[#This Row],[DESCRIPTION]])),"Monolitos","Varios")))))</f>
        <v>Cerrados IUP</v>
      </c>
      <c r="Q129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1" spans="1:17" s="157" customFormat="1" hidden="1" x14ac:dyDescent="0.2">
      <c r="A1291" s="151" t="s">
        <v>3147</v>
      </c>
      <c r="B1291" s="154" t="s">
        <v>8</v>
      </c>
      <c r="C1291" s="152">
        <v>10</v>
      </c>
      <c r="D1291" s="153" t="s">
        <v>3375</v>
      </c>
      <c r="E1291" s="154" t="s">
        <v>3148</v>
      </c>
      <c r="F1291" s="154" t="s">
        <v>808</v>
      </c>
      <c r="G1291" s="154" t="s">
        <v>291</v>
      </c>
      <c r="H1291" s="154" t="s">
        <v>163</v>
      </c>
      <c r="I1291" s="154" t="s">
        <v>163</v>
      </c>
      <c r="J1291" s="154" t="s">
        <v>74</v>
      </c>
      <c r="K1291" s="154" t="s">
        <v>3394</v>
      </c>
      <c r="L1291" s="161">
        <v>46155</v>
      </c>
      <c r="M1291" s="160">
        <v>46155</v>
      </c>
      <c r="N1291" s="154" t="str">
        <f>IF(ISNUMBER(PL[[#This Row],[CTO]]),"CTO "&amp;PL[[#This Row],[CTO]],"Otros")</f>
        <v>CTO 10</v>
      </c>
      <c r="O1291" s="154" t="str">
        <f>IF(PL[[#This Row],[STATUS IUP]]="CERRADO","CERRADO",IF(ISNUMBER(SEARCH("validacion de enel",PL[[#This Row],[SUPPLIER NOTES]])),"PTE Validar Enel","ABIERTO"))</f>
        <v>CERRADO</v>
      </c>
      <c r="P1291" s="154" t="str">
        <f>IF(PL[[#This Row],[ESTADO]]="CERRADO","Cerrados IUP",IF(PL[[#This Row],[ESTADO]]="PTE Validar Enel","Pendiente cierre ENEL",IF(ISNUMBER(SEARCH("suministro",PL[[#This Row],[SUPPLIER NOTES]])),"Suministros",IF(PL[[#This Row],[SC]]="SOCIAL","Social",IF(ISNUMBER(SEARCH("monolito",PL[[#This Row],[DESCRIPTION]])),"Monolitos","Varios")))))</f>
        <v>Cerrados IUP</v>
      </c>
      <c r="Q129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2" spans="1:17" s="157" customFormat="1" hidden="1" x14ac:dyDescent="0.2">
      <c r="A1292" s="151" t="s">
        <v>2954</v>
      </c>
      <c r="B1292" s="154" t="s">
        <v>8</v>
      </c>
      <c r="C1292" s="152">
        <v>10</v>
      </c>
      <c r="D1292" s="153" t="s">
        <v>3375</v>
      </c>
      <c r="E1292" s="154" t="s">
        <v>2955</v>
      </c>
      <c r="F1292" s="154" t="s">
        <v>1319</v>
      </c>
      <c r="G1292" s="154" t="s">
        <v>291</v>
      </c>
      <c r="H1292" s="154" t="s">
        <v>163</v>
      </c>
      <c r="I1292" s="154" t="s">
        <v>163</v>
      </c>
      <c r="J1292" s="154" t="s">
        <v>74</v>
      </c>
      <c r="K1292" s="154" t="s">
        <v>3394</v>
      </c>
      <c r="L1292" s="161">
        <v>46155</v>
      </c>
      <c r="M1292" s="160">
        <v>46155</v>
      </c>
      <c r="N1292" s="154" t="str">
        <f>IF(ISNUMBER(PL[[#This Row],[CTO]]),"CTO "&amp;PL[[#This Row],[CTO]],"Otros")</f>
        <v>CTO 10</v>
      </c>
      <c r="O1292" s="154" t="str">
        <f>IF(PL[[#This Row],[STATUS IUP]]="CERRADO","CERRADO",IF(ISNUMBER(SEARCH("validacion de enel",PL[[#This Row],[SUPPLIER NOTES]])),"PTE Validar Enel","ABIERTO"))</f>
        <v>CERRADO</v>
      </c>
      <c r="P1292" s="154" t="str">
        <f>IF(PL[[#This Row],[ESTADO]]="CERRADO","Cerrados IUP",IF(PL[[#This Row],[ESTADO]]="PTE Validar Enel","Pendiente cierre ENEL",IF(ISNUMBER(SEARCH("suministro",PL[[#This Row],[SUPPLIER NOTES]])),"Suministros",IF(PL[[#This Row],[SC]]="SOCIAL","Social",IF(ISNUMBER(SEARCH("monolito",PL[[#This Row],[DESCRIPTION]])),"Monolitos","Varios")))))</f>
        <v>Cerrados IUP</v>
      </c>
      <c r="Q129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3" spans="1:17" s="157" customFormat="1" hidden="1" x14ac:dyDescent="0.2">
      <c r="A1293" s="151" t="s">
        <v>3350</v>
      </c>
      <c r="B1293" s="154" t="s">
        <v>8</v>
      </c>
      <c r="C1293" s="152">
        <v>10</v>
      </c>
      <c r="D1293" s="153" t="s">
        <v>3375</v>
      </c>
      <c r="E1293" s="154" t="s">
        <v>3351</v>
      </c>
      <c r="F1293" s="154" t="s">
        <v>2484</v>
      </c>
      <c r="G1293" s="154" t="s">
        <v>291</v>
      </c>
      <c r="H1293" s="154" t="s">
        <v>163</v>
      </c>
      <c r="I1293" s="154" t="s">
        <v>163</v>
      </c>
      <c r="J1293" s="154" t="s">
        <v>74</v>
      </c>
      <c r="K1293" s="154" t="s">
        <v>3394</v>
      </c>
      <c r="L1293" s="161">
        <v>46155</v>
      </c>
      <c r="M1293" s="160">
        <v>46155</v>
      </c>
      <c r="N1293" s="154" t="str">
        <f>IF(ISNUMBER(PL[[#This Row],[CTO]]),"CTO "&amp;PL[[#This Row],[CTO]],"Otros")</f>
        <v>CTO 10</v>
      </c>
      <c r="O1293" s="154" t="str">
        <f>IF(PL[[#This Row],[STATUS IUP]]="CERRADO","CERRADO",IF(ISNUMBER(SEARCH("validacion de enel",PL[[#This Row],[SUPPLIER NOTES]])),"PTE Validar Enel","ABIERTO"))</f>
        <v>CERRADO</v>
      </c>
      <c r="P1293" s="154" t="str">
        <f>IF(PL[[#This Row],[ESTADO]]="CERRADO","Cerrados IUP",IF(PL[[#This Row],[ESTADO]]="PTE Validar Enel","Pendiente cierre ENEL",IF(ISNUMBER(SEARCH("suministro",PL[[#This Row],[SUPPLIER NOTES]])),"Suministros",IF(PL[[#This Row],[SC]]="SOCIAL","Social",IF(ISNUMBER(SEARCH("monolito",PL[[#This Row],[DESCRIPTION]])),"Monolitos","Varios")))))</f>
        <v>Cerrados IUP</v>
      </c>
      <c r="Q129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4" spans="1:17" s="157" customFormat="1" hidden="1" x14ac:dyDescent="0.2">
      <c r="A1294" s="151" t="s">
        <v>3068</v>
      </c>
      <c r="B1294" s="154" t="s">
        <v>8</v>
      </c>
      <c r="C1294" s="152">
        <v>10</v>
      </c>
      <c r="D1294" s="153" t="s">
        <v>3375</v>
      </c>
      <c r="E1294" s="154" t="s">
        <v>3069</v>
      </c>
      <c r="F1294" s="154" t="s">
        <v>2326</v>
      </c>
      <c r="G1294" s="154" t="s">
        <v>291</v>
      </c>
      <c r="H1294" s="154" t="s">
        <v>163</v>
      </c>
      <c r="I1294" s="154" t="s">
        <v>163</v>
      </c>
      <c r="J1294" s="154" t="s">
        <v>74</v>
      </c>
      <c r="K1294" s="154" t="s">
        <v>3394</v>
      </c>
      <c r="L1294" s="161">
        <v>46155</v>
      </c>
      <c r="M1294" s="160">
        <v>46155</v>
      </c>
      <c r="N1294" s="154" t="str">
        <f>IF(ISNUMBER(PL[[#This Row],[CTO]]),"CTO "&amp;PL[[#This Row],[CTO]],"Otros")</f>
        <v>CTO 10</v>
      </c>
      <c r="O1294" s="154" t="str">
        <f>IF(PL[[#This Row],[STATUS IUP]]="CERRADO","CERRADO",IF(ISNUMBER(SEARCH("validacion de enel",PL[[#This Row],[SUPPLIER NOTES]])),"PTE Validar Enel","ABIERTO"))</f>
        <v>CERRADO</v>
      </c>
      <c r="P1294" s="154" t="str">
        <f>IF(PL[[#This Row],[ESTADO]]="CERRADO","Cerrados IUP",IF(PL[[#This Row],[ESTADO]]="PTE Validar Enel","Pendiente cierre ENEL",IF(ISNUMBER(SEARCH("suministro",PL[[#This Row],[SUPPLIER NOTES]])),"Suministros",IF(PL[[#This Row],[SC]]="SOCIAL","Social",IF(ISNUMBER(SEARCH("monolito",PL[[#This Row],[DESCRIPTION]])),"Monolitos","Varios")))))</f>
        <v>Cerrados IUP</v>
      </c>
      <c r="Q129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5" spans="1:17" s="157" customFormat="1" hidden="1" x14ac:dyDescent="0.2">
      <c r="A1295" s="151" t="s">
        <v>3341</v>
      </c>
      <c r="B1295" s="154" t="s">
        <v>8</v>
      </c>
      <c r="C1295" s="152">
        <v>10</v>
      </c>
      <c r="D1295" s="153" t="s">
        <v>3375</v>
      </c>
      <c r="E1295" s="154" t="s">
        <v>3342</v>
      </c>
      <c r="F1295" s="154" t="s">
        <v>2075</v>
      </c>
      <c r="G1295" s="154" t="s">
        <v>291</v>
      </c>
      <c r="H1295" s="154" t="s">
        <v>163</v>
      </c>
      <c r="I1295" s="154" t="s">
        <v>163</v>
      </c>
      <c r="J1295" s="154" t="s">
        <v>74</v>
      </c>
      <c r="K1295" s="154" t="s">
        <v>3394</v>
      </c>
      <c r="L1295" s="161">
        <v>46155</v>
      </c>
      <c r="M1295" s="160">
        <v>46155</v>
      </c>
      <c r="N1295" s="154" t="str">
        <f>IF(ISNUMBER(PL[[#This Row],[CTO]]),"CTO "&amp;PL[[#This Row],[CTO]],"Otros")</f>
        <v>CTO 10</v>
      </c>
      <c r="O1295" s="154" t="str">
        <f>IF(PL[[#This Row],[STATUS IUP]]="CERRADO","CERRADO",IF(ISNUMBER(SEARCH("validacion de enel",PL[[#This Row],[SUPPLIER NOTES]])),"PTE Validar Enel","ABIERTO"))</f>
        <v>CERRADO</v>
      </c>
      <c r="P1295" s="154" t="str">
        <f>IF(PL[[#This Row],[ESTADO]]="CERRADO","Cerrados IUP",IF(PL[[#This Row],[ESTADO]]="PTE Validar Enel","Pendiente cierre ENEL",IF(ISNUMBER(SEARCH("suministro",PL[[#This Row],[SUPPLIER NOTES]])),"Suministros",IF(PL[[#This Row],[SC]]="SOCIAL","Social",IF(ISNUMBER(SEARCH("monolito",PL[[#This Row],[DESCRIPTION]])),"Monolitos","Varios")))))</f>
        <v>Cerrados IUP</v>
      </c>
      <c r="Q129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6" spans="1:17" s="157" customFormat="1" hidden="1" x14ac:dyDescent="0.2">
      <c r="A1296" s="151" t="s">
        <v>3343</v>
      </c>
      <c r="B1296" s="154" t="s">
        <v>8</v>
      </c>
      <c r="C1296" s="152">
        <v>10</v>
      </c>
      <c r="D1296" s="153" t="s">
        <v>3375</v>
      </c>
      <c r="E1296" s="154" t="s">
        <v>3344</v>
      </c>
      <c r="F1296" s="154" t="s">
        <v>2072</v>
      </c>
      <c r="G1296" s="154" t="s">
        <v>291</v>
      </c>
      <c r="H1296" s="154" t="s">
        <v>163</v>
      </c>
      <c r="I1296" s="154" t="s">
        <v>163</v>
      </c>
      <c r="J1296" s="154" t="s">
        <v>74</v>
      </c>
      <c r="K1296" s="154" t="s">
        <v>3394</v>
      </c>
      <c r="L1296" s="161">
        <v>46155</v>
      </c>
      <c r="M1296" s="160">
        <v>46155</v>
      </c>
      <c r="N1296" s="154" t="str">
        <f>IF(ISNUMBER(PL[[#This Row],[CTO]]),"CTO "&amp;PL[[#This Row],[CTO]],"Otros")</f>
        <v>CTO 10</v>
      </c>
      <c r="O1296" s="154" t="str">
        <f>IF(PL[[#This Row],[STATUS IUP]]="CERRADO","CERRADO",IF(ISNUMBER(SEARCH("validacion de enel",PL[[#This Row],[SUPPLIER NOTES]])),"PTE Validar Enel","ABIERTO"))</f>
        <v>CERRADO</v>
      </c>
      <c r="P1296" s="154" t="str">
        <f>IF(PL[[#This Row],[ESTADO]]="CERRADO","Cerrados IUP",IF(PL[[#This Row],[ESTADO]]="PTE Validar Enel","Pendiente cierre ENEL",IF(ISNUMBER(SEARCH("suministro",PL[[#This Row],[SUPPLIER NOTES]])),"Suministros",IF(PL[[#This Row],[SC]]="SOCIAL","Social",IF(ISNUMBER(SEARCH("monolito",PL[[#This Row],[DESCRIPTION]])),"Monolitos","Varios")))))</f>
        <v>Cerrados IUP</v>
      </c>
      <c r="Q129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7" spans="1:17" s="157" customFormat="1" hidden="1" x14ac:dyDescent="0.2">
      <c r="A1297" s="151" t="s">
        <v>3070</v>
      </c>
      <c r="B1297" s="154" t="s">
        <v>8</v>
      </c>
      <c r="C1297" s="152">
        <v>10</v>
      </c>
      <c r="D1297" s="153" t="s">
        <v>3375</v>
      </c>
      <c r="E1297" s="154" t="s">
        <v>3071</v>
      </c>
      <c r="F1297" s="154" t="s">
        <v>2066</v>
      </c>
      <c r="G1297" s="154" t="s">
        <v>291</v>
      </c>
      <c r="H1297" s="154" t="s">
        <v>163</v>
      </c>
      <c r="I1297" s="154" t="s">
        <v>163</v>
      </c>
      <c r="J1297" s="154" t="s">
        <v>74</v>
      </c>
      <c r="K1297" s="154" t="s">
        <v>3394</v>
      </c>
      <c r="L1297" s="161">
        <v>46155</v>
      </c>
      <c r="M1297" s="160">
        <v>46155</v>
      </c>
      <c r="N1297" s="154" t="str">
        <f>IF(ISNUMBER(PL[[#This Row],[CTO]]),"CTO "&amp;PL[[#This Row],[CTO]],"Otros")</f>
        <v>CTO 10</v>
      </c>
      <c r="O1297" s="154" t="str">
        <f>IF(PL[[#This Row],[STATUS IUP]]="CERRADO","CERRADO",IF(ISNUMBER(SEARCH("validacion de enel",PL[[#This Row],[SUPPLIER NOTES]])),"PTE Validar Enel","ABIERTO"))</f>
        <v>CERRADO</v>
      </c>
      <c r="P1297" s="154" t="str">
        <f>IF(PL[[#This Row],[ESTADO]]="CERRADO","Cerrados IUP",IF(PL[[#This Row],[ESTADO]]="PTE Validar Enel","Pendiente cierre ENEL",IF(ISNUMBER(SEARCH("suministro",PL[[#This Row],[SUPPLIER NOTES]])),"Suministros",IF(PL[[#This Row],[SC]]="SOCIAL","Social",IF(ISNUMBER(SEARCH("monolito",PL[[#This Row],[DESCRIPTION]])),"Monolitos","Varios")))))</f>
        <v>Cerrados IUP</v>
      </c>
      <c r="Q129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8" spans="1:17" s="157" customFormat="1" hidden="1" x14ac:dyDescent="0.2">
      <c r="A1298" s="151" t="s">
        <v>3112</v>
      </c>
      <c r="B1298" s="154" t="s">
        <v>8</v>
      </c>
      <c r="C1298" s="152">
        <v>10</v>
      </c>
      <c r="D1298" s="153" t="s">
        <v>3375</v>
      </c>
      <c r="E1298" s="154" t="s">
        <v>3113</v>
      </c>
      <c r="F1298" s="154" t="s">
        <v>1472</v>
      </c>
      <c r="G1298" s="154" t="s">
        <v>291</v>
      </c>
      <c r="H1298" s="154" t="s">
        <v>163</v>
      </c>
      <c r="I1298" s="154" t="s">
        <v>163</v>
      </c>
      <c r="J1298" s="154" t="s">
        <v>74</v>
      </c>
      <c r="K1298" s="154" t="s">
        <v>3394</v>
      </c>
      <c r="L1298" s="161">
        <v>46155</v>
      </c>
      <c r="M1298" s="160">
        <v>46155</v>
      </c>
      <c r="N1298" s="154" t="str">
        <f>IF(ISNUMBER(PL[[#This Row],[CTO]]),"CTO "&amp;PL[[#This Row],[CTO]],"Otros")</f>
        <v>CTO 10</v>
      </c>
      <c r="O1298" s="154" t="str">
        <f>IF(PL[[#This Row],[STATUS IUP]]="CERRADO","CERRADO",IF(ISNUMBER(SEARCH("validacion de enel",PL[[#This Row],[SUPPLIER NOTES]])),"PTE Validar Enel","ABIERTO"))</f>
        <v>CERRADO</v>
      </c>
      <c r="P1298" s="154" t="str">
        <f>IF(PL[[#This Row],[ESTADO]]="CERRADO","Cerrados IUP",IF(PL[[#This Row],[ESTADO]]="PTE Validar Enel","Pendiente cierre ENEL",IF(ISNUMBER(SEARCH("suministro",PL[[#This Row],[SUPPLIER NOTES]])),"Suministros",IF(PL[[#This Row],[SC]]="SOCIAL","Social",IF(ISNUMBER(SEARCH("monolito",PL[[#This Row],[DESCRIPTION]])),"Monolitos","Varios")))))</f>
        <v>Cerrados IUP</v>
      </c>
      <c r="Q129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299" spans="1:17" s="157" customFormat="1" hidden="1" x14ac:dyDescent="0.2">
      <c r="A1299" s="151" t="s">
        <v>3334</v>
      </c>
      <c r="B1299" s="154" t="s">
        <v>8</v>
      </c>
      <c r="C1299" s="152">
        <v>10</v>
      </c>
      <c r="D1299" s="153" t="s">
        <v>3375</v>
      </c>
      <c r="E1299" s="154" t="s">
        <v>3335</v>
      </c>
      <c r="F1299" s="154" t="s">
        <v>3336</v>
      </c>
      <c r="G1299" s="154" t="s">
        <v>291</v>
      </c>
      <c r="H1299" s="154" t="s">
        <v>163</v>
      </c>
      <c r="I1299" s="154" t="s">
        <v>163</v>
      </c>
      <c r="J1299" s="154" t="s">
        <v>74</v>
      </c>
      <c r="K1299" s="154" t="s">
        <v>3394</v>
      </c>
      <c r="L1299" s="161">
        <v>46155</v>
      </c>
      <c r="M1299" s="160">
        <v>46155</v>
      </c>
      <c r="N1299" s="154" t="str">
        <f>IF(ISNUMBER(PL[[#This Row],[CTO]]),"CTO "&amp;PL[[#This Row],[CTO]],"Otros")</f>
        <v>CTO 10</v>
      </c>
      <c r="O1299" s="154" t="str">
        <f>IF(PL[[#This Row],[STATUS IUP]]="CERRADO","CERRADO",IF(ISNUMBER(SEARCH("validacion de enel",PL[[#This Row],[SUPPLIER NOTES]])),"PTE Validar Enel","ABIERTO"))</f>
        <v>CERRADO</v>
      </c>
      <c r="P1299" s="154" t="str">
        <f>IF(PL[[#This Row],[ESTADO]]="CERRADO","Cerrados IUP",IF(PL[[#This Row],[ESTADO]]="PTE Validar Enel","Pendiente cierre ENEL",IF(ISNUMBER(SEARCH("suministro",PL[[#This Row],[SUPPLIER NOTES]])),"Suministros",IF(PL[[#This Row],[SC]]="SOCIAL","Social",IF(ISNUMBER(SEARCH("monolito",PL[[#This Row],[DESCRIPTION]])),"Monolitos","Varios")))))</f>
        <v>Cerrados IUP</v>
      </c>
      <c r="Q129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0" spans="1:17" s="157" customFormat="1" hidden="1" x14ac:dyDescent="0.2">
      <c r="A1300" s="151" t="s">
        <v>3347</v>
      </c>
      <c r="B1300" s="154" t="s">
        <v>8</v>
      </c>
      <c r="C1300" s="152">
        <v>10</v>
      </c>
      <c r="D1300" s="153" t="s">
        <v>3375</v>
      </c>
      <c r="E1300" s="154" t="s">
        <v>3348</v>
      </c>
      <c r="F1300" s="154" t="s">
        <v>3349</v>
      </c>
      <c r="G1300" s="154" t="s">
        <v>291</v>
      </c>
      <c r="H1300" s="154" t="s">
        <v>163</v>
      </c>
      <c r="I1300" s="154" t="s">
        <v>163</v>
      </c>
      <c r="J1300" s="154" t="s">
        <v>74</v>
      </c>
      <c r="K1300" s="154" t="s">
        <v>3394</v>
      </c>
      <c r="L1300" s="161">
        <v>46155</v>
      </c>
      <c r="M1300" s="160">
        <v>46155</v>
      </c>
      <c r="N1300" s="154" t="str">
        <f>IF(ISNUMBER(PL[[#This Row],[CTO]]),"CTO "&amp;PL[[#This Row],[CTO]],"Otros")</f>
        <v>CTO 10</v>
      </c>
      <c r="O1300" s="154" t="str">
        <f>IF(PL[[#This Row],[STATUS IUP]]="CERRADO","CERRADO",IF(ISNUMBER(SEARCH("validacion de enel",PL[[#This Row],[SUPPLIER NOTES]])),"PTE Validar Enel","ABIERTO"))</f>
        <v>CERRADO</v>
      </c>
      <c r="P1300" s="154" t="str">
        <f>IF(PL[[#This Row],[ESTADO]]="CERRADO","Cerrados IUP",IF(PL[[#This Row],[ESTADO]]="PTE Validar Enel","Pendiente cierre ENEL",IF(ISNUMBER(SEARCH("suministro",PL[[#This Row],[SUPPLIER NOTES]])),"Suministros",IF(PL[[#This Row],[SC]]="SOCIAL","Social",IF(ISNUMBER(SEARCH("monolito",PL[[#This Row],[DESCRIPTION]])),"Monolitos","Varios")))))</f>
        <v>Cerrados IUP</v>
      </c>
      <c r="Q130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1" spans="1:17" s="157" customFormat="1" hidden="1" x14ac:dyDescent="0.2">
      <c r="A1301" s="151" t="s">
        <v>3193</v>
      </c>
      <c r="B1301" s="154" t="s">
        <v>8</v>
      </c>
      <c r="C1301" s="152">
        <v>10</v>
      </c>
      <c r="D1301" s="153" t="s">
        <v>3375</v>
      </c>
      <c r="E1301" s="154" t="s">
        <v>3194</v>
      </c>
      <c r="F1301" s="154" t="s">
        <v>2069</v>
      </c>
      <c r="G1301" s="154" t="s">
        <v>291</v>
      </c>
      <c r="H1301" s="154" t="s">
        <v>163</v>
      </c>
      <c r="I1301" s="154" t="s">
        <v>163</v>
      </c>
      <c r="J1301" s="154" t="s">
        <v>74</v>
      </c>
      <c r="K1301" s="154" t="s">
        <v>3394</v>
      </c>
      <c r="L1301" s="161">
        <v>46155</v>
      </c>
      <c r="M1301" s="160">
        <v>46155</v>
      </c>
      <c r="N1301" s="154" t="str">
        <f>IF(ISNUMBER(PL[[#This Row],[CTO]]),"CTO "&amp;PL[[#This Row],[CTO]],"Otros")</f>
        <v>CTO 10</v>
      </c>
      <c r="O1301" s="154" t="str">
        <f>IF(PL[[#This Row],[STATUS IUP]]="CERRADO","CERRADO",IF(ISNUMBER(SEARCH("validacion de enel",PL[[#This Row],[SUPPLIER NOTES]])),"PTE Validar Enel","ABIERTO"))</f>
        <v>CERRADO</v>
      </c>
      <c r="P1301" s="154" t="str">
        <f>IF(PL[[#This Row],[ESTADO]]="CERRADO","Cerrados IUP",IF(PL[[#This Row],[ESTADO]]="PTE Validar Enel","Pendiente cierre ENEL",IF(ISNUMBER(SEARCH("suministro",PL[[#This Row],[SUPPLIER NOTES]])),"Suministros",IF(PL[[#This Row],[SC]]="SOCIAL","Social",IF(ISNUMBER(SEARCH("monolito",PL[[#This Row],[DESCRIPTION]])),"Monolitos","Varios")))))</f>
        <v>Cerrados IUP</v>
      </c>
      <c r="Q130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2" spans="1:17" s="157" customFormat="1" hidden="1" x14ac:dyDescent="0.2">
      <c r="A1302" s="151" t="s">
        <v>3271</v>
      </c>
      <c r="B1302" s="154" t="s">
        <v>8</v>
      </c>
      <c r="C1302" s="152">
        <v>10</v>
      </c>
      <c r="D1302" s="153" t="s">
        <v>3375</v>
      </c>
      <c r="E1302" s="154" t="s">
        <v>3272</v>
      </c>
      <c r="F1302" s="154" t="s">
        <v>1316</v>
      </c>
      <c r="G1302" s="154" t="s">
        <v>291</v>
      </c>
      <c r="H1302" s="154" t="s">
        <v>163</v>
      </c>
      <c r="I1302" s="154" t="s">
        <v>163</v>
      </c>
      <c r="J1302" s="154" t="s">
        <v>74</v>
      </c>
      <c r="K1302" s="154" t="s">
        <v>3394</v>
      </c>
      <c r="L1302" s="161">
        <v>46155</v>
      </c>
      <c r="M1302" s="160">
        <v>46155</v>
      </c>
      <c r="N1302" s="154" t="str">
        <f>IF(ISNUMBER(PL[[#This Row],[CTO]]),"CTO "&amp;PL[[#This Row],[CTO]],"Otros")</f>
        <v>CTO 10</v>
      </c>
      <c r="O1302" s="154" t="str">
        <f>IF(PL[[#This Row],[STATUS IUP]]="CERRADO","CERRADO",IF(ISNUMBER(SEARCH("validacion de enel",PL[[#This Row],[SUPPLIER NOTES]])),"PTE Validar Enel","ABIERTO"))</f>
        <v>CERRADO</v>
      </c>
      <c r="P1302" s="154" t="str">
        <f>IF(PL[[#This Row],[ESTADO]]="CERRADO","Cerrados IUP",IF(PL[[#This Row],[ESTADO]]="PTE Validar Enel","Pendiente cierre ENEL",IF(ISNUMBER(SEARCH("suministro",PL[[#This Row],[SUPPLIER NOTES]])),"Suministros",IF(PL[[#This Row],[SC]]="SOCIAL","Social",IF(ISNUMBER(SEARCH("monolito",PL[[#This Row],[DESCRIPTION]])),"Monolitos","Varios")))))</f>
        <v>Cerrados IUP</v>
      </c>
      <c r="Q130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3" spans="1:17" s="157" customFormat="1" hidden="1" x14ac:dyDescent="0.2">
      <c r="A1303" s="151" t="s">
        <v>3356</v>
      </c>
      <c r="B1303" s="154" t="s">
        <v>8</v>
      </c>
      <c r="C1303" s="152">
        <v>10</v>
      </c>
      <c r="D1303" s="153" t="s">
        <v>3375</v>
      </c>
      <c r="E1303" s="154" t="s">
        <v>3357</v>
      </c>
      <c r="F1303" s="154" t="s">
        <v>1978</v>
      </c>
      <c r="G1303" s="154" t="s">
        <v>291</v>
      </c>
      <c r="H1303" s="154" t="s">
        <v>163</v>
      </c>
      <c r="I1303" s="154" t="s">
        <v>163</v>
      </c>
      <c r="J1303" s="154" t="s">
        <v>74</v>
      </c>
      <c r="K1303" s="154" t="s">
        <v>3394</v>
      </c>
      <c r="L1303" s="161">
        <v>46155</v>
      </c>
      <c r="M1303" s="160">
        <v>46155</v>
      </c>
      <c r="N1303" s="154" t="str">
        <f>IF(ISNUMBER(PL[[#This Row],[CTO]]),"CTO "&amp;PL[[#This Row],[CTO]],"Otros")</f>
        <v>CTO 10</v>
      </c>
      <c r="O1303" s="154" t="str">
        <f>IF(PL[[#This Row],[STATUS IUP]]="CERRADO","CERRADO",IF(ISNUMBER(SEARCH("validacion de enel",PL[[#This Row],[SUPPLIER NOTES]])),"PTE Validar Enel","ABIERTO"))</f>
        <v>CERRADO</v>
      </c>
      <c r="P1303" s="154" t="str">
        <f>IF(PL[[#This Row],[ESTADO]]="CERRADO","Cerrados IUP",IF(PL[[#This Row],[ESTADO]]="PTE Validar Enel","Pendiente cierre ENEL",IF(ISNUMBER(SEARCH("suministro",PL[[#This Row],[SUPPLIER NOTES]])),"Suministros",IF(PL[[#This Row],[SC]]="SOCIAL","Social",IF(ISNUMBER(SEARCH("monolito",PL[[#This Row],[DESCRIPTION]])),"Monolitos","Varios")))))</f>
        <v>Cerrados IUP</v>
      </c>
      <c r="Q130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4" spans="1:17" s="157" customFormat="1" hidden="1" x14ac:dyDescent="0.2">
      <c r="A1304" s="151" t="s">
        <v>3006</v>
      </c>
      <c r="B1304" s="154" t="s">
        <v>8</v>
      </c>
      <c r="C1304" s="152">
        <v>10</v>
      </c>
      <c r="D1304" s="153" t="s">
        <v>3375</v>
      </c>
      <c r="E1304" s="154" t="s">
        <v>3007</v>
      </c>
      <c r="F1304" s="154" t="s">
        <v>1299</v>
      </c>
      <c r="G1304" s="154" t="s">
        <v>291</v>
      </c>
      <c r="H1304" s="154" t="s">
        <v>163</v>
      </c>
      <c r="I1304" s="154" t="s">
        <v>163</v>
      </c>
      <c r="J1304" s="154" t="s">
        <v>74</v>
      </c>
      <c r="K1304" s="154" t="s">
        <v>3394</v>
      </c>
      <c r="L1304" s="161">
        <v>46155</v>
      </c>
      <c r="M1304" s="160">
        <v>46155</v>
      </c>
      <c r="N1304" s="154" t="str">
        <f>IF(ISNUMBER(PL[[#This Row],[CTO]]),"CTO "&amp;PL[[#This Row],[CTO]],"Otros")</f>
        <v>CTO 10</v>
      </c>
      <c r="O1304" s="154" t="str">
        <f>IF(PL[[#This Row],[STATUS IUP]]="CERRADO","CERRADO",IF(ISNUMBER(SEARCH("validacion de enel",PL[[#This Row],[SUPPLIER NOTES]])),"PTE Validar Enel","ABIERTO"))</f>
        <v>CERRADO</v>
      </c>
      <c r="P1304" s="154" t="str">
        <f>IF(PL[[#This Row],[ESTADO]]="CERRADO","Cerrados IUP",IF(PL[[#This Row],[ESTADO]]="PTE Validar Enel","Pendiente cierre ENEL",IF(ISNUMBER(SEARCH("suministro",PL[[#This Row],[SUPPLIER NOTES]])),"Suministros",IF(PL[[#This Row],[SC]]="SOCIAL","Social",IF(ISNUMBER(SEARCH("monolito",PL[[#This Row],[DESCRIPTION]])),"Monolitos","Varios")))))</f>
        <v>Cerrados IUP</v>
      </c>
      <c r="Q130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5" spans="1:17" s="157" customFormat="1" hidden="1" x14ac:dyDescent="0.2">
      <c r="A1305" s="151" t="s">
        <v>3358</v>
      </c>
      <c r="B1305" s="154" t="s">
        <v>8</v>
      </c>
      <c r="C1305" s="152">
        <v>10</v>
      </c>
      <c r="D1305" s="153" t="s">
        <v>3375</v>
      </c>
      <c r="E1305" s="154" t="s">
        <v>3359</v>
      </c>
      <c r="F1305" s="154" t="s">
        <v>2481</v>
      </c>
      <c r="G1305" s="154" t="s">
        <v>291</v>
      </c>
      <c r="H1305" s="154" t="s">
        <v>163</v>
      </c>
      <c r="I1305" s="154" t="s">
        <v>163</v>
      </c>
      <c r="J1305" s="154" t="s">
        <v>74</v>
      </c>
      <c r="K1305" s="154" t="s">
        <v>3394</v>
      </c>
      <c r="L1305" s="161">
        <v>46155</v>
      </c>
      <c r="M1305" s="160">
        <v>46155</v>
      </c>
      <c r="N1305" s="154" t="str">
        <f>IF(ISNUMBER(PL[[#This Row],[CTO]]),"CTO "&amp;PL[[#This Row],[CTO]],"Otros")</f>
        <v>CTO 10</v>
      </c>
      <c r="O1305" s="154" t="str">
        <f>IF(PL[[#This Row],[STATUS IUP]]="CERRADO","CERRADO",IF(ISNUMBER(SEARCH("validacion de enel",PL[[#This Row],[SUPPLIER NOTES]])),"PTE Validar Enel","ABIERTO"))</f>
        <v>CERRADO</v>
      </c>
      <c r="P1305" s="154" t="str">
        <f>IF(PL[[#This Row],[ESTADO]]="CERRADO","Cerrados IUP",IF(PL[[#This Row],[ESTADO]]="PTE Validar Enel","Pendiente cierre ENEL",IF(ISNUMBER(SEARCH("suministro",PL[[#This Row],[SUPPLIER NOTES]])),"Suministros",IF(PL[[#This Row],[SC]]="SOCIAL","Social",IF(ISNUMBER(SEARCH("monolito",PL[[#This Row],[DESCRIPTION]])),"Monolitos","Varios")))))</f>
        <v>Cerrados IUP</v>
      </c>
      <c r="Q130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6" spans="1:17" s="157" customFormat="1" hidden="1" x14ac:dyDescent="0.2">
      <c r="A1306" s="151" t="s">
        <v>3004</v>
      </c>
      <c r="B1306" s="154" t="s">
        <v>8</v>
      </c>
      <c r="C1306" s="152">
        <v>10</v>
      </c>
      <c r="D1306" s="153" t="s">
        <v>3375</v>
      </c>
      <c r="E1306" s="154" t="s">
        <v>3005</v>
      </c>
      <c r="F1306" s="154" t="s">
        <v>2629</v>
      </c>
      <c r="G1306" s="154" t="s">
        <v>291</v>
      </c>
      <c r="H1306" s="154" t="s">
        <v>163</v>
      </c>
      <c r="I1306" s="154" t="s">
        <v>163</v>
      </c>
      <c r="J1306" s="154" t="s">
        <v>74</v>
      </c>
      <c r="K1306" s="154" t="s">
        <v>3394</v>
      </c>
      <c r="L1306" s="161">
        <v>46155</v>
      </c>
      <c r="M1306" s="160">
        <v>46155</v>
      </c>
      <c r="N1306" s="154" t="str">
        <f>IF(ISNUMBER(PL[[#This Row],[CTO]]),"CTO "&amp;PL[[#This Row],[CTO]],"Otros")</f>
        <v>CTO 10</v>
      </c>
      <c r="O1306" s="154" t="str">
        <f>IF(PL[[#This Row],[STATUS IUP]]="CERRADO","CERRADO",IF(ISNUMBER(SEARCH("validacion de enel",PL[[#This Row],[SUPPLIER NOTES]])),"PTE Validar Enel","ABIERTO"))</f>
        <v>CERRADO</v>
      </c>
      <c r="P1306" s="154" t="str">
        <f>IF(PL[[#This Row],[ESTADO]]="CERRADO","Cerrados IUP",IF(PL[[#This Row],[ESTADO]]="PTE Validar Enel","Pendiente cierre ENEL",IF(ISNUMBER(SEARCH("suministro",PL[[#This Row],[SUPPLIER NOTES]])),"Suministros",IF(PL[[#This Row],[SC]]="SOCIAL","Social",IF(ISNUMBER(SEARCH("monolito",PL[[#This Row],[DESCRIPTION]])),"Monolitos","Varios")))))</f>
        <v>Cerrados IUP</v>
      </c>
      <c r="Q130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7" spans="1:17" s="157" customFormat="1" hidden="1" x14ac:dyDescent="0.2">
      <c r="A1307" s="151" t="s">
        <v>3149</v>
      </c>
      <c r="B1307" s="154" t="s">
        <v>8</v>
      </c>
      <c r="C1307" s="152">
        <v>10</v>
      </c>
      <c r="D1307" s="153" t="s">
        <v>3375</v>
      </c>
      <c r="E1307" s="154" t="s">
        <v>3150</v>
      </c>
      <c r="F1307" s="154" t="s">
        <v>2487</v>
      </c>
      <c r="G1307" s="154" t="s">
        <v>291</v>
      </c>
      <c r="H1307" s="154" t="s">
        <v>163</v>
      </c>
      <c r="I1307" s="154" t="s">
        <v>163</v>
      </c>
      <c r="J1307" s="154" t="s">
        <v>74</v>
      </c>
      <c r="K1307" s="154" t="s">
        <v>3394</v>
      </c>
      <c r="L1307" s="161">
        <v>46155</v>
      </c>
      <c r="M1307" s="160">
        <v>46155</v>
      </c>
      <c r="N1307" s="154" t="str">
        <f>IF(ISNUMBER(PL[[#This Row],[CTO]]),"CTO "&amp;PL[[#This Row],[CTO]],"Otros")</f>
        <v>CTO 10</v>
      </c>
      <c r="O1307" s="154" t="str">
        <f>IF(PL[[#This Row],[STATUS IUP]]="CERRADO","CERRADO",IF(ISNUMBER(SEARCH("validacion de enel",PL[[#This Row],[SUPPLIER NOTES]])),"PTE Validar Enel","ABIERTO"))</f>
        <v>CERRADO</v>
      </c>
      <c r="P1307" s="154" t="str">
        <f>IF(PL[[#This Row],[ESTADO]]="CERRADO","Cerrados IUP",IF(PL[[#This Row],[ESTADO]]="PTE Validar Enel","Pendiente cierre ENEL",IF(ISNUMBER(SEARCH("suministro",PL[[#This Row],[SUPPLIER NOTES]])),"Suministros",IF(PL[[#This Row],[SC]]="SOCIAL","Social",IF(ISNUMBER(SEARCH("monolito",PL[[#This Row],[DESCRIPTION]])),"Monolitos","Varios")))))</f>
        <v>Cerrados IUP</v>
      </c>
      <c r="Q130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8" spans="1:17" s="157" customFormat="1" hidden="1" x14ac:dyDescent="0.2">
      <c r="A1308" s="151" t="s">
        <v>3145</v>
      </c>
      <c r="B1308" s="154" t="s">
        <v>8</v>
      </c>
      <c r="C1308" s="152">
        <v>10</v>
      </c>
      <c r="D1308" s="153" t="s">
        <v>3375</v>
      </c>
      <c r="E1308" s="154" t="s">
        <v>3146</v>
      </c>
      <c r="F1308" s="154" t="s">
        <v>1972</v>
      </c>
      <c r="G1308" s="154" t="s">
        <v>291</v>
      </c>
      <c r="H1308" s="154" t="s">
        <v>163</v>
      </c>
      <c r="I1308" s="154" t="s">
        <v>163</v>
      </c>
      <c r="J1308" s="154" t="s">
        <v>74</v>
      </c>
      <c r="K1308" s="154" t="s">
        <v>3394</v>
      </c>
      <c r="L1308" s="161">
        <v>46155</v>
      </c>
      <c r="M1308" s="160">
        <v>46155</v>
      </c>
      <c r="N1308" s="154" t="str">
        <f>IF(ISNUMBER(PL[[#This Row],[CTO]]),"CTO "&amp;PL[[#This Row],[CTO]],"Otros")</f>
        <v>CTO 10</v>
      </c>
      <c r="O1308" s="154" t="str">
        <f>IF(PL[[#This Row],[STATUS IUP]]="CERRADO","CERRADO",IF(ISNUMBER(SEARCH("validacion de enel",PL[[#This Row],[SUPPLIER NOTES]])),"PTE Validar Enel","ABIERTO"))</f>
        <v>CERRADO</v>
      </c>
      <c r="P1308" s="154" t="str">
        <f>IF(PL[[#This Row],[ESTADO]]="CERRADO","Cerrados IUP",IF(PL[[#This Row],[ESTADO]]="PTE Validar Enel","Pendiente cierre ENEL",IF(ISNUMBER(SEARCH("suministro",PL[[#This Row],[SUPPLIER NOTES]])),"Suministros",IF(PL[[#This Row],[SC]]="SOCIAL","Social",IF(ISNUMBER(SEARCH("monolito",PL[[#This Row],[DESCRIPTION]])),"Monolitos","Varios")))))</f>
        <v>Cerrados IUP</v>
      </c>
      <c r="Q130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09" spans="1:17" s="157" customFormat="1" hidden="1" x14ac:dyDescent="0.2">
      <c r="A1309" s="151" t="s">
        <v>3307</v>
      </c>
      <c r="B1309" s="154" t="s">
        <v>8</v>
      </c>
      <c r="C1309" s="152">
        <v>10</v>
      </c>
      <c r="D1309" s="153" t="s">
        <v>3375</v>
      </c>
      <c r="E1309" s="154" t="s">
        <v>3308</v>
      </c>
      <c r="F1309" s="154" t="s">
        <v>1966</v>
      </c>
      <c r="G1309" s="154" t="s">
        <v>291</v>
      </c>
      <c r="H1309" s="154" t="s">
        <v>163</v>
      </c>
      <c r="I1309" s="154" t="s">
        <v>163</v>
      </c>
      <c r="J1309" s="154" t="s">
        <v>74</v>
      </c>
      <c r="K1309" s="154" t="s">
        <v>3394</v>
      </c>
      <c r="L1309" s="161">
        <v>46155</v>
      </c>
      <c r="M1309" s="160">
        <v>46155</v>
      </c>
      <c r="N1309" s="154" t="str">
        <f>IF(ISNUMBER(PL[[#This Row],[CTO]]),"CTO "&amp;PL[[#This Row],[CTO]],"Otros")</f>
        <v>CTO 10</v>
      </c>
      <c r="O1309" s="154" t="str">
        <f>IF(PL[[#This Row],[STATUS IUP]]="CERRADO","CERRADO",IF(ISNUMBER(SEARCH("validacion de enel",PL[[#This Row],[SUPPLIER NOTES]])),"PTE Validar Enel","ABIERTO"))</f>
        <v>CERRADO</v>
      </c>
      <c r="P1309" s="154" t="str">
        <f>IF(PL[[#This Row],[ESTADO]]="CERRADO","Cerrados IUP",IF(PL[[#This Row],[ESTADO]]="PTE Validar Enel","Pendiente cierre ENEL",IF(ISNUMBER(SEARCH("suministro",PL[[#This Row],[SUPPLIER NOTES]])),"Suministros",IF(PL[[#This Row],[SC]]="SOCIAL","Social",IF(ISNUMBER(SEARCH("monolito",PL[[#This Row],[DESCRIPTION]])),"Monolitos","Varios")))))</f>
        <v>Cerrados IUP</v>
      </c>
      <c r="Q130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0" spans="1:17" s="157" customFormat="1" hidden="1" x14ac:dyDescent="0.2">
      <c r="A1310" s="151" t="s">
        <v>3360</v>
      </c>
      <c r="B1310" s="154" t="s">
        <v>8</v>
      </c>
      <c r="C1310" s="152">
        <v>10</v>
      </c>
      <c r="D1310" s="153" t="s">
        <v>3375</v>
      </c>
      <c r="E1310" s="154" t="s">
        <v>3361</v>
      </c>
      <c r="F1310" s="154" t="s">
        <v>1963</v>
      </c>
      <c r="G1310" s="154" t="s">
        <v>291</v>
      </c>
      <c r="H1310" s="154" t="s">
        <v>163</v>
      </c>
      <c r="I1310" s="154" t="s">
        <v>163</v>
      </c>
      <c r="J1310" s="154" t="s">
        <v>74</v>
      </c>
      <c r="K1310" s="154" t="s">
        <v>3394</v>
      </c>
      <c r="L1310" s="161">
        <v>46155</v>
      </c>
      <c r="M1310" s="160">
        <v>46155</v>
      </c>
      <c r="N1310" s="154" t="str">
        <f>IF(ISNUMBER(PL[[#This Row],[CTO]]),"CTO "&amp;PL[[#This Row],[CTO]],"Otros")</f>
        <v>CTO 10</v>
      </c>
      <c r="O1310" s="154" t="str">
        <f>IF(PL[[#This Row],[STATUS IUP]]="CERRADO","CERRADO",IF(ISNUMBER(SEARCH("validacion de enel",PL[[#This Row],[SUPPLIER NOTES]])),"PTE Validar Enel","ABIERTO"))</f>
        <v>CERRADO</v>
      </c>
      <c r="P1310" s="154" t="str">
        <f>IF(PL[[#This Row],[ESTADO]]="CERRADO","Cerrados IUP",IF(PL[[#This Row],[ESTADO]]="PTE Validar Enel","Pendiente cierre ENEL",IF(ISNUMBER(SEARCH("suministro",PL[[#This Row],[SUPPLIER NOTES]])),"Suministros",IF(PL[[#This Row],[SC]]="SOCIAL","Social",IF(ISNUMBER(SEARCH("monolito",PL[[#This Row],[DESCRIPTION]])),"Monolitos","Varios")))))</f>
        <v>Cerrados IUP</v>
      </c>
      <c r="Q131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1" spans="1:17" s="157" customFormat="1" hidden="1" x14ac:dyDescent="0.2">
      <c r="A1311" s="151" t="s">
        <v>3309</v>
      </c>
      <c r="B1311" s="154" t="s">
        <v>8</v>
      </c>
      <c r="C1311" s="152">
        <v>10</v>
      </c>
      <c r="D1311" s="153" t="s">
        <v>3375</v>
      </c>
      <c r="E1311" s="154" t="s">
        <v>3310</v>
      </c>
      <c r="F1311" s="154" t="s">
        <v>2008</v>
      </c>
      <c r="G1311" s="154" t="s">
        <v>291</v>
      </c>
      <c r="H1311" s="154" t="s">
        <v>163</v>
      </c>
      <c r="I1311" s="154" t="s">
        <v>163</v>
      </c>
      <c r="J1311" s="154" t="s">
        <v>74</v>
      </c>
      <c r="K1311" s="154" t="s">
        <v>3394</v>
      </c>
      <c r="L1311" s="161">
        <v>46155</v>
      </c>
      <c r="M1311" s="160">
        <v>46155</v>
      </c>
      <c r="N1311" s="154" t="str">
        <f>IF(ISNUMBER(PL[[#This Row],[CTO]]),"CTO "&amp;PL[[#This Row],[CTO]],"Otros")</f>
        <v>CTO 10</v>
      </c>
      <c r="O1311" s="154" t="str">
        <f>IF(PL[[#This Row],[STATUS IUP]]="CERRADO","CERRADO",IF(ISNUMBER(SEARCH("validacion de enel",PL[[#This Row],[SUPPLIER NOTES]])),"PTE Validar Enel","ABIERTO"))</f>
        <v>CERRADO</v>
      </c>
      <c r="P1311" s="154" t="str">
        <f>IF(PL[[#This Row],[ESTADO]]="CERRADO","Cerrados IUP",IF(PL[[#This Row],[ESTADO]]="PTE Validar Enel","Pendiente cierre ENEL",IF(ISNUMBER(SEARCH("suministro",PL[[#This Row],[SUPPLIER NOTES]])),"Suministros",IF(PL[[#This Row],[SC]]="SOCIAL","Social",IF(ISNUMBER(SEARCH("monolito",PL[[#This Row],[DESCRIPTION]])),"Monolitos","Varios")))))</f>
        <v>Cerrados IUP</v>
      </c>
      <c r="Q131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2" spans="1:17" s="157" customFormat="1" hidden="1" x14ac:dyDescent="0.2">
      <c r="A1312" s="151" t="s">
        <v>2952</v>
      </c>
      <c r="B1312" s="154" t="s">
        <v>8</v>
      </c>
      <c r="C1312" s="152">
        <v>10</v>
      </c>
      <c r="D1312" s="153" t="s">
        <v>3375</v>
      </c>
      <c r="E1312" s="154" t="s">
        <v>2953</v>
      </c>
      <c r="F1312" s="154" t="s">
        <v>1348</v>
      </c>
      <c r="G1312" s="154" t="s">
        <v>291</v>
      </c>
      <c r="H1312" s="154" t="s">
        <v>163</v>
      </c>
      <c r="I1312" s="154" t="s">
        <v>163</v>
      </c>
      <c r="J1312" s="154" t="s">
        <v>74</v>
      </c>
      <c r="K1312" s="154" t="s">
        <v>3394</v>
      </c>
      <c r="L1312" s="161">
        <v>46155</v>
      </c>
      <c r="M1312" s="160">
        <v>46155</v>
      </c>
      <c r="N1312" s="154" t="str">
        <f>IF(ISNUMBER(PL[[#This Row],[CTO]]),"CTO "&amp;PL[[#This Row],[CTO]],"Otros")</f>
        <v>CTO 10</v>
      </c>
      <c r="O1312" s="154" t="str">
        <f>IF(PL[[#This Row],[STATUS IUP]]="CERRADO","CERRADO",IF(ISNUMBER(SEARCH("validacion de enel",PL[[#This Row],[SUPPLIER NOTES]])),"PTE Validar Enel","ABIERTO"))</f>
        <v>CERRADO</v>
      </c>
      <c r="P1312" s="154" t="str">
        <f>IF(PL[[#This Row],[ESTADO]]="CERRADO","Cerrados IUP",IF(PL[[#This Row],[ESTADO]]="PTE Validar Enel","Pendiente cierre ENEL",IF(ISNUMBER(SEARCH("suministro",PL[[#This Row],[SUPPLIER NOTES]])),"Suministros",IF(PL[[#This Row],[SC]]="SOCIAL","Social",IF(ISNUMBER(SEARCH("monolito",PL[[#This Row],[DESCRIPTION]])),"Monolitos","Varios")))))</f>
        <v>Cerrados IUP</v>
      </c>
      <c r="Q1312"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3" spans="1:17" s="157" customFormat="1" hidden="1" x14ac:dyDescent="0.2">
      <c r="A1313" s="151" t="s">
        <v>3143</v>
      </c>
      <c r="B1313" s="154" t="s">
        <v>8</v>
      </c>
      <c r="C1313" s="152">
        <v>10</v>
      </c>
      <c r="D1313" s="153" t="s">
        <v>3375</v>
      </c>
      <c r="E1313" s="154" t="s">
        <v>3144</v>
      </c>
      <c r="F1313" s="154" t="s">
        <v>1969</v>
      </c>
      <c r="G1313" s="154" t="s">
        <v>291</v>
      </c>
      <c r="H1313" s="154" t="s">
        <v>163</v>
      </c>
      <c r="I1313" s="154" t="s">
        <v>163</v>
      </c>
      <c r="J1313" s="154" t="s">
        <v>74</v>
      </c>
      <c r="K1313" s="154" t="s">
        <v>3394</v>
      </c>
      <c r="L1313" s="161">
        <v>46155</v>
      </c>
      <c r="M1313" s="160">
        <v>46155</v>
      </c>
      <c r="N1313" s="154" t="str">
        <f>IF(ISNUMBER(PL[[#This Row],[CTO]]),"CTO "&amp;PL[[#This Row],[CTO]],"Otros")</f>
        <v>CTO 10</v>
      </c>
      <c r="O1313" s="154" t="str">
        <f>IF(PL[[#This Row],[STATUS IUP]]="CERRADO","CERRADO",IF(ISNUMBER(SEARCH("validacion de enel",PL[[#This Row],[SUPPLIER NOTES]])),"PTE Validar Enel","ABIERTO"))</f>
        <v>CERRADO</v>
      </c>
      <c r="P1313" s="154" t="str">
        <f>IF(PL[[#This Row],[ESTADO]]="CERRADO","Cerrados IUP",IF(PL[[#This Row],[ESTADO]]="PTE Validar Enel","Pendiente cierre ENEL",IF(ISNUMBER(SEARCH("suministro",PL[[#This Row],[SUPPLIER NOTES]])),"Suministros",IF(PL[[#This Row],[SC]]="SOCIAL","Social",IF(ISNUMBER(SEARCH("monolito",PL[[#This Row],[DESCRIPTION]])),"Monolitos","Varios")))))</f>
        <v>Cerrados IUP</v>
      </c>
      <c r="Q131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4" spans="1:17" s="157" customFormat="1" hidden="1" x14ac:dyDescent="0.2">
      <c r="A1314" s="151" t="s">
        <v>2327</v>
      </c>
      <c r="B1314" s="154" t="s">
        <v>8</v>
      </c>
      <c r="C1314" s="152">
        <v>10</v>
      </c>
      <c r="D1314" s="153" t="s">
        <v>3375</v>
      </c>
      <c r="E1314" s="154" t="s">
        <v>2328</v>
      </c>
      <c r="F1314" s="154" t="s">
        <v>1374</v>
      </c>
      <c r="G1314" s="154" t="s">
        <v>291</v>
      </c>
      <c r="H1314" s="154" t="s">
        <v>163</v>
      </c>
      <c r="I1314" s="154" t="s">
        <v>163</v>
      </c>
      <c r="J1314" s="154" t="s">
        <v>74</v>
      </c>
      <c r="K1314" s="154" t="s">
        <v>3394</v>
      </c>
      <c r="L1314" s="161">
        <v>46155</v>
      </c>
      <c r="M1314" s="160">
        <v>46155</v>
      </c>
      <c r="N1314" s="154" t="str">
        <f>IF(ISNUMBER(PL[[#This Row],[CTO]]),"CTO "&amp;PL[[#This Row],[CTO]],"Otros")</f>
        <v>CTO 10</v>
      </c>
      <c r="O1314" s="154" t="str">
        <f>IF(PL[[#This Row],[STATUS IUP]]="CERRADO","CERRADO",IF(ISNUMBER(SEARCH("validacion de enel",PL[[#This Row],[SUPPLIER NOTES]])),"PTE Validar Enel","ABIERTO"))</f>
        <v>CERRADO</v>
      </c>
      <c r="P1314" s="154" t="str">
        <f>IF(PL[[#This Row],[ESTADO]]="CERRADO","Cerrados IUP",IF(PL[[#This Row],[ESTADO]]="PTE Validar Enel","Pendiente cierre ENEL",IF(ISNUMBER(SEARCH("suministro",PL[[#This Row],[SUPPLIER NOTES]])),"Suministros",IF(PL[[#This Row],[SC]]="SOCIAL","Social",IF(ISNUMBER(SEARCH("monolito",PL[[#This Row],[DESCRIPTION]])),"Monolitos","Varios")))))</f>
        <v>Cerrados IUP</v>
      </c>
      <c r="Q131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5" spans="1:17" s="157" customFormat="1" hidden="1" x14ac:dyDescent="0.2">
      <c r="A1315" s="151" t="s">
        <v>2329</v>
      </c>
      <c r="B1315" s="154" t="s">
        <v>8</v>
      </c>
      <c r="C1315" s="152">
        <v>10</v>
      </c>
      <c r="D1315" s="153" t="s">
        <v>3375</v>
      </c>
      <c r="E1315" s="154" t="s">
        <v>2330</v>
      </c>
      <c r="F1315" s="154" t="s">
        <v>2331</v>
      </c>
      <c r="G1315" s="154" t="s">
        <v>291</v>
      </c>
      <c r="H1315" s="154" t="s">
        <v>163</v>
      </c>
      <c r="I1315" s="154" t="s">
        <v>163</v>
      </c>
      <c r="J1315" s="154" t="s">
        <v>74</v>
      </c>
      <c r="K1315" s="154" t="s">
        <v>3394</v>
      </c>
      <c r="L1315" s="161">
        <v>46155</v>
      </c>
      <c r="M1315" s="160">
        <v>46155</v>
      </c>
      <c r="N1315" s="154" t="str">
        <f>IF(ISNUMBER(PL[[#This Row],[CTO]]),"CTO "&amp;PL[[#This Row],[CTO]],"Otros")</f>
        <v>CTO 10</v>
      </c>
      <c r="O1315" s="154" t="str">
        <f>IF(PL[[#This Row],[STATUS IUP]]="CERRADO","CERRADO",IF(ISNUMBER(SEARCH("validacion de enel",PL[[#This Row],[SUPPLIER NOTES]])),"PTE Validar Enel","ABIERTO"))</f>
        <v>CERRADO</v>
      </c>
      <c r="P1315" s="154" t="str">
        <f>IF(PL[[#This Row],[ESTADO]]="CERRADO","Cerrados IUP",IF(PL[[#This Row],[ESTADO]]="PTE Validar Enel","Pendiente cierre ENEL",IF(ISNUMBER(SEARCH("suministro",PL[[#This Row],[SUPPLIER NOTES]])),"Suministros",IF(PL[[#This Row],[SC]]="SOCIAL","Social",IF(ISNUMBER(SEARCH("monolito",PL[[#This Row],[DESCRIPTION]])),"Monolitos","Varios")))))</f>
        <v>Cerrados IUP</v>
      </c>
      <c r="Q131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6" spans="1:17" s="157" customFormat="1" hidden="1" x14ac:dyDescent="0.2">
      <c r="A1316" s="151" t="s">
        <v>3362</v>
      </c>
      <c r="B1316" s="154" t="s">
        <v>8</v>
      </c>
      <c r="C1316" s="152">
        <v>10</v>
      </c>
      <c r="D1316" s="153" t="s">
        <v>3375</v>
      </c>
      <c r="E1316" s="154" t="s">
        <v>3363</v>
      </c>
      <c r="F1316" s="154" t="s">
        <v>1342</v>
      </c>
      <c r="G1316" s="154" t="s">
        <v>291</v>
      </c>
      <c r="H1316" s="154" t="s">
        <v>163</v>
      </c>
      <c r="I1316" s="154" t="s">
        <v>163</v>
      </c>
      <c r="J1316" s="154" t="s">
        <v>74</v>
      </c>
      <c r="K1316" s="154" t="s">
        <v>3394</v>
      </c>
      <c r="L1316" s="161">
        <v>46155</v>
      </c>
      <c r="M1316" s="160">
        <v>46155</v>
      </c>
      <c r="N1316" s="154" t="str">
        <f>IF(ISNUMBER(PL[[#This Row],[CTO]]),"CTO "&amp;PL[[#This Row],[CTO]],"Otros")</f>
        <v>CTO 10</v>
      </c>
      <c r="O1316" s="154" t="str">
        <f>IF(PL[[#This Row],[STATUS IUP]]="CERRADO","CERRADO",IF(ISNUMBER(SEARCH("validacion de enel",PL[[#This Row],[SUPPLIER NOTES]])),"PTE Validar Enel","ABIERTO"))</f>
        <v>CERRADO</v>
      </c>
      <c r="P1316" s="154" t="str">
        <f>IF(PL[[#This Row],[ESTADO]]="CERRADO","Cerrados IUP",IF(PL[[#This Row],[ESTADO]]="PTE Validar Enel","Pendiente cierre ENEL",IF(ISNUMBER(SEARCH("suministro",PL[[#This Row],[SUPPLIER NOTES]])),"Suministros",IF(PL[[#This Row],[SC]]="SOCIAL","Social",IF(ISNUMBER(SEARCH("monolito",PL[[#This Row],[DESCRIPTION]])),"Monolitos","Varios")))))</f>
        <v>Cerrados IUP</v>
      </c>
      <c r="Q1316"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7" spans="1:17" s="157" customFormat="1" hidden="1" x14ac:dyDescent="0.2">
      <c r="A1317" s="151" t="s">
        <v>3364</v>
      </c>
      <c r="B1317" s="154" t="s">
        <v>8</v>
      </c>
      <c r="C1317" s="152">
        <v>10</v>
      </c>
      <c r="D1317" s="153" t="s">
        <v>3375</v>
      </c>
      <c r="E1317" s="154" t="s">
        <v>3365</v>
      </c>
      <c r="F1317" s="154" t="s">
        <v>2026</v>
      </c>
      <c r="G1317" s="154" t="s">
        <v>291</v>
      </c>
      <c r="H1317" s="154" t="s">
        <v>163</v>
      </c>
      <c r="I1317" s="154" t="s">
        <v>163</v>
      </c>
      <c r="J1317" s="154" t="s">
        <v>74</v>
      </c>
      <c r="K1317" s="154" t="s">
        <v>3394</v>
      </c>
      <c r="L1317" s="161">
        <v>46155</v>
      </c>
      <c r="M1317" s="160">
        <v>46155</v>
      </c>
      <c r="N1317" s="154" t="str">
        <f>IF(ISNUMBER(PL[[#This Row],[CTO]]),"CTO "&amp;PL[[#This Row],[CTO]],"Otros")</f>
        <v>CTO 10</v>
      </c>
      <c r="O1317" s="154" t="str">
        <f>IF(PL[[#This Row],[STATUS IUP]]="CERRADO","CERRADO",IF(ISNUMBER(SEARCH("validacion de enel",PL[[#This Row],[SUPPLIER NOTES]])),"PTE Validar Enel","ABIERTO"))</f>
        <v>CERRADO</v>
      </c>
      <c r="P1317" s="154" t="str">
        <f>IF(PL[[#This Row],[ESTADO]]="CERRADO","Cerrados IUP",IF(PL[[#This Row],[ESTADO]]="PTE Validar Enel","Pendiente cierre ENEL",IF(ISNUMBER(SEARCH("suministro",PL[[#This Row],[SUPPLIER NOTES]])),"Suministros",IF(PL[[#This Row],[SC]]="SOCIAL","Social",IF(ISNUMBER(SEARCH("monolito",PL[[#This Row],[DESCRIPTION]])),"Monolitos","Varios")))))</f>
        <v>Cerrados IUP</v>
      </c>
      <c r="Q1317"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8" spans="1:17" s="157" customFormat="1" hidden="1" x14ac:dyDescent="0.2">
      <c r="A1318" s="151" t="s">
        <v>3187</v>
      </c>
      <c r="B1318" s="154" t="s">
        <v>8</v>
      </c>
      <c r="C1318" s="152">
        <v>10</v>
      </c>
      <c r="D1318" s="153" t="s">
        <v>3375</v>
      </c>
      <c r="E1318" s="154" t="s">
        <v>3188</v>
      </c>
      <c r="F1318" s="154" t="s">
        <v>1389</v>
      </c>
      <c r="G1318" s="154" t="s">
        <v>291</v>
      </c>
      <c r="H1318" s="154" t="s">
        <v>163</v>
      </c>
      <c r="I1318" s="154" t="s">
        <v>163</v>
      </c>
      <c r="J1318" s="154" t="s">
        <v>74</v>
      </c>
      <c r="K1318" s="154" t="s">
        <v>3394</v>
      </c>
      <c r="L1318" s="161">
        <v>46155</v>
      </c>
      <c r="M1318" s="160">
        <v>46155</v>
      </c>
      <c r="N1318" s="154" t="str">
        <f>IF(ISNUMBER(PL[[#This Row],[CTO]]),"CTO "&amp;PL[[#This Row],[CTO]],"Otros")</f>
        <v>CTO 10</v>
      </c>
      <c r="O1318" s="154" t="str">
        <f>IF(PL[[#This Row],[STATUS IUP]]="CERRADO","CERRADO",IF(ISNUMBER(SEARCH("validacion de enel",PL[[#This Row],[SUPPLIER NOTES]])),"PTE Validar Enel","ABIERTO"))</f>
        <v>CERRADO</v>
      </c>
      <c r="P1318" s="154" t="str">
        <f>IF(PL[[#This Row],[ESTADO]]="CERRADO","Cerrados IUP",IF(PL[[#This Row],[ESTADO]]="PTE Validar Enel","Pendiente cierre ENEL",IF(ISNUMBER(SEARCH("suministro",PL[[#This Row],[SUPPLIER NOTES]])),"Suministros",IF(PL[[#This Row],[SC]]="SOCIAL","Social",IF(ISNUMBER(SEARCH("monolito",PL[[#This Row],[DESCRIPTION]])),"Monolitos","Varios")))))</f>
        <v>Cerrados IUP</v>
      </c>
      <c r="Q131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19" spans="1:17" s="157" customFormat="1" hidden="1" x14ac:dyDescent="0.2">
      <c r="A1319" s="151" t="s">
        <v>3366</v>
      </c>
      <c r="B1319" s="154" t="s">
        <v>8</v>
      </c>
      <c r="C1319" s="152">
        <v>10</v>
      </c>
      <c r="D1319" s="153" t="s">
        <v>3375</v>
      </c>
      <c r="E1319" s="154" t="s">
        <v>3367</v>
      </c>
      <c r="F1319" s="154" t="s">
        <v>1339</v>
      </c>
      <c r="G1319" s="154" t="s">
        <v>291</v>
      </c>
      <c r="H1319" s="154" t="s">
        <v>163</v>
      </c>
      <c r="I1319" s="154" t="s">
        <v>163</v>
      </c>
      <c r="J1319" s="154" t="s">
        <v>74</v>
      </c>
      <c r="K1319" s="154" t="s">
        <v>3394</v>
      </c>
      <c r="L1319" s="161">
        <v>46155</v>
      </c>
      <c r="M1319" s="160">
        <v>46155</v>
      </c>
      <c r="N1319" s="154" t="str">
        <f>IF(ISNUMBER(PL[[#This Row],[CTO]]),"CTO "&amp;PL[[#This Row],[CTO]],"Otros")</f>
        <v>CTO 10</v>
      </c>
      <c r="O1319" s="154" t="str">
        <f>IF(PL[[#This Row],[STATUS IUP]]="CERRADO","CERRADO",IF(ISNUMBER(SEARCH("validacion de enel",PL[[#This Row],[SUPPLIER NOTES]])),"PTE Validar Enel","ABIERTO"))</f>
        <v>CERRADO</v>
      </c>
      <c r="P1319" s="154" t="str">
        <f>IF(PL[[#This Row],[ESTADO]]="CERRADO","Cerrados IUP",IF(PL[[#This Row],[ESTADO]]="PTE Validar Enel","Pendiente cierre ENEL",IF(ISNUMBER(SEARCH("suministro",PL[[#This Row],[SUPPLIER NOTES]])),"Suministros",IF(PL[[#This Row],[SC]]="SOCIAL","Social",IF(ISNUMBER(SEARCH("monolito",PL[[#This Row],[DESCRIPTION]])),"Monolitos","Varios")))))</f>
        <v>Cerrados IUP</v>
      </c>
      <c r="Q1319"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0" spans="1:17" s="157" customFormat="1" hidden="1" x14ac:dyDescent="0.2">
      <c r="A1320" s="151" t="s">
        <v>1973</v>
      </c>
      <c r="B1320" s="154" t="s">
        <v>8</v>
      </c>
      <c r="C1320" s="152">
        <v>10</v>
      </c>
      <c r="D1320" s="153" t="s">
        <v>3375</v>
      </c>
      <c r="E1320" s="154" t="s">
        <v>1974</v>
      </c>
      <c r="F1320" s="154" t="s">
        <v>1975</v>
      </c>
      <c r="G1320" s="154" t="s">
        <v>291</v>
      </c>
      <c r="H1320" s="154" t="s">
        <v>163</v>
      </c>
      <c r="I1320" s="154" t="s">
        <v>163</v>
      </c>
      <c r="J1320" s="154" t="s">
        <v>74</v>
      </c>
      <c r="K1320" s="154" t="s">
        <v>3394</v>
      </c>
      <c r="L1320" s="161">
        <v>46155</v>
      </c>
      <c r="M1320" s="160">
        <v>46155</v>
      </c>
      <c r="N1320" s="154" t="str">
        <f>IF(ISNUMBER(PL[[#This Row],[CTO]]),"CTO "&amp;PL[[#This Row],[CTO]],"Otros")</f>
        <v>CTO 10</v>
      </c>
      <c r="O1320" s="154" t="str">
        <f>IF(PL[[#This Row],[STATUS IUP]]="CERRADO","CERRADO",IF(ISNUMBER(SEARCH("validacion de enel",PL[[#This Row],[SUPPLIER NOTES]])),"PTE Validar Enel","ABIERTO"))</f>
        <v>CERRADO</v>
      </c>
      <c r="P1320" s="154" t="str">
        <f>IF(PL[[#This Row],[ESTADO]]="CERRADO","Cerrados IUP",IF(PL[[#This Row],[ESTADO]]="PTE Validar Enel","Pendiente cierre ENEL",IF(ISNUMBER(SEARCH("suministro",PL[[#This Row],[SUPPLIER NOTES]])),"Suministros",IF(PL[[#This Row],[SC]]="SOCIAL","Social",IF(ISNUMBER(SEARCH("monolito",PL[[#This Row],[DESCRIPTION]])),"Monolitos","Varios")))))</f>
        <v>Cerrados IUP</v>
      </c>
      <c r="Q132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1" spans="1:17" s="157" customFormat="1" hidden="1" x14ac:dyDescent="0.2">
      <c r="A1321" s="151" t="s">
        <v>3368</v>
      </c>
      <c r="B1321" s="154" t="s">
        <v>8</v>
      </c>
      <c r="C1321" s="152">
        <v>10</v>
      </c>
      <c r="D1321" s="153" t="s">
        <v>3375</v>
      </c>
      <c r="E1321" s="154" t="s">
        <v>3369</v>
      </c>
      <c r="F1321" s="154" t="s">
        <v>1386</v>
      </c>
      <c r="G1321" s="154" t="s">
        <v>291</v>
      </c>
      <c r="H1321" s="154" t="s">
        <v>163</v>
      </c>
      <c r="I1321" s="154" t="s">
        <v>163</v>
      </c>
      <c r="J1321" s="154" t="s">
        <v>74</v>
      </c>
      <c r="K1321" s="154" t="s">
        <v>3394</v>
      </c>
      <c r="L1321" s="161">
        <v>46155</v>
      </c>
      <c r="M1321" s="160">
        <v>46155</v>
      </c>
      <c r="N1321" s="154" t="str">
        <f>IF(ISNUMBER(PL[[#This Row],[CTO]]),"CTO "&amp;PL[[#This Row],[CTO]],"Otros")</f>
        <v>CTO 10</v>
      </c>
      <c r="O1321" s="154" t="str">
        <f>IF(PL[[#This Row],[STATUS IUP]]="CERRADO","CERRADO",IF(ISNUMBER(SEARCH("validacion de enel",PL[[#This Row],[SUPPLIER NOTES]])),"PTE Validar Enel","ABIERTO"))</f>
        <v>CERRADO</v>
      </c>
      <c r="P1321" s="154" t="str">
        <f>IF(PL[[#This Row],[ESTADO]]="CERRADO","Cerrados IUP",IF(PL[[#This Row],[ESTADO]]="PTE Validar Enel","Pendiente cierre ENEL",IF(ISNUMBER(SEARCH("suministro",PL[[#This Row],[SUPPLIER NOTES]])),"Suministros",IF(PL[[#This Row],[SC]]="SOCIAL","Social",IF(ISNUMBER(SEARCH("monolito",PL[[#This Row],[DESCRIPTION]])),"Monolitos","Varios")))))</f>
        <v>Cerrados IUP</v>
      </c>
      <c r="Q132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2" spans="1:17" x14ac:dyDescent="0.2">
      <c r="A1322" s="75" t="s">
        <v>484</v>
      </c>
      <c r="B1322" s="74" t="s">
        <v>41</v>
      </c>
      <c r="C1322" s="52">
        <v>10</v>
      </c>
      <c r="D1322" s="76" t="s">
        <v>3375</v>
      </c>
      <c r="E1322" s="74"/>
      <c r="F1322" s="74" t="s">
        <v>485</v>
      </c>
      <c r="G1322" s="112" t="s">
        <v>43</v>
      </c>
      <c r="H1322" s="74" t="s">
        <v>3460</v>
      </c>
      <c r="I1322" s="74"/>
      <c r="J1322" s="74" t="s">
        <v>11</v>
      </c>
      <c r="K1322" s="74" t="s">
        <v>3393</v>
      </c>
      <c r="L1322" s="74"/>
      <c r="M1322" s="77"/>
      <c r="N1322" s="74" t="str">
        <f>IF(ISNUMBER(PL[[#This Row],[CTO]]),"CTO "&amp;PL[[#This Row],[CTO]],"Otros")</f>
        <v>CTO 10</v>
      </c>
      <c r="O1322" s="74" t="str">
        <f>IF(PL[[#This Row],[STATUS IUP]]="CERRADO","CERRADO",IF(ISNUMBER(SEARCH("validacion de enel",PL[[#This Row],[SUPPLIER NOTES]])),"PTE Validar Enel","ABIERTO"))</f>
        <v>ABIERTO</v>
      </c>
      <c r="P1322" s="74" t="str">
        <f>IF(PL[[#This Row],[ESTADO]]="CERRADO","Cerrados IUP",IF(PL[[#This Row],[ESTADO]]="PTE Validar Enel","Pendiente cierre ENEL",IF(ISNUMBER(SEARCH("suministro",PL[[#This Row],[SUPPLIER NOTES]])),"Suministros",IF(PL[[#This Row],[SC]]="SOCIAL","Social",IF(ISNUMBER(SEARCH("monolito",PL[[#This Row],[DESCRIPTION]])),"Monolitos","Varios")))))</f>
        <v>Suministros</v>
      </c>
      <c r="Q132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323" spans="1:17" s="157" customFormat="1" hidden="1" x14ac:dyDescent="0.2">
      <c r="A1323" s="151" t="s">
        <v>486</v>
      </c>
      <c r="B1323" s="154" t="s">
        <v>41</v>
      </c>
      <c r="C1323" s="152">
        <v>10</v>
      </c>
      <c r="D1323" s="153" t="s">
        <v>3375</v>
      </c>
      <c r="E1323" s="154"/>
      <c r="F1323" s="154" t="s">
        <v>487</v>
      </c>
      <c r="G1323" s="154" t="s">
        <v>43</v>
      </c>
      <c r="H1323" s="154" t="s">
        <v>3455</v>
      </c>
      <c r="I1323" s="154"/>
      <c r="J1323" s="154" t="s">
        <v>74</v>
      </c>
      <c r="K1323" s="154" t="s">
        <v>3394</v>
      </c>
      <c r="L1323" s="155">
        <v>46282</v>
      </c>
      <c r="M1323" s="156"/>
      <c r="N1323" s="154" t="str">
        <f>IF(ISNUMBER(PL[[#This Row],[CTO]]),"CTO "&amp;PL[[#This Row],[CTO]],"Otros")</f>
        <v>CTO 10</v>
      </c>
      <c r="O1323" s="154" t="str">
        <f>IF(PL[[#This Row],[STATUS IUP]]="CERRADO","CERRADO",IF(ISNUMBER(SEARCH("validacion de enel",PL[[#This Row],[SUPPLIER NOTES]])),"PTE Validar Enel","ABIERTO"))</f>
        <v>CERRADO</v>
      </c>
      <c r="P1323" s="154" t="str">
        <f>IF(PL[[#This Row],[ESTADO]]="CERRADO","Cerrados IUP",IF(PL[[#This Row],[ESTADO]]="PTE Validar Enel","Pendiente cierre ENEL",IF(ISNUMBER(SEARCH("suministro",PL[[#This Row],[SUPPLIER NOTES]])),"Suministros",IF(PL[[#This Row],[SC]]="SOCIAL","Social",IF(ISNUMBER(SEARCH("monolito",PL[[#This Row],[DESCRIPTION]])),"Monolitos","Varios")))))</f>
        <v>Cerrados IUP</v>
      </c>
      <c r="Q132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O&amp;M</v>
      </c>
    </row>
    <row r="1324" spans="1:17" s="157" customFormat="1" ht="409.6" x14ac:dyDescent="0.2">
      <c r="A1324" s="151" t="s">
        <v>40</v>
      </c>
      <c r="B1324" s="154" t="s">
        <v>41</v>
      </c>
      <c r="C1324" s="152">
        <v>10</v>
      </c>
      <c r="D1324" s="153" t="s">
        <v>3375</v>
      </c>
      <c r="E1324" s="154"/>
      <c r="F1324" s="152" t="s">
        <v>42</v>
      </c>
      <c r="G1324" s="154" t="s">
        <v>43</v>
      </c>
      <c r="H1324" s="154" t="s">
        <v>3455</v>
      </c>
      <c r="I1324" s="154"/>
      <c r="J1324" s="154" t="s">
        <v>11</v>
      </c>
      <c r="K1324" s="154" t="s">
        <v>3393</v>
      </c>
      <c r="L1324" s="155">
        <v>46282</v>
      </c>
      <c r="M1324" s="156"/>
      <c r="N1324" s="154" t="str">
        <f>IF(ISNUMBER(PL[[#This Row],[CTO]]),"CTO "&amp;PL[[#This Row],[CTO]],"Otros")</f>
        <v>CTO 10</v>
      </c>
      <c r="O1324" s="154" t="str">
        <f>IF(PL[[#This Row],[STATUS IUP]]="CERRADO","CERRADO",IF(ISNUMBER(SEARCH("validacion de enel",PL[[#This Row],[SUPPLIER NOTES]])),"PTE Validar Enel","ABIERTO"))</f>
        <v>ABIERTO</v>
      </c>
      <c r="P1324" s="154" t="str">
        <f>IF(PL[[#This Row],[ESTADO]]="CERRADO","Cerrados IUP",IF(PL[[#This Row],[ESTADO]]="PTE Validar Enel","Pendiente cierre ENEL",IF(ISNUMBER(SEARCH("suministro",PL[[#This Row],[SUPPLIER NOTES]])),"Suministros",IF(PL[[#This Row],[SC]]="SOCIAL","Social",IF(ISNUMBER(SEARCH("monolito",PL[[#This Row],[DESCRIPTION]])),"Monolitos","Varios")))))</f>
        <v>Varios</v>
      </c>
      <c r="Q132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325" spans="1:17" s="157" customFormat="1" hidden="1" x14ac:dyDescent="0.2">
      <c r="A1325" s="151" t="s">
        <v>68</v>
      </c>
      <c r="B1325" s="154" t="s">
        <v>47</v>
      </c>
      <c r="C1325" s="152">
        <v>10</v>
      </c>
      <c r="D1325" s="153" t="s">
        <v>3375</v>
      </c>
      <c r="E1325" s="154"/>
      <c r="F1325" s="154" t="s">
        <v>69</v>
      </c>
      <c r="G1325" s="154" t="s">
        <v>49</v>
      </c>
      <c r="H1325" s="154"/>
      <c r="I1325" s="154"/>
      <c r="J1325" s="154" t="s">
        <v>74</v>
      </c>
      <c r="K1325" s="154" t="s">
        <v>3394</v>
      </c>
      <c r="L1325" s="154"/>
      <c r="M1325" s="156"/>
      <c r="N1325" s="154" t="str">
        <f>IF(ISNUMBER(PL[[#This Row],[CTO]]),"CTO "&amp;PL[[#This Row],[CTO]],"Otros")</f>
        <v>CTO 10</v>
      </c>
      <c r="O1325" s="154" t="str">
        <f>IF(PL[[#This Row],[STATUS IUP]]="CERRADO","CERRADO",IF(ISNUMBER(SEARCH("validacion de enel",PL[[#This Row],[SUPPLIER NOTES]])),"PTE Validar Enel","ABIERTO"))</f>
        <v>CERRADO</v>
      </c>
      <c r="P1325" s="154" t="str">
        <f>IF(PL[[#This Row],[ESTADO]]="CERRADO","Cerrados IUP",IF(PL[[#This Row],[ESTADO]]="PTE Validar Enel","Pendiente cierre ENEL",IF(ISNUMBER(SEARCH("suministro",PL[[#This Row],[SUPPLIER NOTES]])),"Suministros",IF(PL[[#This Row],[SC]]="SOCIAL","Social",IF(ISNUMBER(SEARCH("monolito",PL[[#This Row],[DESCRIPTION]])),"Monolitos","Varios")))))</f>
        <v>Cerrados IUP</v>
      </c>
      <c r="Q132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6" spans="1:17" hidden="1" x14ac:dyDescent="0.2">
      <c r="A1326" s="66" t="s">
        <v>2630</v>
      </c>
      <c r="B1326" s="67" t="s">
        <v>8</v>
      </c>
      <c r="C1326" s="52">
        <v>10</v>
      </c>
      <c r="D1326" s="68" t="s">
        <v>3375</v>
      </c>
      <c r="E1326" s="67" t="s">
        <v>2631</v>
      </c>
      <c r="F1326" s="67" t="s">
        <v>2632</v>
      </c>
      <c r="G1326" s="82" t="s">
        <v>1289</v>
      </c>
      <c r="H1326" s="90" t="s">
        <v>3463</v>
      </c>
      <c r="I1326" s="67"/>
      <c r="J1326" s="67" t="s">
        <v>74</v>
      </c>
      <c r="K1326" s="67" t="s">
        <v>3394</v>
      </c>
      <c r="L1326" s="119">
        <v>46305</v>
      </c>
      <c r="M1326" s="69"/>
      <c r="N1326" s="67" t="str">
        <f>IF(ISNUMBER(PL[[#This Row],[CTO]]),"CTO "&amp;PL[[#This Row],[CTO]],"Otros")</f>
        <v>CTO 10</v>
      </c>
      <c r="O1326" s="67" t="str">
        <f>IF(PL[[#This Row],[STATUS IUP]]="CERRADO","CERRADO",IF(ISNUMBER(SEARCH("validacion de enel",PL[[#This Row],[SUPPLIER NOTES]])),"PTE Validar Enel","ABIERTO"))</f>
        <v>CERRADO</v>
      </c>
      <c r="P1326" s="67" t="str">
        <f>IF(PL[[#This Row],[ESTADO]]="CERRADO","Cerrados IUP",IF(PL[[#This Row],[ESTADO]]="PTE Validar Enel","Pendiente cierre ENEL",IF(ISNUMBER(SEARCH("suministro",PL[[#This Row],[SUPPLIER NOTES]])),"Suministros",IF(PL[[#This Row],[SC]]="SOCIAL","Social",IF(ISNUMBER(SEARCH("monolito",PL[[#This Row],[DESCRIPTION]])),"Monolitos","Varios")))))</f>
        <v>Cerrados IUP</v>
      </c>
      <c r="Q132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7" spans="1:17" hidden="1" x14ac:dyDescent="0.2">
      <c r="A1327" s="66" t="s">
        <v>1325</v>
      </c>
      <c r="B1327" s="67" t="s">
        <v>41</v>
      </c>
      <c r="C1327" s="52">
        <v>10</v>
      </c>
      <c r="D1327" s="68" t="s">
        <v>3375</v>
      </c>
      <c r="E1327" s="67" t="s">
        <v>1326</v>
      </c>
      <c r="F1327" s="67" t="s">
        <v>1327</v>
      </c>
      <c r="G1327" s="82" t="s">
        <v>1289</v>
      </c>
      <c r="H1327" s="90" t="s">
        <v>3459</v>
      </c>
      <c r="I1327" s="67"/>
      <c r="J1327" s="67" t="s">
        <v>11</v>
      </c>
      <c r="K1327" s="67" t="s">
        <v>3393</v>
      </c>
      <c r="L1327" s="67"/>
      <c r="M1327" s="69"/>
      <c r="N1327" s="67" t="str">
        <f>IF(ISNUMBER(PL[[#This Row],[CTO]]),"CTO "&amp;PL[[#This Row],[CTO]],"Otros")</f>
        <v>CTO 10</v>
      </c>
      <c r="O1327" s="67" t="str">
        <f>IF(PL[[#This Row],[STATUS IUP]]="CERRADO","CERRADO",IF(ISNUMBER(SEARCH("validacion de enel",PL[[#This Row],[SUPPLIER NOTES]])),"PTE Validar Enel","ABIERTO"))</f>
        <v>ABIERTO</v>
      </c>
      <c r="P1327" s="67" t="str">
        <f>IF(PL[[#This Row],[ESTADO]]="CERRADO","Cerrados IUP",IF(PL[[#This Row],[ESTADO]]="PTE Validar Enel","Pendiente cierre ENEL",IF(ISNUMBER(SEARCH("suministro",PL[[#This Row],[SUPPLIER NOTES]])),"Suministros",IF(PL[[#This Row],[SC]]="SOCIAL","Social",IF(ISNUMBER(SEARCH("monolito",PL[[#This Row],[DESCRIPTION]])),"Monolitos","Varios")))))</f>
        <v>Varios</v>
      </c>
      <c r="Q1327"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8" spans="1:17" hidden="1" x14ac:dyDescent="0.2">
      <c r="A1328" s="66" t="s">
        <v>1322</v>
      </c>
      <c r="B1328" s="67" t="s">
        <v>41</v>
      </c>
      <c r="C1328" s="52">
        <v>10</v>
      </c>
      <c r="D1328" s="68" t="s">
        <v>3375</v>
      </c>
      <c r="E1328" s="67" t="s">
        <v>1323</v>
      </c>
      <c r="F1328" s="67" t="s">
        <v>1324</v>
      </c>
      <c r="G1328" s="82" t="s">
        <v>1289</v>
      </c>
      <c r="H1328" s="90" t="s">
        <v>3458</v>
      </c>
      <c r="I1328" s="67"/>
      <c r="J1328" s="67" t="s">
        <v>11</v>
      </c>
      <c r="K1328" s="67" t="s">
        <v>3393</v>
      </c>
      <c r="L1328" s="67"/>
      <c r="M1328" s="69"/>
      <c r="N1328" s="67" t="str">
        <f>IF(ISNUMBER(PL[[#This Row],[CTO]]),"CTO "&amp;PL[[#This Row],[CTO]],"Otros")</f>
        <v>CTO 10</v>
      </c>
      <c r="O1328" s="67" t="str">
        <f>IF(PL[[#This Row],[STATUS IUP]]="CERRADO","CERRADO",IF(ISNUMBER(SEARCH("validacion de enel",PL[[#This Row],[SUPPLIER NOTES]])),"PTE Validar Enel","ABIERTO"))</f>
        <v>ABIERTO</v>
      </c>
      <c r="P1328" s="67" t="str">
        <f>IF(PL[[#This Row],[ESTADO]]="CERRADO","Cerrados IUP",IF(PL[[#This Row],[ESTADO]]="PTE Validar Enel","Pendiente cierre ENEL",IF(ISNUMBER(SEARCH("suministro",PL[[#This Row],[SUPPLIER NOTES]])),"Suministros",IF(PL[[#This Row],[SC]]="SOCIAL","Social",IF(ISNUMBER(SEARCH("monolito",PL[[#This Row],[DESCRIPTION]])),"Monolitos","Varios")))))</f>
        <v>Varios</v>
      </c>
      <c r="Q1328"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29" spans="1:17" hidden="1" x14ac:dyDescent="0.2">
      <c r="A1329" s="66" t="s">
        <v>2076</v>
      </c>
      <c r="B1329" s="67" t="s">
        <v>8</v>
      </c>
      <c r="C1329" s="52">
        <v>10</v>
      </c>
      <c r="D1329" s="68" t="s">
        <v>3375</v>
      </c>
      <c r="E1329" s="67" t="s">
        <v>2077</v>
      </c>
      <c r="F1329" s="67" t="s">
        <v>2078</v>
      </c>
      <c r="G1329" s="82" t="s">
        <v>1289</v>
      </c>
      <c r="H1329" s="90" t="s">
        <v>3463</v>
      </c>
      <c r="I1329" s="67"/>
      <c r="J1329" s="67" t="s">
        <v>11</v>
      </c>
      <c r="K1329" s="67" t="s">
        <v>3393</v>
      </c>
      <c r="L1329" s="67"/>
      <c r="M1329" s="69"/>
      <c r="N1329" s="67" t="str">
        <f>IF(ISNUMBER(PL[[#This Row],[CTO]]),"CTO "&amp;PL[[#This Row],[CTO]],"Otros")</f>
        <v>CTO 10</v>
      </c>
      <c r="O1329" s="67" t="str">
        <f>IF(PL[[#This Row],[STATUS IUP]]="CERRADO","CERRADO",IF(ISNUMBER(SEARCH("validacion de enel",PL[[#This Row],[SUPPLIER NOTES]])),"PTE Validar Enel","ABIERTO"))</f>
        <v>ABIERTO</v>
      </c>
      <c r="P1329" s="67" t="str">
        <f>IF(PL[[#This Row],[ESTADO]]="CERRADO","Cerrados IUP",IF(PL[[#This Row],[ESTADO]]="PTE Validar Enel","Pendiente cierre ENEL",IF(ISNUMBER(SEARCH("suministro",PL[[#This Row],[SUPPLIER NOTES]])),"Suministros",IF(PL[[#This Row],[SC]]="SOCIAL","Social",IF(ISNUMBER(SEARCH("monolito",PL[[#This Row],[DESCRIPTION]])),"Monolitos","Varios")))))</f>
        <v>Varios</v>
      </c>
      <c r="Q132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0" spans="1:17" hidden="1" x14ac:dyDescent="0.2">
      <c r="A1330" s="66" t="s">
        <v>1328</v>
      </c>
      <c r="B1330" s="67" t="s">
        <v>41</v>
      </c>
      <c r="C1330" s="52">
        <v>10</v>
      </c>
      <c r="D1330" s="68" t="s">
        <v>3375</v>
      </c>
      <c r="E1330" s="67" t="s">
        <v>1329</v>
      </c>
      <c r="F1330" s="67" t="s">
        <v>1330</v>
      </c>
      <c r="G1330" s="82" t="s">
        <v>1289</v>
      </c>
      <c r="H1330" s="90" t="s">
        <v>3458</v>
      </c>
      <c r="I1330" s="67"/>
      <c r="J1330" s="67" t="s">
        <v>11</v>
      </c>
      <c r="K1330" s="67" t="s">
        <v>3393</v>
      </c>
      <c r="L1330" s="67"/>
      <c r="M1330" s="69"/>
      <c r="N1330" s="67" t="str">
        <f>IF(ISNUMBER(PL[[#This Row],[CTO]]),"CTO "&amp;PL[[#This Row],[CTO]],"Otros")</f>
        <v>CTO 10</v>
      </c>
      <c r="O1330" s="67" t="str">
        <f>IF(PL[[#This Row],[STATUS IUP]]="CERRADO","CERRADO",IF(ISNUMBER(SEARCH("validacion de enel",PL[[#This Row],[SUPPLIER NOTES]])),"PTE Validar Enel","ABIERTO"))</f>
        <v>ABIERTO</v>
      </c>
      <c r="P1330" s="67" t="str">
        <f>IF(PL[[#This Row],[ESTADO]]="CERRADO","Cerrados IUP",IF(PL[[#This Row],[ESTADO]]="PTE Validar Enel","Pendiente cierre ENEL",IF(ISNUMBER(SEARCH("suministro",PL[[#This Row],[SUPPLIER NOTES]])),"Suministros",IF(PL[[#This Row],[SC]]="SOCIAL","Social",IF(ISNUMBER(SEARCH("monolito",PL[[#This Row],[DESCRIPTION]])),"Monolitos","Varios")))))</f>
        <v>Varios</v>
      </c>
      <c r="Q133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1" spans="1:17" hidden="1" x14ac:dyDescent="0.2">
      <c r="A1331" s="66" t="s">
        <v>1456</v>
      </c>
      <c r="B1331" s="67" t="s">
        <v>41</v>
      </c>
      <c r="C1331" s="52">
        <v>10</v>
      </c>
      <c r="D1331" s="68" t="s">
        <v>3375</v>
      </c>
      <c r="E1331" s="67" t="s">
        <v>1457</v>
      </c>
      <c r="F1331" s="67" t="s">
        <v>1458</v>
      </c>
      <c r="G1331" s="82" t="s">
        <v>1289</v>
      </c>
      <c r="H1331" s="90"/>
      <c r="I1331" s="67"/>
      <c r="J1331" s="67" t="s">
        <v>11</v>
      </c>
      <c r="K1331" s="67" t="s">
        <v>3393</v>
      </c>
      <c r="L1331" s="67"/>
      <c r="M1331" s="69"/>
      <c r="N1331" s="67" t="str">
        <f>IF(ISNUMBER(PL[[#This Row],[CTO]]),"CTO "&amp;PL[[#This Row],[CTO]],"Otros")</f>
        <v>CTO 10</v>
      </c>
      <c r="O1331" s="67" t="str">
        <f>IF(PL[[#This Row],[STATUS IUP]]="CERRADO","CERRADO",IF(ISNUMBER(SEARCH("validacion de enel",PL[[#This Row],[SUPPLIER NOTES]])),"PTE Validar Enel","ABIERTO"))</f>
        <v>ABIERTO</v>
      </c>
      <c r="P1331" s="67" t="str">
        <f>IF(PL[[#This Row],[ESTADO]]="CERRADO","Cerrados IUP",IF(PL[[#This Row],[ESTADO]]="PTE Validar Enel","Pendiente cierre ENEL",IF(ISNUMBER(SEARCH("suministro",PL[[#This Row],[SUPPLIER NOTES]])),"Suministros",IF(PL[[#This Row],[SC]]="SOCIAL","Social",IF(ISNUMBER(SEARCH("monolito",PL[[#This Row],[DESCRIPTION]])),"Monolitos","Varios")))))</f>
        <v>Varios</v>
      </c>
      <c r="Q1331"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2" spans="1:17" hidden="1" x14ac:dyDescent="0.2">
      <c r="A1332" s="66" t="s">
        <v>1317</v>
      </c>
      <c r="B1332" s="67" t="s">
        <v>41</v>
      </c>
      <c r="C1332" s="52">
        <v>10</v>
      </c>
      <c r="D1332" s="68" t="s">
        <v>3375</v>
      </c>
      <c r="E1332" s="67" t="s">
        <v>1318</v>
      </c>
      <c r="F1332" s="67" t="s">
        <v>1319</v>
      </c>
      <c r="G1332" s="82" t="s">
        <v>1289</v>
      </c>
      <c r="H1332" s="90"/>
      <c r="I1332" s="67"/>
      <c r="J1332" s="67" t="s">
        <v>74</v>
      </c>
      <c r="K1332" s="67" t="s">
        <v>3394</v>
      </c>
      <c r="L1332" s="119">
        <v>46305</v>
      </c>
      <c r="M1332" s="69"/>
      <c r="N1332" s="67" t="str">
        <f>IF(ISNUMBER(PL[[#This Row],[CTO]]),"CTO "&amp;PL[[#This Row],[CTO]],"Otros")</f>
        <v>CTO 10</v>
      </c>
      <c r="O1332" s="67" t="str">
        <f>IF(PL[[#This Row],[STATUS IUP]]="CERRADO","CERRADO",IF(ISNUMBER(SEARCH("validacion de enel",PL[[#This Row],[SUPPLIER NOTES]])),"PTE Validar Enel","ABIERTO"))</f>
        <v>CERRADO</v>
      </c>
      <c r="P1332" s="67" t="str">
        <f>IF(PL[[#This Row],[ESTADO]]="CERRADO","Cerrados IUP",IF(PL[[#This Row],[ESTADO]]="PTE Validar Enel","Pendiente cierre ENEL",IF(ISNUMBER(SEARCH("suministro",PL[[#This Row],[SUPPLIER NOTES]])),"Suministros",IF(PL[[#This Row],[SC]]="SOCIAL","Social",IF(ISNUMBER(SEARCH("monolito",PL[[#This Row],[DESCRIPTION]])),"Monolitos","Varios")))))</f>
        <v>Cerrados IUP</v>
      </c>
      <c r="Q1332"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3" spans="1:17" hidden="1" x14ac:dyDescent="0.2">
      <c r="A1333" s="66" t="s">
        <v>2070</v>
      </c>
      <c r="B1333" s="67" t="s">
        <v>41</v>
      </c>
      <c r="C1333" s="52">
        <v>10</v>
      </c>
      <c r="D1333" s="68" t="s">
        <v>3375</v>
      </c>
      <c r="E1333" s="67" t="s">
        <v>2071</v>
      </c>
      <c r="F1333" s="67" t="s">
        <v>2072</v>
      </c>
      <c r="G1333" s="82" t="s">
        <v>1289</v>
      </c>
      <c r="H1333" s="90" t="s">
        <v>3463</v>
      </c>
      <c r="I1333" s="67"/>
      <c r="J1333" s="67" t="s">
        <v>11</v>
      </c>
      <c r="K1333" s="67" t="s">
        <v>3393</v>
      </c>
      <c r="L1333" s="67"/>
      <c r="M1333" s="69"/>
      <c r="N1333" s="67" t="str">
        <f>IF(ISNUMBER(PL[[#This Row],[CTO]]),"CTO "&amp;PL[[#This Row],[CTO]],"Otros")</f>
        <v>CTO 10</v>
      </c>
      <c r="O1333" s="67" t="str">
        <f>IF(PL[[#This Row],[STATUS IUP]]="CERRADO","CERRADO",IF(ISNUMBER(SEARCH("validacion de enel",PL[[#This Row],[SUPPLIER NOTES]])),"PTE Validar Enel","ABIERTO"))</f>
        <v>ABIERTO</v>
      </c>
      <c r="P1333" s="67" t="str">
        <f>IF(PL[[#This Row],[ESTADO]]="CERRADO","Cerrados IUP",IF(PL[[#This Row],[ESTADO]]="PTE Validar Enel","Pendiente cierre ENEL",IF(ISNUMBER(SEARCH("suministro",PL[[#This Row],[SUPPLIER NOTES]])),"Suministros",IF(PL[[#This Row],[SC]]="SOCIAL","Social",IF(ISNUMBER(SEARCH("monolito",PL[[#This Row],[DESCRIPTION]])),"Monolitos","Varios")))))</f>
        <v>Varios</v>
      </c>
      <c r="Q1333"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4" spans="1:17" hidden="1" x14ac:dyDescent="0.2">
      <c r="A1334" s="66" t="s">
        <v>2064</v>
      </c>
      <c r="B1334" s="67" t="s">
        <v>1297</v>
      </c>
      <c r="C1334" s="52">
        <v>10</v>
      </c>
      <c r="D1334" s="68" t="s">
        <v>3375</v>
      </c>
      <c r="E1334" s="67" t="s">
        <v>2065</v>
      </c>
      <c r="F1334" s="67" t="s">
        <v>2066</v>
      </c>
      <c r="G1334" s="82" t="s">
        <v>1290</v>
      </c>
      <c r="H1334" s="90"/>
      <c r="I1334" s="67"/>
      <c r="J1334" s="67" t="s">
        <v>11</v>
      </c>
      <c r="K1334" s="67" t="s">
        <v>3393</v>
      </c>
      <c r="L1334" s="67"/>
      <c r="M1334" s="69"/>
      <c r="N1334" s="67" t="str">
        <f>IF(ISNUMBER(PL[[#This Row],[CTO]]),"CTO "&amp;PL[[#This Row],[CTO]],"Otros")</f>
        <v>CTO 10</v>
      </c>
      <c r="O1334" s="67" t="str">
        <f>IF(PL[[#This Row],[STATUS IUP]]="CERRADO","CERRADO",IF(ISNUMBER(SEARCH("validacion de enel",PL[[#This Row],[SUPPLIER NOTES]])),"PTE Validar Enel","ABIERTO"))</f>
        <v>ABIERTO</v>
      </c>
      <c r="P1334" s="67" t="str">
        <f>IF(PL[[#This Row],[ESTADO]]="CERRADO","Cerrados IUP",IF(PL[[#This Row],[ESTADO]]="PTE Validar Enel","Pendiente cierre ENEL",IF(ISNUMBER(SEARCH("suministro",PL[[#This Row],[SUPPLIER NOTES]])),"Suministros",IF(PL[[#This Row],[SC]]="SOCIAL","Social",IF(ISNUMBER(SEARCH("monolito",PL[[#This Row],[DESCRIPTION]])),"Monolitos","Varios")))))</f>
        <v>Varios</v>
      </c>
      <c r="Q1334"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5" spans="1:17" s="157" customFormat="1" hidden="1" x14ac:dyDescent="0.2">
      <c r="A1335" s="151" t="s">
        <v>2479</v>
      </c>
      <c r="B1335" s="154" t="s">
        <v>1266</v>
      </c>
      <c r="C1335" s="152">
        <v>10</v>
      </c>
      <c r="D1335" s="153" t="s">
        <v>3375</v>
      </c>
      <c r="E1335" s="154" t="s">
        <v>2480</v>
      </c>
      <c r="F1335" s="154" t="s">
        <v>2481</v>
      </c>
      <c r="G1335" s="154" t="s">
        <v>1289</v>
      </c>
      <c r="H1335" s="154" t="s">
        <v>3463</v>
      </c>
      <c r="I1335" s="154"/>
      <c r="J1335" s="154" t="s">
        <v>74</v>
      </c>
      <c r="K1335" s="154" t="s">
        <v>3394</v>
      </c>
      <c r="L1335" s="155">
        <v>46293</v>
      </c>
      <c r="M1335" s="156"/>
      <c r="N1335" s="154" t="str">
        <f>IF(ISNUMBER(PL[[#This Row],[CTO]]),"CTO "&amp;PL[[#This Row],[CTO]],"Otros")</f>
        <v>CTO 10</v>
      </c>
      <c r="O1335" s="154" t="str">
        <f>IF(PL[[#This Row],[STATUS IUP]]="CERRADO","CERRADO",IF(ISNUMBER(SEARCH("validacion de enel",PL[[#This Row],[SUPPLIER NOTES]])),"PTE Validar Enel","ABIERTO"))</f>
        <v>CERRADO</v>
      </c>
      <c r="P1335" s="154" t="str">
        <f>IF(PL[[#This Row],[ESTADO]]="CERRADO","Cerrados IUP",IF(PL[[#This Row],[ESTADO]]="PTE Validar Enel","Pendiente cierre ENEL",IF(ISNUMBER(SEARCH("suministro",PL[[#This Row],[SUPPLIER NOTES]])),"Suministros",IF(PL[[#This Row],[SC]]="SOCIAL","Social",IF(ISNUMBER(SEARCH("monolito",PL[[#This Row],[DESCRIPTION]])),"Monolitos","Varios")))))</f>
        <v>Cerrados IUP</v>
      </c>
      <c r="Q133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6" spans="1:17" hidden="1" x14ac:dyDescent="0.2">
      <c r="A1336" s="66" t="s">
        <v>1346</v>
      </c>
      <c r="B1336" s="67" t="s">
        <v>1266</v>
      </c>
      <c r="C1336" s="52">
        <v>10</v>
      </c>
      <c r="D1336" s="68" t="s">
        <v>3375</v>
      </c>
      <c r="E1336" s="67" t="s">
        <v>1347</v>
      </c>
      <c r="F1336" s="67" t="s">
        <v>1348</v>
      </c>
      <c r="G1336" s="82" t="s">
        <v>1289</v>
      </c>
      <c r="H1336" s="90"/>
      <c r="I1336" s="67"/>
      <c r="J1336" s="67" t="s">
        <v>11</v>
      </c>
      <c r="K1336" s="67" t="s">
        <v>3393</v>
      </c>
      <c r="L1336" s="67"/>
      <c r="M1336" s="69"/>
      <c r="N1336" s="67" t="str">
        <f>IF(ISNUMBER(PL[[#This Row],[CTO]]),"CTO "&amp;PL[[#This Row],[CTO]],"Otros")</f>
        <v>CTO 10</v>
      </c>
      <c r="O1336" s="67" t="str">
        <f>IF(PL[[#This Row],[STATUS IUP]]="CERRADO","CERRADO",IF(ISNUMBER(SEARCH("validacion de enel",PL[[#This Row],[SUPPLIER NOTES]])),"PTE Validar Enel","ABIERTO"))</f>
        <v>ABIERTO</v>
      </c>
      <c r="P1336" s="67" t="str">
        <f>IF(PL[[#This Row],[ESTADO]]="CERRADO","Cerrados IUP",IF(PL[[#This Row],[ESTADO]]="PTE Validar Enel","Pendiente cierre ENEL",IF(ISNUMBER(SEARCH("suministro",PL[[#This Row],[SUPPLIER NOTES]])),"Suministros",IF(PL[[#This Row],[SC]]="SOCIAL","Social",IF(ISNUMBER(SEARCH("monolito",PL[[#This Row],[DESCRIPTION]])),"Monolitos","Varios")))))</f>
        <v>Varios</v>
      </c>
      <c r="Q1336"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7" spans="1:17" hidden="1" x14ac:dyDescent="0.2">
      <c r="A1337" s="116" t="s">
        <v>1340</v>
      </c>
      <c r="B1337" s="117" t="s">
        <v>8</v>
      </c>
      <c r="C1337" s="52">
        <v>10</v>
      </c>
      <c r="D1337" s="118" t="s">
        <v>3375</v>
      </c>
      <c r="E1337" s="117" t="s">
        <v>1341</v>
      </c>
      <c r="F1337" s="117" t="s">
        <v>1342</v>
      </c>
      <c r="G1337" s="82" t="s">
        <v>128</v>
      </c>
      <c r="H1337" s="90"/>
      <c r="I1337" s="67"/>
      <c r="J1337" s="67" t="s">
        <v>11</v>
      </c>
      <c r="K1337" s="67" t="s">
        <v>3393</v>
      </c>
      <c r="L1337" s="67"/>
      <c r="M1337" s="69"/>
      <c r="N1337" s="67" t="str">
        <f>IF(ISNUMBER(PL[[#This Row],[CTO]]),"CTO "&amp;PL[[#This Row],[CTO]],"Otros")</f>
        <v>CTO 10</v>
      </c>
      <c r="O1337" s="67" t="str">
        <f>IF(PL[[#This Row],[STATUS IUP]]="CERRADO","CERRADO",IF(ISNUMBER(SEARCH("validacion de enel",PL[[#This Row],[SUPPLIER NOTES]])),"PTE Validar Enel","ABIERTO"))</f>
        <v>ABIERTO</v>
      </c>
      <c r="P1337" s="67" t="str">
        <f>IF(PL[[#This Row],[ESTADO]]="CERRADO","Cerrados IUP",IF(PL[[#This Row],[ESTADO]]="PTE Validar Enel","Pendiente cierre ENEL",IF(ISNUMBER(SEARCH("suministro",PL[[#This Row],[SUPPLIER NOTES]])),"Suministros",IF(PL[[#This Row],[SC]]="SOCIAL","Social",IF(ISNUMBER(SEARCH("monolito",PL[[#This Row],[DESCRIPTION]])),"Monolitos","Varios")))))</f>
        <v>Varios</v>
      </c>
      <c r="Q1337"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8" spans="1:17" hidden="1" x14ac:dyDescent="0.2">
      <c r="A1338" s="116" t="s">
        <v>2024</v>
      </c>
      <c r="B1338" s="117" t="s">
        <v>8</v>
      </c>
      <c r="C1338" s="52">
        <v>10</v>
      </c>
      <c r="D1338" s="118" t="s">
        <v>3375</v>
      </c>
      <c r="E1338" s="117" t="s">
        <v>2025</v>
      </c>
      <c r="F1338" s="117" t="s">
        <v>2026</v>
      </c>
      <c r="G1338" s="82" t="s">
        <v>128</v>
      </c>
      <c r="H1338" s="90"/>
      <c r="I1338" s="67"/>
      <c r="J1338" s="67" t="s">
        <v>11</v>
      </c>
      <c r="K1338" s="67" t="s">
        <v>3393</v>
      </c>
      <c r="L1338" s="67"/>
      <c r="M1338" s="69"/>
      <c r="N1338" s="67" t="str">
        <f>IF(ISNUMBER(PL[[#This Row],[CTO]]),"CTO "&amp;PL[[#This Row],[CTO]],"Otros")</f>
        <v>CTO 10</v>
      </c>
      <c r="O1338" s="67" t="str">
        <f>IF(PL[[#This Row],[STATUS IUP]]="CERRADO","CERRADO",IF(ISNUMBER(SEARCH("validacion de enel",PL[[#This Row],[SUPPLIER NOTES]])),"PTE Validar Enel","ABIERTO"))</f>
        <v>ABIERTO</v>
      </c>
      <c r="P1338" s="67" t="str">
        <f>IF(PL[[#This Row],[ESTADO]]="CERRADO","Cerrados IUP",IF(PL[[#This Row],[ESTADO]]="PTE Validar Enel","Pendiente cierre ENEL",IF(ISNUMBER(SEARCH("suministro",PL[[#This Row],[SUPPLIER NOTES]])),"Suministros",IF(PL[[#This Row],[SC]]="SOCIAL","Social",IF(ISNUMBER(SEARCH("monolito",PL[[#This Row],[DESCRIPTION]])),"Monolitos","Varios")))))</f>
        <v>Varios</v>
      </c>
      <c r="Q1338"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39" spans="1:17" hidden="1" x14ac:dyDescent="0.2">
      <c r="A1339" s="116" t="s">
        <v>1387</v>
      </c>
      <c r="B1339" s="117" t="s">
        <v>8</v>
      </c>
      <c r="C1339" s="52">
        <v>10</v>
      </c>
      <c r="D1339" s="118" t="s">
        <v>3375</v>
      </c>
      <c r="E1339" s="117" t="s">
        <v>1388</v>
      </c>
      <c r="F1339" s="117" t="s">
        <v>1389</v>
      </c>
      <c r="G1339" s="82" t="s">
        <v>128</v>
      </c>
      <c r="H1339" s="90"/>
      <c r="I1339" s="67"/>
      <c r="J1339" s="67" t="s">
        <v>11</v>
      </c>
      <c r="K1339" s="67" t="s">
        <v>3393</v>
      </c>
      <c r="L1339" s="67"/>
      <c r="M1339" s="69"/>
      <c r="N1339" s="67" t="str">
        <f>IF(ISNUMBER(PL[[#This Row],[CTO]]),"CTO "&amp;PL[[#This Row],[CTO]],"Otros")</f>
        <v>CTO 10</v>
      </c>
      <c r="O1339" s="67" t="str">
        <f>IF(PL[[#This Row],[STATUS IUP]]="CERRADO","CERRADO",IF(ISNUMBER(SEARCH("validacion de enel",PL[[#This Row],[SUPPLIER NOTES]])),"PTE Validar Enel","ABIERTO"))</f>
        <v>ABIERTO</v>
      </c>
      <c r="P1339" s="67" t="str">
        <f>IF(PL[[#This Row],[ESTADO]]="CERRADO","Cerrados IUP",IF(PL[[#This Row],[ESTADO]]="PTE Validar Enel","Pendiente cierre ENEL",IF(ISNUMBER(SEARCH("suministro",PL[[#This Row],[SUPPLIER NOTES]])),"Suministros",IF(PL[[#This Row],[SC]]="SOCIAL","Social",IF(ISNUMBER(SEARCH("monolito",PL[[#This Row],[DESCRIPTION]])),"Monolitos","Varios")))))</f>
        <v>Varios</v>
      </c>
      <c r="Q133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40" spans="1:17" hidden="1" x14ac:dyDescent="0.2">
      <c r="A1340" s="116" t="s">
        <v>1337</v>
      </c>
      <c r="B1340" s="117" t="s">
        <v>8</v>
      </c>
      <c r="C1340" s="52">
        <v>10</v>
      </c>
      <c r="D1340" s="118" t="s">
        <v>3375</v>
      </c>
      <c r="E1340" s="117" t="s">
        <v>1338</v>
      </c>
      <c r="F1340" s="117" t="s">
        <v>1339</v>
      </c>
      <c r="G1340" s="82" t="s">
        <v>128</v>
      </c>
      <c r="H1340" s="90"/>
      <c r="I1340" s="67"/>
      <c r="J1340" s="67" t="s">
        <v>11</v>
      </c>
      <c r="K1340" s="67" t="s">
        <v>3393</v>
      </c>
      <c r="L1340" s="67"/>
      <c r="M1340" s="69"/>
      <c r="N1340" s="67" t="str">
        <f>IF(ISNUMBER(PL[[#This Row],[CTO]]),"CTO "&amp;PL[[#This Row],[CTO]],"Otros")</f>
        <v>CTO 10</v>
      </c>
      <c r="O1340" s="67" t="str">
        <f>IF(PL[[#This Row],[STATUS IUP]]="CERRADO","CERRADO",IF(ISNUMBER(SEARCH("validacion de enel",PL[[#This Row],[SUPPLIER NOTES]])),"PTE Validar Enel","ABIERTO"))</f>
        <v>ABIERTO</v>
      </c>
      <c r="P1340" s="67" t="str">
        <f>IF(PL[[#This Row],[ESTADO]]="CERRADO","Cerrados IUP",IF(PL[[#This Row],[ESTADO]]="PTE Validar Enel","Pendiente cierre ENEL",IF(ISNUMBER(SEARCH("suministro",PL[[#This Row],[SUPPLIER NOTES]])),"Suministros",IF(PL[[#This Row],[SC]]="SOCIAL","Social",IF(ISNUMBER(SEARCH("monolito",PL[[#This Row],[DESCRIPTION]])),"Monolitos","Varios")))))</f>
        <v>Varios</v>
      </c>
      <c r="Q1340"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41" spans="1:17" s="157" customFormat="1" hidden="1" x14ac:dyDescent="0.2">
      <c r="A1341" s="151" t="s">
        <v>1381</v>
      </c>
      <c r="B1341" s="154" t="s">
        <v>8</v>
      </c>
      <c r="C1341" s="152">
        <v>10</v>
      </c>
      <c r="D1341" s="153" t="s">
        <v>3375</v>
      </c>
      <c r="E1341" s="154" t="s">
        <v>1382</v>
      </c>
      <c r="F1341" s="154" t="s">
        <v>1383</v>
      </c>
      <c r="G1341" s="154" t="s">
        <v>128</v>
      </c>
      <c r="H1341" s="154"/>
      <c r="I1341" s="154"/>
      <c r="J1341" s="154" t="s">
        <v>74</v>
      </c>
      <c r="K1341" s="154" t="s">
        <v>3394</v>
      </c>
      <c r="L1341" s="155">
        <v>46304</v>
      </c>
      <c r="M1341" s="156"/>
      <c r="N1341" s="154" t="str">
        <f>IF(ISNUMBER(PL[[#This Row],[CTO]]),"CTO "&amp;PL[[#This Row],[CTO]],"Otros")</f>
        <v>CTO 10</v>
      </c>
      <c r="O1341" s="154" t="str">
        <f>IF(PL[[#This Row],[STATUS IUP]]="CERRADO","CERRADO",IF(ISNUMBER(SEARCH("validacion de enel",PL[[#This Row],[SUPPLIER NOTES]])),"PTE Validar Enel","ABIERTO"))</f>
        <v>CERRADO</v>
      </c>
      <c r="P1341" s="154" t="str">
        <f>IF(PL[[#This Row],[ESTADO]]="CERRADO","Cerrados IUP",IF(PL[[#This Row],[ESTADO]]="PTE Validar Enel","Pendiente cierre ENEL",IF(ISNUMBER(SEARCH("suministro",PL[[#This Row],[SUPPLIER NOTES]])),"Suministros",IF(PL[[#This Row],[SC]]="SOCIAL","Social",IF(ISNUMBER(SEARCH("monolito",PL[[#This Row],[DESCRIPTION]])),"Monolitos","Varios")))))</f>
        <v>Cerrados IUP</v>
      </c>
      <c r="Q1341"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
      </c>
    </row>
    <row r="1342" spans="1:17" x14ac:dyDescent="0.2">
      <c r="A1342" s="75" t="s">
        <v>1143</v>
      </c>
      <c r="B1342" s="74" t="s">
        <v>41</v>
      </c>
      <c r="C1342" s="52">
        <v>10</v>
      </c>
      <c r="D1342" s="76" t="s">
        <v>3375</v>
      </c>
      <c r="E1342" s="74"/>
      <c r="F1342" s="74" t="s">
        <v>1144</v>
      </c>
      <c r="G1342" s="112" t="s">
        <v>43</v>
      </c>
      <c r="H1342" s="74" t="s">
        <v>3460</v>
      </c>
      <c r="I1342" s="74"/>
      <c r="J1342" s="74" t="s">
        <v>11</v>
      </c>
      <c r="K1342" s="74" t="s">
        <v>3393</v>
      </c>
      <c r="L1342" s="74"/>
      <c r="M1342" s="77"/>
      <c r="N1342" s="74" t="str">
        <f>IF(ISNUMBER(PL[[#This Row],[CTO]]),"CTO "&amp;PL[[#This Row],[CTO]],"Otros")</f>
        <v>CTO 10</v>
      </c>
      <c r="O1342" s="74" t="str">
        <f>IF(PL[[#This Row],[STATUS IUP]]="CERRADO","CERRADO",IF(ISNUMBER(SEARCH("validacion de enel",PL[[#This Row],[SUPPLIER NOTES]])),"PTE Validar Enel","ABIERTO"))</f>
        <v>ABIERTO</v>
      </c>
      <c r="P1342" s="74" t="str">
        <f>IF(PL[[#This Row],[ESTADO]]="CERRADO","Cerrados IUP",IF(PL[[#This Row],[ESTADO]]="PTE Validar Enel","Pendiente cierre ENEL",IF(ISNUMBER(SEARCH("suministro",PL[[#This Row],[SUPPLIER NOTES]])),"Suministros",IF(PL[[#This Row],[SC]]="SOCIAL","Social",IF(ISNUMBER(SEARCH("monolito",PL[[#This Row],[DESCRIPTION]])),"Monolitos","Varios")))))</f>
        <v>Suministros</v>
      </c>
      <c r="Q1342"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343" spans="1:17" s="157" customFormat="1" hidden="1" x14ac:dyDescent="0.2">
      <c r="A1343" s="151" t="s">
        <v>1179</v>
      </c>
      <c r="B1343" s="154" t="s">
        <v>41</v>
      </c>
      <c r="C1343" s="152">
        <v>10</v>
      </c>
      <c r="D1343" s="153" t="s">
        <v>3375</v>
      </c>
      <c r="E1343" s="154"/>
      <c r="F1343" s="154" t="s">
        <v>1180</v>
      </c>
      <c r="G1343" s="154" t="s">
        <v>49</v>
      </c>
      <c r="H1343" s="154"/>
      <c r="I1343" s="154"/>
      <c r="J1343" s="154" t="s">
        <v>74</v>
      </c>
      <c r="K1343" s="154" t="s">
        <v>3394</v>
      </c>
      <c r="L1343" s="154"/>
      <c r="M1343" s="156"/>
      <c r="N1343" s="154" t="str">
        <f>IF(ISNUMBER(PL[[#This Row],[CTO]]),"CTO "&amp;PL[[#This Row],[CTO]],"Otros")</f>
        <v>CTO 10</v>
      </c>
      <c r="O1343" s="154" t="str">
        <f>IF(PL[[#This Row],[STATUS IUP]]="CERRADO","CERRADO",IF(ISNUMBER(SEARCH("validacion de enel",PL[[#This Row],[SUPPLIER NOTES]])),"PTE Validar Enel","ABIERTO"))</f>
        <v>CERRADO</v>
      </c>
      <c r="P1343" s="154" t="str">
        <f>IF(PL[[#This Row],[ESTADO]]="CERRADO","Cerrados IUP",IF(PL[[#This Row],[ESTADO]]="PTE Validar Enel","Pendiente cierre ENEL",IF(ISNUMBER(SEARCH("suministro",PL[[#This Row],[SUPPLIER NOTES]])),"Suministros",IF(PL[[#This Row],[SC]]="SOCIAL","Social",IF(ISNUMBER(SEARCH("monolito",PL[[#This Row],[DESCRIPTION]])),"Monolitos","Varios")))))</f>
        <v>Cerrados IUP</v>
      </c>
      <c r="Q1343"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44" spans="1:17" s="157" customFormat="1" hidden="1" x14ac:dyDescent="0.2">
      <c r="A1344" s="151" t="s">
        <v>1181</v>
      </c>
      <c r="B1344" s="154" t="s">
        <v>41</v>
      </c>
      <c r="C1344" s="152">
        <v>10</v>
      </c>
      <c r="D1344" s="153" t="s">
        <v>3375</v>
      </c>
      <c r="E1344" s="154"/>
      <c r="F1344" s="154" t="s">
        <v>1182</v>
      </c>
      <c r="G1344" s="154" t="s">
        <v>49</v>
      </c>
      <c r="H1344" s="154"/>
      <c r="I1344" s="154"/>
      <c r="J1344" s="154" t="s">
        <v>74</v>
      </c>
      <c r="K1344" s="154" t="s">
        <v>3394</v>
      </c>
      <c r="L1344" s="154"/>
      <c r="M1344" s="156"/>
      <c r="N1344" s="154" t="str">
        <f>IF(ISNUMBER(PL[[#This Row],[CTO]]),"CTO "&amp;PL[[#This Row],[CTO]],"Otros")</f>
        <v>CTO 10</v>
      </c>
      <c r="O1344" s="154" t="str">
        <f>IF(PL[[#This Row],[STATUS IUP]]="CERRADO","CERRADO",IF(ISNUMBER(SEARCH("validacion de enel",PL[[#This Row],[SUPPLIER NOTES]])),"PTE Validar Enel","ABIERTO"))</f>
        <v>CERRADO</v>
      </c>
      <c r="P1344" s="154" t="str">
        <f>IF(PL[[#This Row],[ESTADO]]="CERRADO","Cerrados IUP",IF(PL[[#This Row],[ESTADO]]="PTE Validar Enel","Pendiente cierre ENEL",IF(ISNUMBER(SEARCH("suministro",PL[[#This Row],[SUPPLIER NOTES]])),"Suministros",IF(PL[[#This Row],[SC]]="SOCIAL","Social",IF(ISNUMBER(SEARCH("monolito",PL[[#This Row],[DESCRIPTION]])),"Monolitos","Varios")))))</f>
        <v>Cerrados IUP</v>
      </c>
      <c r="Q1344"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45" spans="1:17" s="157" customFormat="1" hidden="1" x14ac:dyDescent="0.2">
      <c r="A1345" s="151" t="s">
        <v>1183</v>
      </c>
      <c r="B1345" s="154" t="s">
        <v>41</v>
      </c>
      <c r="C1345" s="152">
        <v>10</v>
      </c>
      <c r="D1345" s="153" t="s">
        <v>3375</v>
      </c>
      <c r="E1345" s="154"/>
      <c r="F1345" s="154" t="s">
        <v>1184</v>
      </c>
      <c r="G1345" s="154" t="s">
        <v>49</v>
      </c>
      <c r="H1345" s="154"/>
      <c r="I1345" s="154"/>
      <c r="J1345" s="154" t="s">
        <v>74</v>
      </c>
      <c r="K1345" s="154" t="s">
        <v>3394</v>
      </c>
      <c r="L1345" s="154"/>
      <c r="M1345" s="156"/>
      <c r="N1345" s="154" t="str">
        <f>IF(ISNUMBER(PL[[#This Row],[CTO]]),"CTO "&amp;PL[[#This Row],[CTO]],"Otros")</f>
        <v>CTO 10</v>
      </c>
      <c r="O1345" s="154" t="str">
        <f>IF(PL[[#This Row],[STATUS IUP]]="CERRADO","CERRADO",IF(ISNUMBER(SEARCH("validacion de enel",PL[[#This Row],[SUPPLIER NOTES]])),"PTE Validar Enel","ABIERTO"))</f>
        <v>CERRADO</v>
      </c>
      <c r="P1345" s="154" t="str">
        <f>IF(PL[[#This Row],[ESTADO]]="CERRADO","Cerrados IUP",IF(PL[[#This Row],[ESTADO]]="PTE Validar Enel","Pendiente cierre ENEL",IF(ISNUMBER(SEARCH("suministro",PL[[#This Row],[SUPPLIER NOTES]])),"Suministros",IF(PL[[#This Row],[SC]]="SOCIAL","Social",IF(ISNUMBER(SEARCH("monolito",PL[[#This Row],[DESCRIPTION]])),"Monolitos","Varios")))))</f>
        <v>Cerrados IUP</v>
      </c>
      <c r="Q1345"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46" spans="1:17" hidden="1" x14ac:dyDescent="0.2">
      <c r="A1346" s="75" t="s">
        <v>1185</v>
      </c>
      <c r="B1346" s="74" t="s">
        <v>41</v>
      </c>
      <c r="C1346" s="52">
        <v>10</v>
      </c>
      <c r="D1346" s="76" t="s">
        <v>3375</v>
      </c>
      <c r="E1346" s="74"/>
      <c r="F1346" s="74" t="s">
        <v>1186</v>
      </c>
      <c r="G1346" s="74" t="s">
        <v>49</v>
      </c>
      <c r="H1346" s="74" t="s">
        <v>3462</v>
      </c>
      <c r="I1346" s="74"/>
      <c r="J1346" s="74" t="s">
        <v>11</v>
      </c>
      <c r="K1346" s="74" t="s">
        <v>3393</v>
      </c>
      <c r="L1346" s="74"/>
      <c r="M1346" s="77"/>
      <c r="N1346" s="74" t="str">
        <f>IF(ISNUMBER(PL[[#This Row],[CTO]]),"CTO "&amp;PL[[#This Row],[CTO]],"Otros")</f>
        <v>CTO 10</v>
      </c>
      <c r="O1346" s="74" t="str">
        <f>IF(PL[[#This Row],[STATUS IUP]]="CERRADO","CERRADO",IF(ISNUMBER(SEARCH("validacion de enel",PL[[#This Row],[SUPPLIER NOTES]])),"PTE Validar Enel","ABIERTO"))</f>
        <v>ABIERTO</v>
      </c>
      <c r="P1346" s="74" t="str">
        <f>IF(PL[[#This Row],[ESTADO]]="CERRADO","Cerrados IUP",IF(PL[[#This Row],[ESTADO]]="PTE Validar Enel","Pendiente cierre ENEL",IF(ISNUMBER(SEARCH("suministro",PL[[#This Row],[SUPPLIER NOTES]])),"Suministros",IF(PL[[#This Row],[SC]]="SOCIAL","Social",IF(ISNUMBER(SEARCH("monolito",PL[[#This Row],[DESCRIPTION]])),"Monolitos","Varios")))))</f>
        <v>Suministros</v>
      </c>
      <c r="Q1346"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Trina Commissioning</v>
      </c>
    </row>
    <row r="1347" spans="1:17" x14ac:dyDescent="0.2">
      <c r="A1347" s="75" t="s">
        <v>1212</v>
      </c>
      <c r="B1347" s="74" t="s">
        <v>8</v>
      </c>
      <c r="C1347" s="52">
        <v>10</v>
      </c>
      <c r="D1347" s="76" t="s">
        <v>3375</v>
      </c>
      <c r="E1347" s="74"/>
      <c r="F1347" s="74" t="s">
        <v>1213</v>
      </c>
      <c r="G1347" s="112" t="s">
        <v>43</v>
      </c>
      <c r="H1347" s="74" t="s">
        <v>3460</v>
      </c>
      <c r="I1347" s="74"/>
      <c r="J1347" s="74" t="s">
        <v>11</v>
      </c>
      <c r="K1347" s="74" t="s">
        <v>3393</v>
      </c>
      <c r="L1347" s="74"/>
      <c r="M1347" s="77"/>
      <c r="N1347" s="74" t="str">
        <f>IF(ISNUMBER(PL[[#This Row],[CTO]]),"CTO "&amp;PL[[#This Row],[CTO]],"Otros")</f>
        <v>CTO 10</v>
      </c>
      <c r="O1347" s="74" t="str">
        <f>IF(PL[[#This Row],[STATUS IUP]]="CERRADO","CERRADO",IF(ISNUMBER(SEARCH("validacion de enel",PL[[#This Row],[SUPPLIER NOTES]])),"PTE Validar Enel","ABIERTO"))</f>
        <v>ABIERTO</v>
      </c>
      <c r="P1347" s="74" t="str">
        <f>IF(PL[[#This Row],[ESTADO]]="CERRADO","Cerrados IUP",IF(PL[[#This Row],[ESTADO]]="PTE Validar Enel","Pendiente cierre ENEL",IF(ISNUMBER(SEARCH("suministro",PL[[#This Row],[SUPPLIER NOTES]])),"Suministros",IF(PL[[#This Row],[SC]]="SOCIAL","Social",IF(ISNUMBER(SEARCH("monolito",PL[[#This Row],[DESCRIPTION]])),"Monolitos","Varios")))))</f>
        <v>Suministros</v>
      </c>
      <c r="Q1347" s="7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348" spans="1:17" s="157" customFormat="1" hidden="1" x14ac:dyDescent="0.2">
      <c r="A1348" s="151" t="s">
        <v>1224</v>
      </c>
      <c r="B1348" s="154" t="s">
        <v>8</v>
      </c>
      <c r="C1348" s="152">
        <v>10</v>
      </c>
      <c r="D1348" s="153" t="s">
        <v>3375</v>
      </c>
      <c r="E1348" s="154"/>
      <c r="F1348" s="154" t="s">
        <v>1225</v>
      </c>
      <c r="G1348" s="154" t="s">
        <v>43</v>
      </c>
      <c r="H1348" s="154"/>
      <c r="I1348" s="154"/>
      <c r="J1348" s="154" t="s">
        <v>74</v>
      </c>
      <c r="K1348" s="154" t="s">
        <v>3394</v>
      </c>
      <c r="L1348" s="154"/>
      <c r="M1348" s="156"/>
      <c r="N1348" s="154" t="str">
        <f>IF(ISNUMBER(PL[[#This Row],[CTO]]),"CTO "&amp;PL[[#This Row],[CTO]],"Otros")</f>
        <v>CTO 10</v>
      </c>
      <c r="O1348" s="154" t="str">
        <f>IF(PL[[#This Row],[STATUS IUP]]="CERRADO","CERRADO",IF(ISNUMBER(SEARCH("validacion de enel",PL[[#This Row],[SUPPLIER NOTES]])),"PTE Validar Enel","ABIERTO"))</f>
        <v>CERRADO</v>
      </c>
      <c r="P1348" s="154" t="str">
        <f>IF(PL[[#This Row],[ESTADO]]="CERRADO","Cerrados IUP",IF(PL[[#This Row],[ESTADO]]="PTE Validar Enel","Pendiente cierre ENEL",IF(ISNUMBER(SEARCH("suministro",PL[[#This Row],[SUPPLIER NOTES]])),"Suministros",IF(PL[[#This Row],[SC]]="SOCIAL","Social",IF(ISNUMBER(SEARCH("monolito",PL[[#This Row],[DESCRIPTION]])),"Monolitos","Varios")))))</f>
        <v>Cerrados IUP</v>
      </c>
      <c r="Q1348"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349" spans="1:17" x14ac:dyDescent="0.2">
      <c r="A1349" s="66" t="s">
        <v>1230</v>
      </c>
      <c r="B1349" s="67" t="s">
        <v>8</v>
      </c>
      <c r="C1349" s="52">
        <v>10</v>
      </c>
      <c r="D1349" s="68" t="s">
        <v>3375</v>
      </c>
      <c r="E1349" s="67"/>
      <c r="F1349" s="67" t="s">
        <v>1231</v>
      </c>
      <c r="G1349" s="90" t="s">
        <v>43</v>
      </c>
      <c r="H1349" s="90"/>
      <c r="I1349" s="67"/>
      <c r="J1349" s="67" t="s">
        <v>11</v>
      </c>
      <c r="K1349" s="67" t="s">
        <v>3393</v>
      </c>
      <c r="L1349" s="67"/>
      <c r="M1349" s="69"/>
      <c r="N1349" s="67" t="str">
        <f>IF(ISNUMBER(PL[[#This Row],[CTO]]),"CTO "&amp;PL[[#This Row],[CTO]],"Otros")</f>
        <v>CTO 10</v>
      </c>
      <c r="O1349" s="67" t="str">
        <f>IF(PL[[#This Row],[STATUS IUP]]="CERRADO","CERRADO",IF(ISNUMBER(SEARCH("validacion de enel",PL[[#This Row],[SUPPLIER NOTES]])),"PTE Validar Enel","ABIERTO"))</f>
        <v>ABIERTO</v>
      </c>
      <c r="P1349" s="67" t="str">
        <f>IF(PL[[#This Row],[ESTADO]]="CERRADO","Cerrados IUP",IF(PL[[#This Row],[ESTADO]]="PTE Validar Enel","Pendiente cierre ENEL",IF(ISNUMBER(SEARCH("suministro",PL[[#This Row],[SUPPLIER NOTES]])),"Suministros",IF(PL[[#This Row],[SC]]="SOCIAL","Social",IF(ISNUMBER(SEARCH("monolito",PL[[#This Row],[DESCRIPTION]])),"Monolitos","Varios")))))</f>
        <v>Varios</v>
      </c>
      <c r="Q1349" s="67"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O&amp;M</v>
      </c>
    </row>
    <row r="1350" spans="1:17" s="157" customFormat="1" hidden="1" x14ac:dyDescent="0.2">
      <c r="A1350" s="151" t="s">
        <v>12</v>
      </c>
      <c r="B1350" s="154" t="s">
        <v>8</v>
      </c>
      <c r="C1350" s="153" t="s">
        <v>3391</v>
      </c>
      <c r="D1350" s="153" t="s">
        <v>3391</v>
      </c>
      <c r="E1350" s="154" t="s">
        <v>3493</v>
      </c>
      <c r="F1350" s="154" t="s">
        <v>13</v>
      </c>
      <c r="G1350" s="154" t="s">
        <v>10</v>
      </c>
      <c r="H1350" s="154"/>
      <c r="I1350" s="154"/>
      <c r="J1350" s="154" t="s">
        <v>74</v>
      </c>
      <c r="K1350" s="154" t="s">
        <v>3394</v>
      </c>
      <c r="L1350" s="154"/>
      <c r="M1350" s="156"/>
      <c r="N1350" s="154" t="str">
        <f>IF(ISNUMBER(PL[[#This Row],[CTO]]),"CTO "&amp;PL[[#This Row],[CTO]],"Otros")</f>
        <v>Otros</v>
      </c>
      <c r="O1350" s="154" t="str">
        <f>IF(PL[[#This Row],[STATUS IUP]]="CERRADO","CERRADO",IF(ISNUMBER(SEARCH("validacion de enel",PL[[#This Row],[SUPPLIER NOTES]])),"PTE Validar Enel","ABIERTO"))</f>
        <v>CERRADO</v>
      </c>
      <c r="P1350" s="154" t="str">
        <f>IF(PL[[#This Row],[ESTADO]]="CERRADO","Cerrados IUP",IF(PL[[#This Row],[ESTADO]]="PTE Validar Enel","Pendiente cierre ENEL",IF(ISNUMBER(SEARCH("suministro",PL[[#This Row],[SUPPLIER NOTES]])),"Suministros",IF(PL[[#This Row],[SC]]="SOCIAL","Social",IF(ISNUMBER(SEARCH("monolito",PL[[#This Row],[DESCRIPTION]])),"Monolitos","Varios")))))</f>
        <v>Cerrados IUP</v>
      </c>
      <c r="Q135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1" spans="1:17" hidden="1" x14ac:dyDescent="0.2">
      <c r="A1351" s="70" t="s">
        <v>7</v>
      </c>
      <c r="B1351" s="71" t="s">
        <v>8</v>
      </c>
      <c r="C1351" s="84" t="s">
        <v>3391</v>
      </c>
      <c r="D1351" s="72" t="s">
        <v>3391</v>
      </c>
      <c r="E1351" s="82" t="s">
        <v>3493</v>
      </c>
      <c r="F1351" s="71" t="s">
        <v>9</v>
      </c>
      <c r="G1351" s="71" t="s">
        <v>10</v>
      </c>
      <c r="H1351" s="71"/>
      <c r="I1351" s="71"/>
      <c r="J1351" s="71" t="s">
        <v>11</v>
      </c>
      <c r="K1351" s="71" t="s">
        <v>3393</v>
      </c>
      <c r="L1351" s="71"/>
      <c r="M1351" s="73"/>
      <c r="N1351" s="71" t="str">
        <f>IF(ISNUMBER(PL[[#This Row],[CTO]]),"CTO "&amp;PL[[#This Row],[CTO]],"Otros")</f>
        <v>Otros</v>
      </c>
      <c r="O1351" s="71" t="str">
        <f>IF(PL[[#This Row],[STATUS IUP]]="CERRADO","CERRADO",IF(ISNUMBER(SEARCH("validacion de enel",PL[[#This Row],[SUPPLIER NOTES]])),"PTE Validar Enel","ABIERTO"))</f>
        <v>ABIERTO</v>
      </c>
      <c r="P1351" s="71" t="str">
        <f>IF(PL[[#This Row],[ESTADO]]="CERRADO","Cerrados IUP",IF(PL[[#This Row],[ESTADO]]="PTE Validar Enel","Pendiente cierre ENEL",IF(ISNUMBER(SEARCH("suministro",PL[[#This Row],[SUPPLIER NOTES]])),"Suministros",IF(PL[[#This Row],[SC]]="SOCIAL","Social",IF(ISNUMBER(SEARCH("monolito",PL[[#This Row],[DESCRIPTION]])),"Monolitos","Varios")))))</f>
        <v>Social</v>
      </c>
      <c r="Q1351"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2" spans="1:17" hidden="1" x14ac:dyDescent="0.2">
      <c r="A1352" s="70" t="s">
        <v>14</v>
      </c>
      <c r="B1352" s="71" t="s">
        <v>8</v>
      </c>
      <c r="C1352" s="84" t="s">
        <v>3391</v>
      </c>
      <c r="D1352" s="72" t="s">
        <v>3391</v>
      </c>
      <c r="E1352" s="82" t="s">
        <v>3493</v>
      </c>
      <c r="F1352" s="71" t="s">
        <v>15</v>
      </c>
      <c r="G1352" s="71" t="s">
        <v>10</v>
      </c>
      <c r="H1352" s="71"/>
      <c r="I1352" s="71"/>
      <c r="J1352" s="71" t="s">
        <v>11</v>
      </c>
      <c r="K1352" s="71" t="s">
        <v>3393</v>
      </c>
      <c r="L1352" s="71"/>
      <c r="M1352" s="73"/>
      <c r="N1352" s="71" t="str">
        <f>IF(ISNUMBER(PL[[#This Row],[CTO]]),"CTO "&amp;PL[[#This Row],[CTO]],"Otros")</f>
        <v>Otros</v>
      </c>
      <c r="O1352" s="71" t="str">
        <f>IF(PL[[#This Row],[STATUS IUP]]="CERRADO","CERRADO",IF(ISNUMBER(SEARCH("validacion de enel",PL[[#This Row],[SUPPLIER NOTES]])),"PTE Validar Enel","ABIERTO"))</f>
        <v>ABIERTO</v>
      </c>
      <c r="P1352" s="71" t="str">
        <f>IF(PL[[#This Row],[ESTADO]]="CERRADO","Cerrados IUP",IF(PL[[#This Row],[ESTADO]]="PTE Validar Enel","Pendiente cierre ENEL",IF(ISNUMBER(SEARCH("suministro",PL[[#This Row],[SUPPLIER NOTES]])),"Suministros",IF(PL[[#This Row],[SC]]="SOCIAL","Social",IF(ISNUMBER(SEARCH("monolito",PL[[#This Row],[DESCRIPTION]])),"Monolitos","Varios")))))</f>
        <v>Social</v>
      </c>
      <c r="Q1352"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3" spans="1:17" hidden="1" x14ac:dyDescent="0.2">
      <c r="A1353" s="70" t="s">
        <v>16</v>
      </c>
      <c r="B1353" s="71" t="s">
        <v>8</v>
      </c>
      <c r="C1353" s="84" t="s">
        <v>3391</v>
      </c>
      <c r="D1353" s="72" t="s">
        <v>3391</v>
      </c>
      <c r="E1353" s="82" t="s">
        <v>3493</v>
      </c>
      <c r="F1353" s="71" t="s">
        <v>17</v>
      </c>
      <c r="G1353" s="71" t="s">
        <v>10</v>
      </c>
      <c r="H1353" s="71"/>
      <c r="I1353" s="71"/>
      <c r="J1353" s="71" t="s">
        <v>11</v>
      </c>
      <c r="K1353" s="71" t="s">
        <v>3393</v>
      </c>
      <c r="L1353" s="71"/>
      <c r="M1353" s="73"/>
      <c r="N1353" s="71" t="str">
        <f>IF(ISNUMBER(PL[[#This Row],[CTO]]),"CTO "&amp;PL[[#This Row],[CTO]],"Otros")</f>
        <v>Otros</v>
      </c>
      <c r="O1353" s="71" t="str">
        <f>IF(PL[[#This Row],[STATUS IUP]]="CERRADO","CERRADO",IF(ISNUMBER(SEARCH("validacion de enel",PL[[#This Row],[SUPPLIER NOTES]])),"PTE Validar Enel","ABIERTO"))</f>
        <v>ABIERTO</v>
      </c>
      <c r="P1353" s="71" t="str">
        <f>IF(PL[[#This Row],[ESTADO]]="CERRADO","Cerrados IUP",IF(PL[[#This Row],[ESTADO]]="PTE Validar Enel","Pendiente cierre ENEL",IF(ISNUMBER(SEARCH("suministro",PL[[#This Row],[SUPPLIER NOTES]])),"Suministros",IF(PL[[#This Row],[SC]]="SOCIAL","Social",IF(ISNUMBER(SEARCH("monolito",PL[[#This Row],[DESCRIPTION]])),"Monolitos","Varios")))))</f>
        <v>Social</v>
      </c>
      <c r="Q1353"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4" spans="1:17" hidden="1" x14ac:dyDescent="0.2">
      <c r="A1354" s="70" t="s">
        <v>18</v>
      </c>
      <c r="B1354" s="71" t="s">
        <v>8</v>
      </c>
      <c r="C1354" s="84" t="s">
        <v>3391</v>
      </c>
      <c r="D1354" s="72" t="s">
        <v>3391</v>
      </c>
      <c r="E1354" s="82" t="s">
        <v>3493</v>
      </c>
      <c r="F1354" s="71" t="s">
        <v>19</v>
      </c>
      <c r="G1354" s="71" t="s">
        <v>10</v>
      </c>
      <c r="H1354" s="71"/>
      <c r="I1354" s="71"/>
      <c r="J1354" s="71" t="s">
        <v>11</v>
      </c>
      <c r="K1354" s="71" t="s">
        <v>3393</v>
      </c>
      <c r="L1354" s="71"/>
      <c r="M1354" s="73"/>
      <c r="N1354" s="71" t="str">
        <f>IF(ISNUMBER(PL[[#This Row],[CTO]]),"CTO "&amp;PL[[#This Row],[CTO]],"Otros")</f>
        <v>Otros</v>
      </c>
      <c r="O1354" s="71" t="str">
        <f>IF(PL[[#This Row],[STATUS IUP]]="CERRADO","CERRADO",IF(ISNUMBER(SEARCH("validacion de enel",PL[[#This Row],[SUPPLIER NOTES]])),"PTE Validar Enel","ABIERTO"))</f>
        <v>ABIERTO</v>
      </c>
      <c r="P1354" s="71" t="str">
        <f>IF(PL[[#This Row],[ESTADO]]="CERRADO","Cerrados IUP",IF(PL[[#This Row],[ESTADO]]="PTE Validar Enel","Pendiente cierre ENEL",IF(ISNUMBER(SEARCH("suministro",PL[[#This Row],[SUPPLIER NOTES]])),"Suministros",IF(PL[[#This Row],[SC]]="SOCIAL","Social",IF(ISNUMBER(SEARCH("monolito",PL[[#This Row],[DESCRIPTION]])),"Monolitos","Varios")))))</f>
        <v>Social</v>
      </c>
      <c r="Q1354"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5" spans="1:17" hidden="1" x14ac:dyDescent="0.2">
      <c r="A1355" s="70" t="s">
        <v>20</v>
      </c>
      <c r="B1355" s="71" t="s">
        <v>8</v>
      </c>
      <c r="C1355" s="84" t="s">
        <v>3391</v>
      </c>
      <c r="D1355" s="72" t="s">
        <v>3391</v>
      </c>
      <c r="E1355" s="82" t="s">
        <v>3493</v>
      </c>
      <c r="F1355" s="71" t="s">
        <v>21</v>
      </c>
      <c r="G1355" s="71" t="s">
        <v>10</v>
      </c>
      <c r="H1355" s="71"/>
      <c r="I1355" s="71"/>
      <c r="J1355" s="71" t="s">
        <v>11</v>
      </c>
      <c r="K1355" s="71" t="s">
        <v>3393</v>
      </c>
      <c r="L1355" s="71"/>
      <c r="M1355" s="73"/>
      <c r="N1355" s="71" t="str">
        <f>IF(ISNUMBER(PL[[#This Row],[CTO]]),"CTO "&amp;PL[[#This Row],[CTO]],"Otros")</f>
        <v>Otros</v>
      </c>
      <c r="O1355" s="71" t="str">
        <f>IF(PL[[#This Row],[STATUS IUP]]="CERRADO","CERRADO",IF(ISNUMBER(SEARCH("validacion de enel",PL[[#This Row],[SUPPLIER NOTES]])),"PTE Validar Enel","ABIERTO"))</f>
        <v>ABIERTO</v>
      </c>
      <c r="P1355" s="71" t="str">
        <f>IF(PL[[#This Row],[ESTADO]]="CERRADO","Cerrados IUP",IF(PL[[#This Row],[ESTADO]]="PTE Validar Enel","Pendiente cierre ENEL",IF(ISNUMBER(SEARCH("suministro",PL[[#This Row],[SUPPLIER NOTES]])),"Suministros",IF(PL[[#This Row],[SC]]="SOCIAL","Social",IF(ISNUMBER(SEARCH("monolito",PL[[#This Row],[DESCRIPTION]])),"Monolitos","Varios")))))</f>
        <v>Social</v>
      </c>
      <c r="Q1355"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6" spans="1:17" hidden="1" x14ac:dyDescent="0.2">
      <c r="A1356" s="70" t="s">
        <v>22</v>
      </c>
      <c r="B1356" s="71" t="s">
        <v>8</v>
      </c>
      <c r="C1356" s="84" t="s">
        <v>3391</v>
      </c>
      <c r="D1356" s="72" t="s">
        <v>3391</v>
      </c>
      <c r="E1356" s="82" t="s">
        <v>3493</v>
      </c>
      <c r="F1356" s="71" t="s">
        <v>23</v>
      </c>
      <c r="G1356" s="71" t="s">
        <v>10</v>
      </c>
      <c r="H1356" s="71"/>
      <c r="I1356" s="71"/>
      <c r="J1356" s="71" t="s">
        <v>11</v>
      </c>
      <c r="K1356" s="71" t="s">
        <v>3393</v>
      </c>
      <c r="L1356" s="71"/>
      <c r="M1356" s="73"/>
      <c r="N1356" s="71" t="str">
        <f>IF(ISNUMBER(PL[[#This Row],[CTO]]),"CTO "&amp;PL[[#This Row],[CTO]],"Otros")</f>
        <v>Otros</v>
      </c>
      <c r="O1356" s="71" t="str">
        <f>IF(PL[[#This Row],[STATUS IUP]]="CERRADO","CERRADO",IF(ISNUMBER(SEARCH("validacion de enel",PL[[#This Row],[SUPPLIER NOTES]])),"PTE Validar Enel","ABIERTO"))</f>
        <v>ABIERTO</v>
      </c>
      <c r="P1356" s="71" t="str">
        <f>IF(PL[[#This Row],[ESTADO]]="CERRADO","Cerrados IUP",IF(PL[[#This Row],[ESTADO]]="PTE Validar Enel","Pendiente cierre ENEL",IF(ISNUMBER(SEARCH("suministro",PL[[#This Row],[SUPPLIER NOTES]])),"Suministros",IF(PL[[#This Row],[SC]]="SOCIAL","Social",IF(ISNUMBER(SEARCH("monolito",PL[[#This Row],[DESCRIPTION]])),"Monolitos","Varios")))))</f>
        <v>Social</v>
      </c>
      <c r="Q1356"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7" spans="1:17" hidden="1" x14ac:dyDescent="0.2">
      <c r="A1357" s="70" t="s">
        <v>24</v>
      </c>
      <c r="B1357" s="71" t="s">
        <v>8</v>
      </c>
      <c r="C1357" s="84" t="s">
        <v>3391</v>
      </c>
      <c r="D1357" s="72" t="s">
        <v>3391</v>
      </c>
      <c r="E1357" s="82" t="s">
        <v>3493</v>
      </c>
      <c r="F1357" s="71" t="s">
        <v>25</v>
      </c>
      <c r="G1357" s="71" t="s">
        <v>10</v>
      </c>
      <c r="H1357" s="71"/>
      <c r="I1357" s="71"/>
      <c r="J1357" s="71" t="s">
        <v>11</v>
      </c>
      <c r="K1357" s="71" t="s">
        <v>3393</v>
      </c>
      <c r="L1357" s="71"/>
      <c r="M1357" s="73"/>
      <c r="N1357" s="71" t="str">
        <f>IF(ISNUMBER(PL[[#This Row],[CTO]]),"CTO "&amp;PL[[#This Row],[CTO]],"Otros")</f>
        <v>Otros</v>
      </c>
      <c r="O1357" s="71" t="str">
        <f>IF(PL[[#This Row],[STATUS IUP]]="CERRADO","CERRADO",IF(ISNUMBER(SEARCH("validacion de enel",PL[[#This Row],[SUPPLIER NOTES]])),"PTE Validar Enel","ABIERTO"))</f>
        <v>ABIERTO</v>
      </c>
      <c r="P1357" s="71" t="str">
        <f>IF(PL[[#This Row],[ESTADO]]="CERRADO","Cerrados IUP",IF(PL[[#This Row],[ESTADO]]="PTE Validar Enel","Pendiente cierre ENEL",IF(ISNUMBER(SEARCH("suministro",PL[[#This Row],[SUPPLIER NOTES]])),"Suministros",IF(PL[[#This Row],[SC]]="SOCIAL","Social",IF(ISNUMBER(SEARCH("monolito",PL[[#This Row],[DESCRIPTION]])),"Monolitos","Varios")))))</f>
        <v>Social</v>
      </c>
      <c r="Q1357"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8" spans="1:17" hidden="1" x14ac:dyDescent="0.2">
      <c r="A1358" s="70" t="s">
        <v>26</v>
      </c>
      <c r="B1358" s="71" t="s">
        <v>8</v>
      </c>
      <c r="C1358" s="84" t="s">
        <v>3391</v>
      </c>
      <c r="D1358" s="72" t="s">
        <v>3391</v>
      </c>
      <c r="E1358" s="82" t="s">
        <v>3493</v>
      </c>
      <c r="F1358" s="71" t="s">
        <v>27</v>
      </c>
      <c r="G1358" s="71" t="s">
        <v>10</v>
      </c>
      <c r="H1358" s="71"/>
      <c r="I1358" s="71"/>
      <c r="J1358" s="71" t="s">
        <v>11</v>
      </c>
      <c r="K1358" s="71" t="s">
        <v>3393</v>
      </c>
      <c r="L1358" s="71"/>
      <c r="M1358" s="73"/>
      <c r="N1358" s="71" t="str">
        <f>IF(ISNUMBER(PL[[#This Row],[CTO]]),"CTO "&amp;PL[[#This Row],[CTO]],"Otros")</f>
        <v>Otros</v>
      </c>
      <c r="O1358" s="71" t="str">
        <f>IF(PL[[#This Row],[STATUS IUP]]="CERRADO","CERRADO",IF(ISNUMBER(SEARCH("validacion de enel",PL[[#This Row],[SUPPLIER NOTES]])),"PTE Validar Enel","ABIERTO"))</f>
        <v>ABIERTO</v>
      </c>
      <c r="P1358" s="71" t="str">
        <f>IF(PL[[#This Row],[ESTADO]]="CERRADO","Cerrados IUP",IF(PL[[#This Row],[ESTADO]]="PTE Validar Enel","Pendiente cierre ENEL",IF(ISNUMBER(SEARCH("suministro",PL[[#This Row],[SUPPLIER NOTES]])),"Suministros",IF(PL[[#This Row],[SC]]="SOCIAL","Social",IF(ISNUMBER(SEARCH("monolito",PL[[#This Row],[DESCRIPTION]])),"Monolitos","Varios")))))</f>
        <v>Social</v>
      </c>
      <c r="Q1358"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59" spans="1:17" hidden="1" x14ac:dyDescent="0.2">
      <c r="A1359" s="70" t="s">
        <v>28</v>
      </c>
      <c r="B1359" s="71" t="s">
        <v>8</v>
      </c>
      <c r="C1359" s="84" t="s">
        <v>3391</v>
      </c>
      <c r="D1359" s="72" t="s">
        <v>3391</v>
      </c>
      <c r="E1359" s="82" t="s">
        <v>3493</v>
      </c>
      <c r="F1359" s="71" t="s">
        <v>29</v>
      </c>
      <c r="G1359" s="71" t="s">
        <v>10</v>
      </c>
      <c r="H1359" s="71"/>
      <c r="I1359" s="71"/>
      <c r="J1359" s="71" t="s">
        <v>11</v>
      </c>
      <c r="K1359" s="71" t="s">
        <v>3393</v>
      </c>
      <c r="L1359" s="71"/>
      <c r="M1359" s="73"/>
      <c r="N1359" s="71" t="str">
        <f>IF(ISNUMBER(PL[[#This Row],[CTO]]),"CTO "&amp;PL[[#This Row],[CTO]],"Otros")</f>
        <v>Otros</v>
      </c>
      <c r="O1359" s="71" t="str">
        <f>IF(PL[[#This Row],[STATUS IUP]]="CERRADO","CERRADO",IF(ISNUMBER(SEARCH("validacion de enel",PL[[#This Row],[SUPPLIER NOTES]])),"PTE Validar Enel","ABIERTO"))</f>
        <v>ABIERTO</v>
      </c>
      <c r="P1359" s="71" t="str">
        <f>IF(PL[[#This Row],[ESTADO]]="CERRADO","Cerrados IUP",IF(PL[[#This Row],[ESTADO]]="PTE Validar Enel","Pendiente cierre ENEL",IF(ISNUMBER(SEARCH("suministro",PL[[#This Row],[SUPPLIER NOTES]])),"Suministros",IF(PL[[#This Row],[SC]]="SOCIAL","Social",IF(ISNUMBER(SEARCH("monolito",PL[[#This Row],[DESCRIPTION]])),"Monolitos","Varios")))))</f>
        <v>Social</v>
      </c>
      <c r="Q1359"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60" spans="1:17" s="157" customFormat="1" hidden="1" x14ac:dyDescent="0.2">
      <c r="A1360" s="151" t="s">
        <v>32</v>
      </c>
      <c r="B1360" s="154" t="s">
        <v>8</v>
      </c>
      <c r="C1360" s="153" t="s">
        <v>3391</v>
      </c>
      <c r="D1360" s="153" t="s">
        <v>3391</v>
      </c>
      <c r="E1360" s="154" t="s">
        <v>3493</v>
      </c>
      <c r="F1360" s="154" t="s">
        <v>33</v>
      </c>
      <c r="G1360" s="154" t="s">
        <v>10</v>
      </c>
      <c r="H1360" s="154"/>
      <c r="I1360" s="154"/>
      <c r="J1360" s="154" t="s">
        <v>74</v>
      </c>
      <c r="K1360" s="154" t="s">
        <v>3394</v>
      </c>
      <c r="L1360" s="154"/>
      <c r="M1360" s="156"/>
      <c r="N1360" s="154" t="str">
        <f>IF(ISNUMBER(PL[[#This Row],[CTO]]),"CTO "&amp;PL[[#This Row],[CTO]],"Otros")</f>
        <v>Otros</v>
      </c>
      <c r="O1360" s="154" t="str">
        <f>IF(PL[[#This Row],[STATUS IUP]]="CERRADO","CERRADO",IF(ISNUMBER(SEARCH("validacion de enel",PL[[#This Row],[SUPPLIER NOTES]])),"PTE Validar Enel","ABIERTO"))</f>
        <v>CERRADO</v>
      </c>
      <c r="P1360" s="154" t="str">
        <f>IF(PL[[#This Row],[ESTADO]]="CERRADO","Cerrados IUP",IF(PL[[#This Row],[ESTADO]]="PTE Validar Enel","Pendiente cierre ENEL",IF(ISNUMBER(SEARCH("suministro",PL[[#This Row],[SUPPLIER NOTES]])),"Suministros",IF(PL[[#This Row],[SC]]="SOCIAL","Social",IF(ISNUMBER(SEARCH("monolito",PL[[#This Row],[DESCRIPTION]])),"Monolitos","Varios")))))</f>
        <v>Cerrados IUP</v>
      </c>
      <c r="Q1360" s="154"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61" spans="1:17" hidden="1" x14ac:dyDescent="0.2">
      <c r="A1361" s="70" t="s">
        <v>30</v>
      </c>
      <c r="B1361" s="71" t="s">
        <v>8</v>
      </c>
      <c r="C1361" s="84" t="s">
        <v>3391</v>
      </c>
      <c r="D1361" s="72" t="s">
        <v>3391</v>
      </c>
      <c r="E1361" s="82" t="s">
        <v>3493</v>
      </c>
      <c r="F1361" s="71" t="s">
        <v>31</v>
      </c>
      <c r="G1361" s="71" t="s">
        <v>10</v>
      </c>
      <c r="H1361" s="71"/>
      <c r="I1361" s="71"/>
      <c r="J1361" s="71" t="s">
        <v>11</v>
      </c>
      <c r="K1361" s="71" t="s">
        <v>3393</v>
      </c>
      <c r="L1361" s="71"/>
      <c r="M1361" s="73"/>
      <c r="N1361" s="71" t="str">
        <f>IF(ISNUMBER(PL[[#This Row],[CTO]]),"CTO "&amp;PL[[#This Row],[CTO]],"Otros")</f>
        <v>Otros</v>
      </c>
      <c r="O1361" s="71" t="str">
        <f>IF(PL[[#This Row],[STATUS IUP]]="CERRADO","CERRADO",IF(ISNUMBER(SEARCH("validacion de enel",PL[[#This Row],[SUPPLIER NOTES]])),"PTE Validar Enel","ABIERTO"))</f>
        <v>ABIERTO</v>
      </c>
      <c r="P1361" s="71" t="str">
        <f>IF(PL[[#This Row],[ESTADO]]="CERRADO","Cerrados IUP",IF(PL[[#This Row],[ESTADO]]="PTE Validar Enel","Pendiente cierre ENEL",IF(ISNUMBER(SEARCH("suministro",PL[[#This Row],[SUPPLIER NOTES]])),"Suministros",IF(PL[[#This Row],[SC]]="SOCIAL","Social",IF(ISNUMBER(SEARCH("monolito",PL[[#This Row],[DESCRIPTION]])),"Monolitos","Varios")))))</f>
        <v>Social</v>
      </c>
      <c r="Q1361"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62" spans="1:17" hidden="1" x14ac:dyDescent="0.2">
      <c r="A1362" s="70" t="s">
        <v>34</v>
      </c>
      <c r="B1362" s="71" t="s">
        <v>8</v>
      </c>
      <c r="C1362" s="84" t="s">
        <v>3391</v>
      </c>
      <c r="D1362" s="72" t="s">
        <v>3391</v>
      </c>
      <c r="E1362" s="82" t="s">
        <v>3493</v>
      </c>
      <c r="F1362" s="71" t="s">
        <v>35</v>
      </c>
      <c r="G1362" s="71" t="s">
        <v>10</v>
      </c>
      <c r="H1362" s="71"/>
      <c r="I1362" s="71"/>
      <c r="J1362" s="71" t="s">
        <v>11</v>
      </c>
      <c r="K1362" s="71" t="s">
        <v>3393</v>
      </c>
      <c r="L1362" s="71"/>
      <c r="M1362" s="73"/>
      <c r="N1362" s="71" t="str">
        <f>IF(ISNUMBER(PL[[#This Row],[CTO]]),"CTO "&amp;PL[[#This Row],[CTO]],"Otros")</f>
        <v>Otros</v>
      </c>
      <c r="O1362" s="71" t="str">
        <f>IF(PL[[#This Row],[STATUS IUP]]="CERRADO","CERRADO",IF(ISNUMBER(SEARCH("validacion de enel",PL[[#This Row],[SUPPLIER NOTES]])),"PTE Validar Enel","ABIERTO"))</f>
        <v>ABIERTO</v>
      </c>
      <c r="P1362" s="71" t="str">
        <f>IF(PL[[#This Row],[ESTADO]]="CERRADO","Cerrados IUP",IF(PL[[#This Row],[ESTADO]]="PTE Validar Enel","Pendiente cierre ENEL",IF(ISNUMBER(SEARCH("suministro",PL[[#This Row],[SUPPLIER NOTES]])),"Suministros",IF(PL[[#This Row],[SC]]="SOCIAL","Social",IF(ISNUMBER(SEARCH("monolito",PL[[#This Row],[DESCRIPTION]])),"Monolitos","Varios")))))</f>
        <v>Social</v>
      </c>
      <c r="Q1362"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63" spans="1:17" hidden="1" x14ac:dyDescent="0.2">
      <c r="A1363" s="70" t="s">
        <v>36</v>
      </c>
      <c r="B1363" s="71" t="s">
        <v>8</v>
      </c>
      <c r="C1363" s="84" t="s">
        <v>3391</v>
      </c>
      <c r="D1363" s="72" t="s">
        <v>3391</v>
      </c>
      <c r="E1363" s="82" t="s">
        <v>3493</v>
      </c>
      <c r="F1363" s="71" t="s">
        <v>37</v>
      </c>
      <c r="G1363" s="71" t="s">
        <v>10</v>
      </c>
      <c r="H1363" s="71"/>
      <c r="I1363" s="71"/>
      <c r="J1363" s="71" t="s">
        <v>11</v>
      </c>
      <c r="K1363" s="71" t="s">
        <v>3393</v>
      </c>
      <c r="L1363" s="71"/>
      <c r="M1363" s="73"/>
      <c r="N1363" s="71" t="str">
        <f>IF(ISNUMBER(PL[[#This Row],[CTO]]),"CTO "&amp;PL[[#This Row],[CTO]],"Otros")</f>
        <v>Otros</v>
      </c>
      <c r="O1363" s="71" t="str">
        <f>IF(PL[[#This Row],[STATUS IUP]]="CERRADO","CERRADO",IF(ISNUMBER(SEARCH("validacion de enel",PL[[#This Row],[SUPPLIER NOTES]])),"PTE Validar Enel","ABIERTO"))</f>
        <v>ABIERTO</v>
      </c>
      <c r="P1363" s="71" t="str">
        <f>IF(PL[[#This Row],[ESTADO]]="CERRADO","Cerrados IUP",IF(PL[[#This Row],[ESTADO]]="PTE Validar Enel","Pendiente cierre ENEL",IF(ISNUMBER(SEARCH("suministro",PL[[#This Row],[SUPPLIER NOTES]])),"Suministros",IF(PL[[#This Row],[SC]]="SOCIAL","Social",IF(ISNUMBER(SEARCH("monolito",PL[[#This Row],[DESCRIPTION]])),"Monolitos","Varios")))))</f>
        <v>Social</v>
      </c>
      <c r="Q1363"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64" spans="1:17" hidden="1" x14ac:dyDescent="0.2">
      <c r="A1364" s="123" t="s">
        <v>38</v>
      </c>
      <c r="B1364" s="124" t="s">
        <v>8</v>
      </c>
      <c r="C1364" s="84" t="s">
        <v>3391</v>
      </c>
      <c r="D1364" s="125" t="s">
        <v>3391</v>
      </c>
      <c r="E1364" s="82" t="s">
        <v>3493</v>
      </c>
      <c r="F1364" s="124" t="s">
        <v>39</v>
      </c>
      <c r="G1364" s="124" t="s">
        <v>10</v>
      </c>
      <c r="H1364" s="71"/>
      <c r="I1364" s="124"/>
      <c r="J1364" s="124" t="s">
        <v>11</v>
      </c>
      <c r="K1364" s="71" t="s">
        <v>3393</v>
      </c>
      <c r="L1364" s="124"/>
      <c r="M1364" s="126"/>
      <c r="N1364" s="71" t="str">
        <f>IF(ISNUMBER(PL[[#This Row],[CTO]]),"CTO "&amp;PL[[#This Row],[CTO]],"Otros")</f>
        <v>Otros</v>
      </c>
      <c r="O1364" s="71" t="str">
        <f>IF(PL[[#This Row],[STATUS IUP]]="CERRADO","CERRADO",IF(ISNUMBER(SEARCH("validacion de enel",PL[[#This Row],[SUPPLIER NOTES]])),"PTE Validar Enel","ABIERTO"))</f>
        <v>ABIERTO</v>
      </c>
      <c r="P1364" s="71" t="str">
        <f>IF(PL[[#This Row],[ESTADO]]="CERRADO","Cerrados IUP",IF(PL[[#This Row],[ESTADO]]="PTE Validar Enel","Pendiente cierre ENEL",IF(ISNUMBER(SEARCH("suministro",PL[[#This Row],[SUPPLIER NOTES]])),"Suministros",IF(PL[[#This Row],[SC]]="SOCIAL","Social",IF(ISNUMBER(SEARCH("monolito",PL[[#This Row],[DESCRIPTION]])),"Monolitos","Varios")))))</f>
        <v>Social</v>
      </c>
      <c r="Q1364" s="71" t="str">
        <f>IF(ISNA(MATCH(PL[[#This Row],[ITEM ID]],Externos!$A:$A,0)),"",IF(PL[[#This Row],[DETECTOR_ROLE]]="Sustainability Manager","SOCIAL",IF(INDEX(Externos!$D:$D,MATCH(PL[[#This Row],[ITEM ID]],Externos!$A:$A,0))="TRINA",IF(PL[[#This Row],[DETECTOR_ROLE]]="O&amp;M","Trina O&amp;M",IF(PL[[#This Row],[DETECTOR_ROLE]]="Commissioning Manager","Trina Commissioning","Trina Electric")),"O&amp;M")))</f>
        <v>SOCIAL</v>
      </c>
    </row>
    <row r="1371" spans="1:13" ht="16" thickBot="1" x14ac:dyDescent="0.25"/>
    <row r="1372" spans="1:13" ht="16" thickBot="1" x14ac:dyDescent="0.25">
      <c r="H1372" s="133" t="s">
        <v>3476</v>
      </c>
      <c r="I1372" s="134"/>
      <c r="J1372" s="134"/>
      <c r="K1372" s="134"/>
      <c r="L1372" s="135"/>
      <c r="M1372" s="106">
        <v>1006</v>
      </c>
    </row>
    <row r="1373" spans="1:13" ht="16" thickBot="1" x14ac:dyDescent="0.25">
      <c r="H1373" s="133" t="s">
        <v>3477</v>
      </c>
      <c r="I1373" s="134"/>
      <c r="J1373" s="134"/>
      <c r="K1373" s="134"/>
      <c r="L1373" s="135"/>
      <c r="M1373" s="106">
        <v>135</v>
      </c>
    </row>
    <row r="1374" spans="1:13" ht="17" thickBot="1" x14ac:dyDescent="0.25">
      <c r="H1374" s="107" t="s">
        <v>3468</v>
      </c>
      <c r="I1374" s="127" t="s">
        <v>3469</v>
      </c>
      <c r="J1374" s="130" t="s">
        <v>3392</v>
      </c>
      <c r="K1374" s="106" t="s">
        <v>3480</v>
      </c>
      <c r="L1374" s="106" t="s">
        <v>3486</v>
      </c>
      <c r="M1374" s="130">
        <v>100</v>
      </c>
    </row>
    <row r="1375" spans="1:13" ht="17" thickBot="1" x14ac:dyDescent="0.25">
      <c r="H1375" s="108"/>
      <c r="I1375" s="128"/>
      <c r="J1375" s="131"/>
      <c r="K1375" s="106" t="s">
        <v>3481</v>
      </c>
      <c r="L1375" s="106" t="s">
        <v>3487</v>
      </c>
      <c r="M1375" s="131"/>
    </row>
    <row r="1376" spans="1:13" ht="17" thickBot="1" x14ac:dyDescent="0.25">
      <c r="H1376" s="108"/>
      <c r="I1376" s="128"/>
      <c r="J1376" s="132"/>
      <c r="K1376" s="106" t="s">
        <v>3488</v>
      </c>
      <c r="L1376" s="106" t="s">
        <v>3489</v>
      </c>
      <c r="M1376" s="131"/>
    </row>
    <row r="1377" spans="8:13" ht="17" thickBot="1" x14ac:dyDescent="0.25">
      <c r="H1377" s="108"/>
      <c r="I1377" s="128"/>
      <c r="J1377" s="130" t="s">
        <v>3479</v>
      </c>
      <c r="K1377" s="106" t="s">
        <v>3375</v>
      </c>
      <c r="L1377" s="113" t="s">
        <v>3485</v>
      </c>
      <c r="M1377" s="131"/>
    </row>
    <row r="1378" spans="8:13" ht="17" thickBot="1" x14ac:dyDescent="0.25">
      <c r="H1378" s="108"/>
      <c r="I1378" s="128"/>
      <c r="J1378" s="131"/>
      <c r="K1378" s="106" t="s">
        <v>3385</v>
      </c>
      <c r="L1378" s="113" t="s">
        <v>3484</v>
      </c>
      <c r="M1378" s="131"/>
    </row>
    <row r="1379" spans="8:13" ht="17" thickBot="1" x14ac:dyDescent="0.25">
      <c r="H1379" s="108"/>
      <c r="I1379" s="128"/>
      <c r="J1379" s="131"/>
      <c r="K1379" s="106" t="s">
        <v>3384</v>
      </c>
      <c r="L1379" s="113" t="s">
        <v>3482</v>
      </c>
      <c r="M1379" s="131"/>
    </row>
    <row r="1380" spans="8:13" ht="17" thickBot="1" x14ac:dyDescent="0.25">
      <c r="H1380" s="108"/>
      <c r="I1380" s="128"/>
      <c r="J1380" s="131"/>
      <c r="K1380" s="106" t="s">
        <v>3381</v>
      </c>
      <c r="L1380" s="113" t="s">
        <v>3483</v>
      </c>
      <c r="M1380" s="131"/>
    </row>
    <row r="1381" spans="8:13" ht="17" thickBot="1" x14ac:dyDescent="0.25">
      <c r="H1381" s="108"/>
      <c r="I1381" s="128"/>
      <c r="J1381" s="132"/>
      <c r="K1381" s="106" t="s">
        <v>3380</v>
      </c>
      <c r="L1381" s="113" t="s">
        <v>3484</v>
      </c>
      <c r="M1381" s="131"/>
    </row>
    <row r="1382" spans="8:13" ht="33" thickBot="1" x14ac:dyDescent="0.25">
      <c r="H1382" s="108"/>
      <c r="I1382" s="129"/>
      <c r="J1382" s="106"/>
      <c r="K1382" s="106" t="s">
        <v>3490</v>
      </c>
      <c r="L1382" s="106" t="s">
        <v>3491</v>
      </c>
      <c r="M1382" s="132"/>
    </row>
    <row r="1383" spans="8:13" ht="17" thickBot="1" x14ac:dyDescent="0.25">
      <c r="H1383" s="108"/>
      <c r="I1383" s="110" t="s">
        <v>3470</v>
      </c>
      <c r="J1383" s="106"/>
      <c r="K1383" s="106"/>
      <c r="L1383" s="106"/>
      <c r="M1383" s="106">
        <v>13</v>
      </c>
    </row>
    <row r="1384" spans="8:13" ht="17" thickBot="1" x14ac:dyDescent="0.25">
      <c r="H1384" s="108" t="s">
        <v>3478</v>
      </c>
      <c r="I1384" s="110" t="s">
        <v>3471</v>
      </c>
      <c r="J1384" s="106"/>
      <c r="K1384" s="106"/>
      <c r="L1384" s="106"/>
      <c r="M1384" s="106">
        <v>11</v>
      </c>
    </row>
    <row r="1385" spans="8:13" ht="17" thickBot="1" x14ac:dyDescent="0.25">
      <c r="H1385" s="109"/>
      <c r="I1385" s="110" t="s">
        <v>3472</v>
      </c>
      <c r="J1385" s="106"/>
      <c r="K1385" s="106"/>
      <c r="L1385" s="106"/>
      <c r="M1385" s="106">
        <v>98</v>
      </c>
    </row>
    <row r="1386" spans="8:13" ht="17" thickBot="1" x14ac:dyDescent="0.25">
      <c r="H1386" s="111" t="s">
        <v>3400</v>
      </c>
      <c r="I1386" s="110"/>
      <c r="J1386" s="106"/>
      <c r="K1386" s="106"/>
      <c r="L1386" s="106"/>
      <c r="M1386" s="106">
        <v>1363</v>
      </c>
    </row>
  </sheetData>
  <mergeCells count="6">
    <mergeCell ref="I1374:I1382"/>
    <mergeCell ref="J1374:J1376"/>
    <mergeCell ref="M1374:M1382"/>
    <mergeCell ref="H1372:L1372"/>
    <mergeCell ref="H1373:L1373"/>
    <mergeCell ref="J1377:J1381"/>
  </mergeCells>
  <phoneticPr fontId="4" type="noConversion"/>
  <pageMargins left="0.7" right="0.7" top="0.75" bottom="0.75" header="0.3" footer="0.3"/>
  <pageSetup scale="39" orientation="portrait" r:id="rId1"/>
  <headerFooter>
    <oddHeader>&amp;C&amp;"Arial"&amp;8&amp;K000000 INTERNAL&amp;1#_x000D_</oddHeader>
  </headerFooter>
  <colBreaks count="1" manualBreakCount="1">
    <brk id="7" max="1048575" man="1"/>
  </col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4AB3-B819-4FF4-B83C-49C945F801EA}">
  <dimension ref="A1:L213"/>
  <sheetViews>
    <sheetView workbookViewId="0">
      <selection activeCell="A26" sqref="A26"/>
    </sheetView>
  </sheetViews>
  <sheetFormatPr baseColWidth="10" defaultColWidth="8.83203125" defaultRowHeight="15" x14ac:dyDescent="0.2"/>
  <cols>
    <col min="1" max="1" width="9.5" style="1" customWidth="1"/>
    <col min="2" max="3" width="8.83203125" style="1"/>
    <col min="4" max="4" width="19.5" style="1" customWidth="1"/>
    <col min="5" max="5" width="77.1640625" style="1" customWidth="1"/>
    <col min="6" max="6" width="17" style="1" customWidth="1"/>
    <col min="7" max="7" width="17.1640625" style="1" customWidth="1"/>
    <col min="8" max="8" width="16.6640625" style="1" customWidth="1"/>
    <col min="9" max="9" width="17.6640625" style="1" customWidth="1"/>
    <col min="10" max="10" width="12.83203125" style="1" customWidth="1"/>
    <col min="11" max="11" width="20" style="1" customWidth="1"/>
    <col min="12" max="12" width="24.83203125" style="1" customWidth="1"/>
    <col min="13" max="16384" width="8.83203125" style="1"/>
  </cols>
  <sheetData>
    <row r="1" spans="1:12" x14ac:dyDescent="0.2">
      <c r="A1" s="2" t="s">
        <v>0</v>
      </c>
      <c r="B1" s="2" t="s">
        <v>1</v>
      </c>
      <c r="C1" s="2" t="s">
        <v>3374</v>
      </c>
      <c r="D1" s="2" t="s">
        <v>5</v>
      </c>
      <c r="E1" s="2" t="s">
        <v>2</v>
      </c>
      <c r="F1" s="2" t="s">
        <v>4</v>
      </c>
      <c r="G1" s="2" t="s">
        <v>3</v>
      </c>
      <c r="H1" s="2" t="s">
        <v>6</v>
      </c>
      <c r="I1" s="2" t="s">
        <v>3371</v>
      </c>
      <c r="J1" s="2" t="s">
        <v>3370</v>
      </c>
      <c r="K1" s="2" t="s">
        <v>3373</v>
      </c>
      <c r="L1" s="2" t="s">
        <v>3372</v>
      </c>
    </row>
    <row r="2" spans="1:12" x14ac:dyDescent="0.2">
      <c r="A2" s="1" t="s">
        <v>7</v>
      </c>
      <c r="B2" s="1" t="s">
        <v>8</v>
      </c>
      <c r="C2" s="1" t="s">
        <v>3391</v>
      </c>
      <c r="E2" s="1" t="s">
        <v>9</v>
      </c>
      <c r="F2" s="1" t="s">
        <v>10</v>
      </c>
      <c r="I2" s="1" t="s">
        <v>11</v>
      </c>
      <c r="J2" s="1" t="s">
        <v>3393</v>
      </c>
    </row>
    <row r="3" spans="1:12" x14ac:dyDescent="0.2">
      <c r="A3" s="1" t="s">
        <v>12</v>
      </c>
      <c r="B3" s="1" t="s">
        <v>8</v>
      </c>
      <c r="C3" s="1" t="s">
        <v>3391</v>
      </c>
      <c r="E3" s="1" t="s">
        <v>13</v>
      </c>
      <c r="F3" s="1" t="s">
        <v>10</v>
      </c>
      <c r="I3" s="1" t="s">
        <v>11</v>
      </c>
      <c r="J3" s="1" t="s">
        <v>3393</v>
      </c>
    </row>
    <row r="4" spans="1:12" x14ac:dyDescent="0.2">
      <c r="A4" s="1" t="s">
        <v>14</v>
      </c>
      <c r="B4" s="1" t="s">
        <v>8</v>
      </c>
      <c r="C4" s="1" t="s">
        <v>3391</v>
      </c>
      <c r="E4" s="1" t="s">
        <v>15</v>
      </c>
      <c r="F4" s="1" t="s">
        <v>10</v>
      </c>
      <c r="I4" s="1" t="s">
        <v>11</v>
      </c>
      <c r="J4" s="1" t="s">
        <v>3393</v>
      </c>
    </row>
    <row r="5" spans="1:12" x14ac:dyDescent="0.2">
      <c r="A5" s="1" t="s">
        <v>16</v>
      </c>
      <c r="B5" s="1" t="s">
        <v>8</v>
      </c>
      <c r="C5" s="1" t="s">
        <v>3391</v>
      </c>
      <c r="E5" s="1" t="s">
        <v>17</v>
      </c>
      <c r="F5" s="1" t="s">
        <v>10</v>
      </c>
      <c r="I5" s="1" t="s">
        <v>11</v>
      </c>
      <c r="J5" s="1" t="s">
        <v>3393</v>
      </c>
    </row>
    <row r="6" spans="1:12" x14ac:dyDescent="0.2">
      <c r="A6" s="1" t="s">
        <v>18</v>
      </c>
      <c r="B6" s="1" t="s">
        <v>8</v>
      </c>
      <c r="C6" s="1" t="s">
        <v>3391</v>
      </c>
      <c r="E6" s="1" t="s">
        <v>19</v>
      </c>
      <c r="F6" s="1" t="s">
        <v>10</v>
      </c>
      <c r="I6" s="1" t="s">
        <v>11</v>
      </c>
      <c r="J6" s="1" t="s">
        <v>3393</v>
      </c>
    </row>
    <row r="7" spans="1:12" x14ac:dyDescent="0.2">
      <c r="A7" s="1" t="s">
        <v>20</v>
      </c>
      <c r="B7" s="1" t="s">
        <v>8</v>
      </c>
      <c r="C7" s="1" t="s">
        <v>3391</v>
      </c>
      <c r="E7" s="1" t="s">
        <v>21</v>
      </c>
      <c r="F7" s="1" t="s">
        <v>10</v>
      </c>
      <c r="I7" s="1" t="s">
        <v>11</v>
      </c>
      <c r="J7" s="1" t="s">
        <v>3393</v>
      </c>
    </row>
    <row r="8" spans="1:12" x14ac:dyDescent="0.2">
      <c r="A8" s="1" t="s">
        <v>22</v>
      </c>
      <c r="B8" s="1" t="s">
        <v>8</v>
      </c>
      <c r="C8" s="1" t="s">
        <v>3391</v>
      </c>
      <c r="E8" s="1" t="s">
        <v>23</v>
      </c>
      <c r="F8" s="1" t="s">
        <v>10</v>
      </c>
      <c r="I8" s="1" t="s">
        <v>11</v>
      </c>
      <c r="J8" s="1" t="s">
        <v>3393</v>
      </c>
    </row>
    <row r="9" spans="1:12" x14ac:dyDescent="0.2">
      <c r="A9" s="1" t="s">
        <v>24</v>
      </c>
      <c r="B9" s="1" t="s">
        <v>8</v>
      </c>
      <c r="C9" s="1" t="s">
        <v>3391</v>
      </c>
      <c r="E9" s="1" t="s">
        <v>25</v>
      </c>
      <c r="F9" s="1" t="s">
        <v>10</v>
      </c>
      <c r="I9" s="1" t="s">
        <v>11</v>
      </c>
      <c r="J9" s="1" t="s">
        <v>3393</v>
      </c>
    </row>
    <row r="10" spans="1:12" x14ac:dyDescent="0.2">
      <c r="A10" s="1" t="s">
        <v>26</v>
      </c>
      <c r="B10" s="1" t="s">
        <v>8</v>
      </c>
      <c r="C10" s="1" t="s">
        <v>3391</v>
      </c>
      <c r="E10" s="1" t="s">
        <v>27</v>
      </c>
      <c r="F10" s="1" t="s">
        <v>10</v>
      </c>
      <c r="I10" s="1" t="s">
        <v>11</v>
      </c>
      <c r="J10" s="1" t="s">
        <v>3393</v>
      </c>
    </row>
    <row r="11" spans="1:12" x14ac:dyDescent="0.2">
      <c r="A11" s="1" t="s">
        <v>28</v>
      </c>
      <c r="B11" s="1" t="s">
        <v>8</v>
      </c>
      <c r="C11" s="1" t="s">
        <v>3391</v>
      </c>
      <c r="E11" s="1" t="s">
        <v>29</v>
      </c>
      <c r="F11" s="1" t="s">
        <v>10</v>
      </c>
      <c r="I11" s="1" t="s">
        <v>11</v>
      </c>
      <c r="J11" s="1" t="s">
        <v>3393</v>
      </c>
    </row>
    <row r="12" spans="1:12" x14ac:dyDescent="0.2">
      <c r="A12" s="1" t="s">
        <v>30</v>
      </c>
      <c r="B12" s="1" t="s">
        <v>8</v>
      </c>
      <c r="C12" s="1" t="s">
        <v>3391</v>
      </c>
      <c r="E12" s="1" t="s">
        <v>31</v>
      </c>
      <c r="F12" s="1" t="s">
        <v>10</v>
      </c>
      <c r="I12" s="1" t="s">
        <v>11</v>
      </c>
      <c r="J12" s="1" t="s">
        <v>3393</v>
      </c>
    </row>
    <row r="13" spans="1:12" x14ac:dyDescent="0.2">
      <c r="A13" s="1" t="s">
        <v>32</v>
      </c>
      <c r="B13" s="1" t="s">
        <v>8</v>
      </c>
      <c r="C13" s="1" t="s">
        <v>3391</v>
      </c>
      <c r="E13" s="1" t="s">
        <v>33</v>
      </c>
      <c r="F13" s="1" t="s">
        <v>10</v>
      </c>
      <c r="I13" s="1" t="s">
        <v>11</v>
      </c>
      <c r="J13" s="1" t="s">
        <v>3393</v>
      </c>
    </row>
    <row r="14" spans="1:12" x14ac:dyDescent="0.2">
      <c r="A14" s="1" t="s">
        <v>34</v>
      </c>
      <c r="B14" s="1" t="s">
        <v>8</v>
      </c>
      <c r="C14" s="1" t="s">
        <v>3391</v>
      </c>
      <c r="E14" s="1" t="s">
        <v>35</v>
      </c>
      <c r="F14" s="1" t="s">
        <v>10</v>
      </c>
      <c r="I14" s="1" t="s">
        <v>11</v>
      </c>
      <c r="J14" s="1" t="s">
        <v>3393</v>
      </c>
    </row>
    <row r="15" spans="1:12" x14ac:dyDescent="0.2">
      <c r="A15" s="1" t="s">
        <v>36</v>
      </c>
      <c r="B15" s="1" t="s">
        <v>8</v>
      </c>
      <c r="C15" s="1" t="s">
        <v>3391</v>
      </c>
      <c r="E15" s="1" t="s">
        <v>37</v>
      </c>
      <c r="F15" s="1" t="s">
        <v>10</v>
      </c>
      <c r="I15" s="1" t="s">
        <v>11</v>
      </c>
      <c r="J15" s="1" t="s">
        <v>3393</v>
      </c>
    </row>
    <row r="16" spans="1:12" x14ac:dyDescent="0.2">
      <c r="A16" s="1" t="s">
        <v>38</v>
      </c>
      <c r="B16" s="1" t="s">
        <v>8</v>
      </c>
      <c r="C16" s="1" t="s">
        <v>3391</v>
      </c>
      <c r="E16" s="1" t="s">
        <v>39</v>
      </c>
      <c r="F16" s="1" t="s">
        <v>10</v>
      </c>
      <c r="I16" s="1" t="s">
        <v>11</v>
      </c>
      <c r="J16" s="1" t="s">
        <v>3393</v>
      </c>
    </row>
    <row r="17" spans="1:12" x14ac:dyDescent="0.2">
      <c r="A17" s="1" t="s">
        <v>70</v>
      </c>
      <c r="B17" s="1" t="s">
        <v>8</v>
      </c>
      <c r="C17" s="1" t="s">
        <v>3392</v>
      </c>
      <c r="E17" s="1" t="s">
        <v>71</v>
      </c>
      <c r="F17" s="1" t="s">
        <v>43</v>
      </c>
      <c r="G17" s="1" t="s">
        <v>73</v>
      </c>
      <c r="H17" s="1" t="s">
        <v>73</v>
      </c>
      <c r="I17" s="1" t="s">
        <v>74</v>
      </c>
      <c r="J17" s="1" t="s">
        <v>3394</v>
      </c>
      <c r="K17" s="1" t="s">
        <v>72</v>
      </c>
      <c r="L17" s="1" t="s">
        <v>72</v>
      </c>
    </row>
    <row r="18" spans="1:12" x14ac:dyDescent="0.2">
      <c r="A18" s="1" t="s">
        <v>75</v>
      </c>
      <c r="B18" s="1" t="s">
        <v>8</v>
      </c>
      <c r="C18" s="1" t="s">
        <v>3392</v>
      </c>
      <c r="E18" s="1" t="s">
        <v>76</v>
      </c>
      <c r="F18" s="1" t="s">
        <v>43</v>
      </c>
      <c r="G18" s="1" t="s">
        <v>77</v>
      </c>
      <c r="H18" s="1" t="s">
        <v>78</v>
      </c>
      <c r="I18" s="1" t="s">
        <v>74</v>
      </c>
      <c r="J18" s="1" t="s">
        <v>3394</v>
      </c>
      <c r="K18" s="1" t="s">
        <v>72</v>
      </c>
      <c r="L18" s="1" t="s">
        <v>72</v>
      </c>
    </row>
    <row r="19" spans="1:12" x14ac:dyDescent="0.2">
      <c r="A19" s="1" t="s">
        <v>79</v>
      </c>
      <c r="B19" s="1" t="s">
        <v>8</v>
      </c>
      <c r="C19" s="1" t="s">
        <v>3392</v>
      </c>
      <c r="E19" s="1" t="s">
        <v>80</v>
      </c>
      <c r="F19" s="1" t="s">
        <v>49</v>
      </c>
      <c r="I19" s="1" t="s">
        <v>11</v>
      </c>
      <c r="J19" s="1" t="s">
        <v>3393</v>
      </c>
    </row>
    <row r="20" spans="1:12" x14ac:dyDescent="0.2">
      <c r="A20" s="1" t="s">
        <v>82</v>
      </c>
      <c r="B20" s="1" t="s">
        <v>8</v>
      </c>
      <c r="C20" s="1" t="s">
        <v>3392</v>
      </c>
      <c r="E20" s="1" t="s">
        <v>83</v>
      </c>
      <c r="F20" s="1" t="s">
        <v>49</v>
      </c>
      <c r="I20" s="1" t="s">
        <v>11</v>
      </c>
      <c r="J20" s="1" t="s">
        <v>3393</v>
      </c>
    </row>
    <row r="21" spans="1:12" x14ac:dyDescent="0.2">
      <c r="A21" s="1" t="s">
        <v>84</v>
      </c>
      <c r="B21" s="1" t="s">
        <v>8</v>
      </c>
      <c r="C21" s="1" t="s">
        <v>3392</v>
      </c>
      <c r="E21" s="1" t="s">
        <v>85</v>
      </c>
      <c r="F21" s="1" t="s">
        <v>86</v>
      </c>
      <c r="I21" s="1" t="s">
        <v>11</v>
      </c>
      <c r="J21" s="1" t="s">
        <v>3393</v>
      </c>
    </row>
    <row r="22" spans="1:12" x14ac:dyDescent="0.2">
      <c r="A22" s="1" t="s">
        <v>87</v>
      </c>
      <c r="B22" s="1" t="s">
        <v>8</v>
      </c>
      <c r="C22" s="1" t="s">
        <v>3392</v>
      </c>
      <c r="E22" s="1" t="s">
        <v>88</v>
      </c>
      <c r="F22" s="1" t="s">
        <v>86</v>
      </c>
      <c r="I22" s="1" t="s">
        <v>11</v>
      </c>
      <c r="J22" s="1" t="s">
        <v>3393</v>
      </c>
    </row>
    <row r="23" spans="1:12" x14ac:dyDescent="0.2">
      <c r="A23" s="1" t="s">
        <v>93</v>
      </c>
      <c r="B23" s="1" t="s">
        <v>8</v>
      </c>
      <c r="C23" s="1" t="s">
        <v>3392</v>
      </c>
      <c r="E23" s="1" t="s">
        <v>94</v>
      </c>
      <c r="F23" s="1" t="s">
        <v>86</v>
      </c>
      <c r="I23" s="1" t="s">
        <v>11</v>
      </c>
      <c r="J23" s="1" t="s">
        <v>3393</v>
      </c>
    </row>
    <row r="24" spans="1:12" x14ac:dyDescent="0.2">
      <c r="A24" s="1" t="s">
        <v>95</v>
      </c>
      <c r="B24" s="1" t="s">
        <v>8</v>
      </c>
      <c r="C24" s="1" t="s">
        <v>3392</v>
      </c>
      <c r="E24" s="1" t="s">
        <v>96</v>
      </c>
      <c r="F24" s="1" t="s">
        <v>86</v>
      </c>
      <c r="I24" s="1" t="s">
        <v>11</v>
      </c>
      <c r="J24" s="1" t="s">
        <v>3393</v>
      </c>
    </row>
    <row r="25" spans="1:12" x14ac:dyDescent="0.2">
      <c r="A25" s="1" t="s">
        <v>97</v>
      </c>
      <c r="B25" s="1" t="s">
        <v>8</v>
      </c>
      <c r="C25" s="1" t="s">
        <v>3392</v>
      </c>
      <c r="E25" s="1" t="s">
        <v>98</v>
      </c>
      <c r="F25" s="1" t="s">
        <v>86</v>
      </c>
      <c r="I25" s="1" t="s">
        <v>11</v>
      </c>
      <c r="J25" s="1" t="s">
        <v>3393</v>
      </c>
    </row>
    <row r="26" spans="1:12" x14ac:dyDescent="0.2">
      <c r="A26" s="1" t="s">
        <v>99</v>
      </c>
      <c r="B26" s="1" t="s">
        <v>8</v>
      </c>
      <c r="C26" s="1" t="s">
        <v>3392</v>
      </c>
      <c r="E26" s="1" t="s">
        <v>100</v>
      </c>
      <c r="F26" s="1" t="s">
        <v>86</v>
      </c>
      <c r="I26" s="121" t="s">
        <v>74</v>
      </c>
      <c r="J26" s="121" t="s">
        <v>3394</v>
      </c>
      <c r="K26" s="3">
        <v>46293</v>
      </c>
    </row>
    <row r="27" spans="1:12" x14ac:dyDescent="0.2">
      <c r="A27" s="1" t="s">
        <v>484</v>
      </c>
      <c r="B27" s="1" t="s">
        <v>41</v>
      </c>
      <c r="C27" s="1" t="s">
        <v>3392</v>
      </c>
      <c r="E27" s="1" t="s">
        <v>485</v>
      </c>
      <c r="F27" s="1" t="s">
        <v>43</v>
      </c>
      <c r="I27" s="1" t="s">
        <v>11</v>
      </c>
      <c r="J27" s="1" t="s">
        <v>3393</v>
      </c>
    </row>
    <row r="28" spans="1:12" x14ac:dyDescent="0.2">
      <c r="A28" s="1" t="s">
        <v>486</v>
      </c>
      <c r="B28" s="1" t="s">
        <v>41</v>
      </c>
      <c r="C28" s="1" t="s">
        <v>3392</v>
      </c>
      <c r="E28" s="1" t="s">
        <v>487</v>
      </c>
      <c r="F28" s="1" t="s">
        <v>43</v>
      </c>
      <c r="I28" s="1" t="s">
        <v>11</v>
      </c>
      <c r="J28" s="1" t="s">
        <v>3393</v>
      </c>
    </row>
    <row r="29" spans="1:12" x14ac:dyDescent="0.2">
      <c r="A29" s="1" t="s">
        <v>931</v>
      </c>
      <c r="B29" s="1" t="s">
        <v>41</v>
      </c>
      <c r="C29" s="1" t="s">
        <v>3392</v>
      </c>
      <c r="E29" s="1" t="s">
        <v>932</v>
      </c>
      <c r="F29" s="1" t="s">
        <v>49</v>
      </c>
      <c r="I29" s="1" t="s">
        <v>11</v>
      </c>
      <c r="J29" s="1" t="s">
        <v>3393</v>
      </c>
    </row>
    <row r="30" spans="1:12" x14ac:dyDescent="0.2">
      <c r="A30" s="1" t="s">
        <v>933</v>
      </c>
      <c r="B30" s="1" t="s">
        <v>41</v>
      </c>
      <c r="C30" s="1" t="s">
        <v>3392</v>
      </c>
      <c r="E30" s="1" t="s">
        <v>934</v>
      </c>
      <c r="F30" s="1" t="s">
        <v>49</v>
      </c>
      <c r="I30" s="1" t="s">
        <v>11</v>
      </c>
      <c r="J30" s="1" t="s">
        <v>3393</v>
      </c>
    </row>
    <row r="31" spans="1:12" x14ac:dyDescent="0.2">
      <c r="A31" s="1" t="s">
        <v>935</v>
      </c>
      <c r="B31" s="1" t="s">
        <v>41</v>
      </c>
      <c r="C31" s="1" t="s">
        <v>3392</v>
      </c>
      <c r="E31" s="1" t="s">
        <v>936</v>
      </c>
      <c r="F31" s="1" t="s">
        <v>49</v>
      </c>
      <c r="I31" s="1" t="s">
        <v>11</v>
      </c>
      <c r="J31" s="1" t="s">
        <v>3393</v>
      </c>
    </row>
    <row r="32" spans="1:12" x14ac:dyDescent="0.2">
      <c r="A32" s="1" t="s">
        <v>937</v>
      </c>
      <c r="B32" s="1" t="s">
        <v>41</v>
      </c>
      <c r="C32" s="1" t="s">
        <v>3392</v>
      </c>
      <c r="E32" s="1" t="s">
        <v>938</v>
      </c>
      <c r="F32" s="1" t="s">
        <v>49</v>
      </c>
      <c r="I32" s="1" t="s">
        <v>11</v>
      </c>
      <c r="J32" s="1" t="s">
        <v>3393</v>
      </c>
    </row>
    <row r="33" spans="1:10" x14ac:dyDescent="0.2">
      <c r="A33" s="1" t="s">
        <v>939</v>
      </c>
      <c r="B33" s="1" t="s">
        <v>41</v>
      </c>
      <c r="C33" s="1" t="s">
        <v>3392</v>
      </c>
      <c r="E33" s="1" t="s">
        <v>940</v>
      </c>
      <c r="F33" s="1" t="s">
        <v>49</v>
      </c>
      <c r="I33" s="1" t="s">
        <v>11</v>
      </c>
      <c r="J33" s="1" t="s">
        <v>3393</v>
      </c>
    </row>
    <row r="34" spans="1:10" x14ac:dyDescent="0.2">
      <c r="A34" s="1" t="s">
        <v>941</v>
      </c>
      <c r="B34" s="1" t="s">
        <v>41</v>
      </c>
      <c r="C34" s="1" t="s">
        <v>3392</v>
      </c>
      <c r="E34" s="1" t="s">
        <v>942</v>
      </c>
      <c r="F34" s="1" t="s">
        <v>49</v>
      </c>
      <c r="I34" s="1" t="s">
        <v>11</v>
      </c>
      <c r="J34" s="1" t="s">
        <v>3393</v>
      </c>
    </row>
    <row r="35" spans="1:10" x14ac:dyDescent="0.2">
      <c r="A35" s="1" t="s">
        <v>943</v>
      </c>
      <c r="B35" s="1" t="s">
        <v>41</v>
      </c>
      <c r="C35" s="1" t="s">
        <v>3392</v>
      </c>
      <c r="E35" s="1" t="s">
        <v>944</v>
      </c>
      <c r="F35" s="1" t="s">
        <v>49</v>
      </c>
      <c r="I35" s="1" t="s">
        <v>11</v>
      </c>
      <c r="J35" s="1" t="s">
        <v>3393</v>
      </c>
    </row>
    <row r="36" spans="1:10" x14ac:dyDescent="0.2">
      <c r="A36" s="1" t="s">
        <v>945</v>
      </c>
      <c r="B36" s="1" t="s">
        <v>41</v>
      </c>
      <c r="C36" s="1" t="s">
        <v>3392</v>
      </c>
      <c r="E36" s="1" t="s">
        <v>946</v>
      </c>
      <c r="F36" s="1" t="s">
        <v>49</v>
      </c>
      <c r="I36" s="1" t="s">
        <v>11</v>
      </c>
      <c r="J36" s="1" t="s">
        <v>3393</v>
      </c>
    </row>
    <row r="37" spans="1:10" x14ac:dyDescent="0.2">
      <c r="A37" s="1" t="s">
        <v>947</v>
      </c>
      <c r="B37" s="1" t="s">
        <v>41</v>
      </c>
      <c r="C37" s="1" t="s">
        <v>3392</v>
      </c>
      <c r="E37" s="1" t="s">
        <v>948</v>
      </c>
      <c r="F37" s="1" t="s">
        <v>49</v>
      </c>
      <c r="I37" s="1" t="s">
        <v>11</v>
      </c>
      <c r="J37" s="1" t="s">
        <v>3393</v>
      </c>
    </row>
    <row r="38" spans="1:10" x14ac:dyDescent="0.2">
      <c r="A38" s="1" t="s">
        <v>949</v>
      </c>
      <c r="B38" s="1" t="s">
        <v>41</v>
      </c>
      <c r="C38" s="1" t="s">
        <v>3392</v>
      </c>
      <c r="E38" s="1" t="s">
        <v>950</v>
      </c>
      <c r="F38" s="1" t="s">
        <v>49</v>
      </c>
      <c r="I38" s="1" t="s">
        <v>11</v>
      </c>
      <c r="J38" s="1" t="s">
        <v>3393</v>
      </c>
    </row>
    <row r="39" spans="1:10" x14ac:dyDescent="0.2">
      <c r="A39" s="1" t="s">
        <v>951</v>
      </c>
      <c r="B39" s="1" t="s">
        <v>41</v>
      </c>
      <c r="C39" s="1" t="s">
        <v>3392</v>
      </c>
      <c r="E39" s="1" t="s">
        <v>952</v>
      </c>
      <c r="F39" s="1" t="s">
        <v>49</v>
      </c>
      <c r="I39" s="1" t="s">
        <v>11</v>
      </c>
      <c r="J39" s="1" t="s">
        <v>3393</v>
      </c>
    </row>
    <row r="40" spans="1:10" x14ac:dyDescent="0.2">
      <c r="A40" s="1" t="s">
        <v>953</v>
      </c>
      <c r="B40" s="1" t="s">
        <v>41</v>
      </c>
      <c r="C40" s="1" t="s">
        <v>3392</v>
      </c>
      <c r="E40" s="1" t="s">
        <v>954</v>
      </c>
      <c r="F40" s="1" t="s">
        <v>49</v>
      </c>
      <c r="I40" s="1" t="s">
        <v>11</v>
      </c>
      <c r="J40" s="1" t="s">
        <v>3393</v>
      </c>
    </row>
    <row r="41" spans="1:10" x14ac:dyDescent="0.2">
      <c r="A41" s="1" t="s">
        <v>955</v>
      </c>
      <c r="B41" s="1" t="s">
        <v>41</v>
      </c>
      <c r="C41" s="1" t="s">
        <v>3392</v>
      </c>
      <c r="E41" s="1" t="s">
        <v>956</v>
      </c>
      <c r="F41" s="1" t="s">
        <v>49</v>
      </c>
      <c r="I41" s="1" t="s">
        <v>11</v>
      </c>
      <c r="J41" s="1" t="s">
        <v>3393</v>
      </c>
    </row>
    <row r="42" spans="1:10" x14ac:dyDescent="0.2">
      <c r="A42" s="1" t="s">
        <v>957</v>
      </c>
      <c r="B42" s="1" t="s">
        <v>41</v>
      </c>
      <c r="C42" s="1" t="s">
        <v>3392</v>
      </c>
      <c r="E42" s="1" t="s">
        <v>958</v>
      </c>
      <c r="F42" s="1" t="s">
        <v>49</v>
      </c>
      <c r="I42" s="1" t="s">
        <v>11</v>
      </c>
      <c r="J42" s="1" t="s">
        <v>3393</v>
      </c>
    </row>
    <row r="43" spans="1:10" x14ac:dyDescent="0.2">
      <c r="A43" s="1" t="s">
        <v>959</v>
      </c>
      <c r="B43" s="1" t="s">
        <v>41</v>
      </c>
      <c r="C43" s="1" t="s">
        <v>3392</v>
      </c>
      <c r="E43" s="1" t="s">
        <v>960</v>
      </c>
      <c r="F43" s="1" t="s">
        <v>49</v>
      </c>
      <c r="I43" s="1" t="s">
        <v>11</v>
      </c>
      <c r="J43" s="1" t="s">
        <v>3393</v>
      </c>
    </row>
    <row r="44" spans="1:10" x14ac:dyDescent="0.2">
      <c r="A44" s="1" t="s">
        <v>961</v>
      </c>
      <c r="B44" s="1" t="s">
        <v>41</v>
      </c>
      <c r="C44" s="1" t="s">
        <v>3392</v>
      </c>
      <c r="E44" s="1" t="s">
        <v>962</v>
      </c>
      <c r="F44" s="1" t="s">
        <v>49</v>
      </c>
      <c r="I44" s="1" t="s">
        <v>11</v>
      </c>
      <c r="J44" s="1" t="s">
        <v>3393</v>
      </c>
    </row>
    <row r="45" spans="1:10" x14ac:dyDescent="0.2">
      <c r="A45" s="1" t="s">
        <v>963</v>
      </c>
      <c r="B45" s="1" t="s">
        <v>41</v>
      </c>
      <c r="C45" s="1" t="s">
        <v>3392</v>
      </c>
      <c r="E45" s="1" t="s">
        <v>964</v>
      </c>
      <c r="F45" s="1" t="s">
        <v>49</v>
      </c>
      <c r="I45" s="1" t="s">
        <v>11</v>
      </c>
      <c r="J45" s="1" t="s">
        <v>3393</v>
      </c>
    </row>
    <row r="46" spans="1:10" x14ac:dyDescent="0.2">
      <c r="A46" s="1" t="s">
        <v>965</v>
      </c>
      <c r="B46" s="1" t="s">
        <v>41</v>
      </c>
      <c r="C46" s="1" t="s">
        <v>3392</v>
      </c>
      <c r="E46" s="1" t="s">
        <v>966</v>
      </c>
      <c r="F46" s="1" t="s">
        <v>49</v>
      </c>
      <c r="I46" s="1" t="s">
        <v>11</v>
      </c>
      <c r="J46" s="1" t="s">
        <v>3393</v>
      </c>
    </row>
    <row r="47" spans="1:10" x14ac:dyDescent="0.2">
      <c r="A47" s="1" t="s">
        <v>967</v>
      </c>
      <c r="B47" s="1" t="s">
        <v>41</v>
      </c>
      <c r="C47" s="1" t="s">
        <v>3392</v>
      </c>
      <c r="E47" s="1" t="s">
        <v>968</v>
      </c>
      <c r="F47" s="1" t="s">
        <v>49</v>
      </c>
      <c r="I47" s="1" t="s">
        <v>11</v>
      </c>
      <c r="J47" s="1" t="s">
        <v>3393</v>
      </c>
    </row>
    <row r="48" spans="1:10" x14ac:dyDescent="0.2">
      <c r="A48" s="1" t="s">
        <v>969</v>
      </c>
      <c r="B48" s="1" t="s">
        <v>41</v>
      </c>
      <c r="C48" s="1" t="s">
        <v>3392</v>
      </c>
      <c r="E48" s="1" t="s">
        <v>970</v>
      </c>
      <c r="F48" s="1" t="s">
        <v>49</v>
      </c>
      <c r="I48" s="1" t="s">
        <v>11</v>
      </c>
      <c r="J48" s="1" t="s">
        <v>3393</v>
      </c>
    </row>
    <row r="49" spans="1:10" x14ac:dyDescent="0.2">
      <c r="A49" s="1" t="s">
        <v>971</v>
      </c>
      <c r="B49" s="1" t="s">
        <v>41</v>
      </c>
      <c r="C49" s="1" t="s">
        <v>3392</v>
      </c>
      <c r="E49" s="1" t="s">
        <v>972</v>
      </c>
      <c r="F49" s="1" t="s">
        <v>49</v>
      </c>
      <c r="I49" s="1" t="s">
        <v>11</v>
      </c>
      <c r="J49" s="1" t="s">
        <v>3393</v>
      </c>
    </row>
    <row r="50" spans="1:10" x14ac:dyDescent="0.2">
      <c r="A50" s="1" t="s">
        <v>973</v>
      </c>
      <c r="B50" s="1" t="s">
        <v>41</v>
      </c>
      <c r="C50" s="1" t="s">
        <v>3392</v>
      </c>
      <c r="E50" s="1" t="s">
        <v>974</v>
      </c>
      <c r="F50" s="1" t="s">
        <v>49</v>
      </c>
      <c r="I50" s="1" t="s">
        <v>11</v>
      </c>
      <c r="J50" s="1" t="s">
        <v>3393</v>
      </c>
    </row>
    <row r="51" spans="1:10" x14ac:dyDescent="0.2">
      <c r="A51" s="1" t="s">
        <v>975</v>
      </c>
      <c r="B51" s="1" t="s">
        <v>41</v>
      </c>
      <c r="C51" s="1" t="s">
        <v>3392</v>
      </c>
      <c r="E51" s="1" t="s">
        <v>976</v>
      </c>
      <c r="F51" s="1" t="s">
        <v>49</v>
      </c>
      <c r="I51" s="1" t="s">
        <v>11</v>
      </c>
      <c r="J51" s="1" t="s">
        <v>3393</v>
      </c>
    </row>
    <row r="52" spans="1:10" x14ac:dyDescent="0.2">
      <c r="A52" s="1" t="s">
        <v>977</v>
      </c>
      <c r="B52" s="1" t="s">
        <v>41</v>
      </c>
      <c r="C52" s="1" t="s">
        <v>3392</v>
      </c>
      <c r="E52" s="1" t="s">
        <v>978</v>
      </c>
      <c r="F52" s="1" t="s">
        <v>49</v>
      </c>
      <c r="I52" s="1" t="s">
        <v>11</v>
      </c>
      <c r="J52" s="1" t="s">
        <v>3393</v>
      </c>
    </row>
    <row r="53" spans="1:10" x14ac:dyDescent="0.2">
      <c r="A53" s="1" t="s">
        <v>979</v>
      </c>
      <c r="B53" s="1" t="s">
        <v>41</v>
      </c>
      <c r="C53" s="1" t="s">
        <v>3392</v>
      </c>
      <c r="E53" s="1" t="s">
        <v>980</v>
      </c>
      <c r="F53" s="1" t="s">
        <v>49</v>
      </c>
      <c r="I53" s="1" t="s">
        <v>11</v>
      </c>
      <c r="J53" s="1" t="s">
        <v>3393</v>
      </c>
    </row>
    <row r="54" spans="1:10" x14ac:dyDescent="0.2">
      <c r="A54" s="1" t="s">
        <v>981</v>
      </c>
      <c r="B54" s="1" t="s">
        <v>41</v>
      </c>
      <c r="C54" s="1" t="s">
        <v>3392</v>
      </c>
      <c r="E54" s="1" t="s">
        <v>982</v>
      </c>
      <c r="F54" s="1" t="s">
        <v>49</v>
      </c>
      <c r="I54" s="1" t="s">
        <v>11</v>
      </c>
      <c r="J54" s="1" t="s">
        <v>3393</v>
      </c>
    </row>
    <row r="55" spans="1:10" x14ac:dyDescent="0.2">
      <c r="A55" s="1" t="s">
        <v>983</v>
      </c>
      <c r="B55" s="1" t="s">
        <v>41</v>
      </c>
      <c r="C55" s="1" t="s">
        <v>3392</v>
      </c>
      <c r="E55" s="1" t="s">
        <v>984</v>
      </c>
      <c r="F55" s="1" t="s">
        <v>49</v>
      </c>
      <c r="I55" s="1" t="s">
        <v>11</v>
      </c>
      <c r="J55" s="1" t="s">
        <v>3393</v>
      </c>
    </row>
    <row r="56" spans="1:10" x14ac:dyDescent="0.2">
      <c r="A56" s="1" t="s">
        <v>985</v>
      </c>
      <c r="B56" s="1" t="s">
        <v>41</v>
      </c>
      <c r="C56" s="1" t="s">
        <v>3392</v>
      </c>
      <c r="E56" s="1" t="s">
        <v>986</v>
      </c>
      <c r="F56" s="1" t="s">
        <v>49</v>
      </c>
      <c r="I56" s="1" t="s">
        <v>11</v>
      </c>
      <c r="J56" s="1" t="s">
        <v>3393</v>
      </c>
    </row>
    <row r="57" spans="1:10" x14ac:dyDescent="0.2">
      <c r="A57" s="1" t="s">
        <v>987</v>
      </c>
      <c r="B57" s="1" t="s">
        <v>41</v>
      </c>
      <c r="C57" s="1" t="s">
        <v>3392</v>
      </c>
      <c r="E57" s="1" t="s">
        <v>988</v>
      </c>
      <c r="F57" s="1" t="s">
        <v>49</v>
      </c>
      <c r="I57" s="1" t="s">
        <v>11</v>
      </c>
      <c r="J57" s="1" t="s">
        <v>3393</v>
      </c>
    </row>
    <row r="58" spans="1:10" x14ac:dyDescent="0.2">
      <c r="A58" s="1" t="s">
        <v>989</v>
      </c>
      <c r="B58" s="1" t="s">
        <v>41</v>
      </c>
      <c r="C58" s="1" t="s">
        <v>3392</v>
      </c>
      <c r="E58" s="1" t="s">
        <v>990</v>
      </c>
      <c r="F58" s="1" t="s">
        <v>49</v>
      </c>
      <c r="I58" s="1" t="s">
        <v>11</v>
      </c>
      <c r="J58" s="1" t="s">
        <v>3393</v>
      </c>
    </row>
    <row r="59" spans="1:10" x14ac:dyDescent="0.2">
      <c r="A59" s="1" t="s">
        <v>991</v>
      </c>
      <c r="B59" s="1" t="s">
        <v>41</v>
      </c>
      <c r="C59" s="1" t="s">
        <v>3392</v>
      </c>
      <c r="E59" s="1" t="s">
        <v>992</v>
      </c>
      <c r="F59" s="1" t="s">
        <v>49</v>
      </c>
      <c r="I59" s="1" t="s">
        <v>11</v>
      </c>
      <c r="J59" s="1" t="s">
        <v>3393</v>
      </c>
    </row>
    <row r="60" spans="1:10" x14ac:dyDescent="0.2">
      <c r="A60" s="1" t="s">
        <v>993</v>
      </c>
      <c r="B60" s="1" t="s">
        <v>41</v>
      </c>
      <c r="C60" s="1" t="s">
        <v>3392</v>
      </c>
      <c r="E60" s="1" t="s">
        <v>994</v>
      </c>
      <c r="F60" s="1" t="s">
        <v>49</v>
      </c>
      <c r="I60" s="1" t="s">
        <v>11</v>
      </c>
      <c r="J60" s="1" t="s">
        <v>3393</v>
      </c>
    </row>
    <row r="61" spans="1:10" x14ac:dyDescent="0.2">
      <c r="A61" s="1" t="s">
        <v>995</v>
      </c>
      <c r="B61" s="1" t="s">
        <v>41</v>
      </c>
      <c r="C61" s="1" t="s">
        <v>3392</v>
      </c>
      <c r="E61" s="1" t="s">
        <v>996</v>
      </c>
      <c r="F61" s="1" t="s">
        <v>49</v>
      </c>
      <c r="I61" s="1" t="s">
        <v>11</v>
      </c>
      <c r="J61" s="1" t="s">
        <v>3393</v>
      </c>
    </row>
    <row r="62" spans="1:10" x14ac:dyDescent="0.2">
      <c r="A62" s="1" t="s">
        <v>997</v>
      </c>
      <c r="B62" s="1" t="s">
        <v>41</v>
      </c>
      <c r="C62" s="1" t="s">
        <v>3392</v>
      </c>
      <c r="E62" s="1" t="s">
        <v>998</v>
      </c>
      <c r="F62" s="1" t="s">
        <v>49</v>
      </c>
      <c r="I62" s="1" t="s">
        <v>11</v>
      </c>
      <c r="J62" s="1" t="s">
        <v>3393</v>
      </c>
    </row>
    <row r="63" spans="1:10" x14ac:dyDescent="0.2">
      <c r="A63" s="1" t="s">
        <v>999</v>
      </c>
      <c r="B63" s="1" t="s">
        <v>41</v>
      </c>
      <c r="C63" s="1" t="s">
        <v>3392</v>
      </c>
      <c r="E63" s="1" t="s">
        <v>1000</v>
      </c>
      <c r="F63" s="1" t="s">
        <v>49</v>
      </c>
      <c r="I63" s="1" t="s">
        <v>11</v>
      </c>
      <c r="J63" s="1" t="s">
        <v>3393</v>
      </c>
    </row>
    <row r="64" spans="1:10" x14ac:dyDescent="0.2">
      <c r="A64" s="1" t="s">
        <v>1001</v>
      </c>
      <c r="B64" s="1" t="s">
        <v>41</v>
      </c>
      <c r="C64" s="1" t="s">
        <v>3392</v>
      </c>
      <c r="E64" s="1" t="s">
        <v>1002</v>
      </c>
      <c r="F64" s="1" t="s">
        <v>49</v>
      </c>
      <c r="I64" s="1" t="s">
        <v>11</v>
      </c>
      <c r="J64" s="1" t="s">
        <v>3393</v>
      </c>
    </row>
    <row r="65" spans="1:10" x14ac:dyDescent="0.2">
      <c r="A65" s="1" t="s">
        <v>1003</v>
      </c>
      <c r="B65" s="1" t="s">
        <v>41</v>
      </c>
      <c r="C65" s="1" t="s">
        <v>3392</v>
      </c>
      <c r="E65" s="1" t="s">
        <v>1004</v>
      </c>
      <c r="F65" s="1" t="s">
        <v>49</v>
      </c>
      <c r="I65" s="1" t="s">
        <v>11</v>
      </c>
      <c r="J65" s="1" t="s">
        <v>3393</v>
      </c>
    </row>
    <row r="66" spans="1:10" x14ac:dyDescent="0.2">
      <c r="A66" s="1" t="s">
        <v>1005</v>
      </c>
      <c r="B66" s="1" t="s">
        <v>41</v>
      </c>
      <c r="C66" s="1" t="s">
        <v>3392</v>
      </c>
      <c r="E66" s="1" t="s">
        <v>1006</v>
      </c>
      <c r="F66" s="1" t="s">
        <v>49</v>
      </c>
      <c r="I66" s="1" t="s">
        <v>11</v>
      </c>
      <c r="J66" s="1" t="s">
        <v>3393</v>
      </c>
    </row>
    <row r="67" spans="1:10" x14ac:dyDescent="0.2">
      <c r="A67" s="1" t="s">
        <v>1007</v>
      </c>
      <c r="B67" s="1" t="s">
        <v>41</v>
      </c>
      <c r="C67" s="1" t="s">
        <v>3392</v>
      </c>
      <c r="E67" s="1" t="s">
        <v>1008</v>
      </c>
      <c r="F67" s="1" t="s">
        <v>49</v>
      </c>
      <c r="I67" s="1" t="s">
        <v>11</v>
      </c>
      <c r="J67" s="1" t="s">
        <v>3393</v>
      </c>
    </row>
    <row r="68" spans="1:10" x14ac:dyDescent="0.2">
      <c r="A68" s="1" t="s">
        <v>1009</v>
      </c>
      <c r="B68" s="1" t="s">
        <v>41</v>
      </c>
      <c r="C68" s="1" t="s">
        <v>3392</v>
      </c>
      <c r="E68" s="1" t="s">
        <v>1010</v>
      </c>
      <c r="F68" s="1" t="s">
        <v>49</v>
      </c>
      <c r="I68" s="1" t="s">
        <v>11</v>
      </c>
      <c r="J68" s="1" t="s">
        <v>3393</v>
      </c>
    </row>
    <row r="69" spans="1:10" x14ac:dyDescent="0.2">
      <c r="A69" s="1" t="s">
        <v>1011</v>
      </c>
      <c r="B69" s="1" t="s">
        <v>41</v>
      </c>
      <c r="C69" s="1" t="s">
        <v>3392</v>
      </c>
      <c r="E69" s="1" t="s">
        <v>1012</v>
      </c>
      <c r="F69" s="1" t="s">
        <v>49</v>
      </c>
      <c r="I69" s="1" t="s">
        <v>11</v>
      </c>
      <c r="J69" s="1" t="s">
        <v>3393</v>
      </c>
    </row>
    <row r="70" spans="1:10" x14ac:dyDescent="0.2">
      <c r="A70" s="1" t="s">
        <v>1013</v>
      </c>
      <c r="B70" s="1" t="s">
        <v>41</v>
      </c>
      <c r="C70" s="1" t="s">
        <v>3392</v>
      </c>
      <c r="E70" s="1" t="s">
        <v>1014</v>
      </c>
      <c r="F70" s="1" t="s">
        <v>49</v>
      </c>
      <c r="I70" s="1" t="s">
        <v>11</v>
      </c>
      <c r="J70" s="1" t="s">
        <v>3393</v>
      </c>
    </row>
    <row r="71" spans="1:10" x14ac:dyDescent="0.2">
      <c r="A71" s="1" t="s">
        <v>1015</v>
      </c>
      <c r="B71" s="1" t="s">
        <v>41</v>
      </c>
      <c r="C71" s="1" t="s">
        <v>3392</v>
      </c>
      <c r="E71" s="1" t="s">
        <v>1016</v>
      </c>
      <c r="F71" s="1" t="s">
        <v>49</v>
      </c>
      <c r="I71" s="1" t="s">
        <v>11</v>
      </c>
      <c r="J71" s="1" t="s">
        <v>3393</v>
      </c>
    </row>
    <row r="72" spans="1:10" x14ac:dyDescent="0.2">
      <c r="A72" s="1" t="s">
        <v>1017</v>
      </c>
      <c r="B72" s="1" t="s">
        <v>41</v>
      </c>
      <c r="C72" s="1" t="s">
        <v>3392</v>
      </c>
      <c r="E72" s="1" t="s">
        <v>1018</v>
      </c>
      <c r="F72" s="1" t="s">
        <v>49</v>
      </c>
      <c r="I72" s="1" t="s">
        <v>11</v>
      </c>
      <c r="J72" s="1" t="s">
        <v>3393</v>
      </c>
    </row>
    <row r="73" spans="1:10" x14ac:dyDescent="0.2">
      <c r="A73" s="1" t="s">
        <v>1019</v>
      </c>
      <c r="B73" s="1" t="s">
        <v>41</v>
      </c>
      <c r="C73" s="1" t="s">
        <v>3392</v>
      </c>
      <c r="E73" s="1" t="s">
        <v>1020</v>
      </c>
      <c r="F73" s="1" t="s">
        <v>49</v>
      </c>
      <c r="I73" s="1" t="s">
        <v>11</v>
      </c>
      <c r="J73" s="1" t="s">
        <v>3393</v>
      </c>
    </row>
    <row r="74" spans="1:10" x14ac:dyDescent="0.2">
      <c r="A74" s="1" t="s">
        <v>1021</v>
      </c>
      <c r="B74" s="1" t="s">
        <v>41</v>
      </c>
      <c r="C74" s="1" t="s">
        <v>3392</v>
      </c>
      <c r="E74" s="1" t="s">
        <v>1022</v>
      </c>
      <c r="F74" s="1" t="s">
        <v>49</v>
      </c>
      <c r="I74" s="1" t="s">
        <v>11</v>
      </c>
      <c r="J74" s="1" t="s">
        <v>3393</v>
      </c>
    </row>
    <row r="75" spans="1:10" x14ac:dyDescent="0.2">
      <c r="A75" s="1" t="s">
        <v>1023</v>
      </c>
      <c r="B75" s="1" t="s">
        <v>41</v>
      </c>
      <c r="C75" s="1" t="s">
        <v>3392</v>
      </c>
      <c r="E75" s="1" t="s">
        <v>1024</v>
      </c>
      <c r="F75" s="1" t="s">
        <v>49</v>
      </c>
      <c r="I75" s="1" t="s">
        <v>11</v>
      </c>
      <c r="J75" s="1" t="s">
        <v>3393</v>
      </c>
    </row>
    <row r="76" spans="1:10" x14ac:dyDescent="0.2">
      <c r="A76" s="1" t="s">
        <v>1025</v>
      </c>
      <c r="B76" s="1" t="s">
        <v>41</v>
      </c>
      <c r="C76" s="1" t="s">
        <v>3392</v>
      </c>
      <c r="E76" s="1" t="s">
        <v>1026</v>
      </c>
      <c r="F76" s="1" t="s">
        <v>49</v>
      </c>
      <c r="I76" s="1" t="s">
        <v>11</v>
      </c>
      <c r="J76" s="1" t="s">
        <v>3393</v>
      </c>
    </row>
    <row r="77" spans="1:10" x14ac:dyDescent="0.2">
      <c r="A77" s="1" t="s">
        <v>1027</v>
      </c>
      <c r="B77" s="1" t="s">
        <v>41</v>
      </c>
      <c r="C77" s="1" t="s">
        <v>3392</v>
      </c>
      <c r="E77" s="1" t="s">
        <v>1028</v>
      </c>
      <c r="F77" s="1" t="s">
        <v>49</v>
      </c>
      <c r="I77" s="1" t="s">
        <v>11</v>
      </c>
      <c r="J77" s="1" t="s">
        <v>3393</v>
      </c>
    </row>
    <row r="78" spans="1:10" x14ac:dyDescent="0.2">
      <c r="A78" s="1" t="s">
        <v>1029</v>
      </c>
      <c r="B78" s="1" t="s">
        <v>41</v>
      </c>
      <c r="C78" s="1" t="s">
        <v>3392</v>
      </c>
      <c r="E78" s="1" t="s">
        <v>1030</v>
      </c>
      <c r="F78" s="1" t="s">
        <v>49</v>
      </c>
      <c r="I78" s="1" t="s">
        <v>11</v>
      </c>
      <c r="J78" s="1" t="s">
        <v>3393</v>
      </c>
    </row>
    <row r="79" spans="1:10" x14ac:dyDescent="0.2">
      <c r="A79" s="1" t="s">
        <v>1031</v>
      </c>
      <c r="B79" s="1" t="s">
        <v>41</v>
      </c>
      <c r="C79" s="1" t="s">
        <v>3392</v>
      </c>
      <c r="E79" s="1" t="s">
        <v>1032</v>
      </c>
      <c r="F79" s="1" t="s">
        <v>49</v>
      </c>
      <c r="I79" s="1" t="s">
        <v>11</v>
      </c>
      <c r="J79" s="1" t="s">
        <v>3393</v>
      </c>
    </row>
    <row r="80" spans="1:10" x14ac:dyDescent="0.2">
      <c r="A80" s="1" t="s">
        <v>1033</v>
      </c>
      <c r="B80" s="1" t="s">
        <v>41</v>
      </c>
      <c r="C80" s="1" t="s">
        <v>3392</v>
      </c>
      <c r="E80" s="1" t="s">
        <v>1034</v>
      </c>
      <c r="F80" s="1" t="s">
        <v>49</v>
      </c>
      <c r="I80" s="1" t="s">
        <v>11</v>
      </c>
      <c r="J80" s="1" t="s">
        <v>3393</v>
      </c>
    </row>
    <row r="81" spans="1:10" x14ac:dyDescent="0.2">
      <c r="A81" s="1" t="s">
        <v>1035</v>
      </c>
      <c r="B81" s="1" t="s">
        <v>41</v>
      </c>
      <c r="C81" s="1" t="s">
        <v>3392</v>
      </c>
      <c r="E81" s="1" t="s">
        <v>1036</v>
      </c>
      <c r="F81" s="1" t="s">
        <v>49</v>
      </c>
      <c r="I81" s="1" t="s">
        <v>11</v>
      </c>
      <c r="J81" s="1" t="s">
        <v>3393</v>
      </c>
    </row>
    <row r="82" spans="1:10" x14ac:dyDescent="0.2">
      <c r="A82" s="1" t="s">
        <v>1037</v>
      </c>
      <c r="B82" s="1" t="s">
        <v>41</v>
      </c>
      <c r="C82" s="1" t="s">
        <v>3392</v>
      </c>
      <c r="E82" s="1" t="s">
        <v>1038</v>
      </c>
      <c r="F82" s="1" t="s">
        <v>49</v>
      </c>
      <c r="I82" s="1" t="s">
        <v>11</v>
      </c>
      <c r="J82" s="1" t="s">
        <v>3393</v>
      </c>
    </row>
    <row r="83" spans="1:10" x14ac:dyDescent="0.2">
      <c r="A83" s="1" t="s">
        <v>1039</v>
      </c>
      <c r="B83" s="1" t="s">
        <v>41</v>
      </c>
      <c r="C83" s="1" t="s">
        <v>3392</v>
      </c>
      <c r="E83" s="1" t="s">
        <v>1040</v>
      </c>
      <c r="F83" s="1" t="s">
        <v>49</v>
      </c>
      <c r="I83" s="1" t="s">
        <v>11</v>
      </c>
      <c r="J83" s="1" t="s">
        <v>3393</v>
      </c>
    </row>
    <row r="84" spans="1:10" x14ac:dyDescent="0.2">
      <c r="A84" s="1" t="s">
        <v>1041</v>
      </c>
      <c r="B84" s="1" t="s">
        <v>41</v>
      </c>
      <c r="C84" s="1" t="s">
        <v>3392</v>
      </c>
      <c r="E84" s="1" t="s">
        <v>1042</v>
      </c>
      <c r="F84" s="1" t="s">
        <v>49</v>
      </c>
      <c r="I84" s="1" t="s">
        <v>11</v>
      </c>
      <c r="J84" s="1" t="s">
        <v>3393</v>
      </c>
    </row>
    <row r="85" spans="1:10" x14ac:dyDescent="0.2">
      <c r="A85" s="1" t="s">
        <v>1043</v>
      </c>
      <c r="B85" s="1" t="s">
        <v>41</v>
      </c>
      <c r="C85" s="1" t="s">
        <v>3392</v>
      </c>
      <c r="E85" s="1" t="s">
        <v>1044</v>
      </c>
      <c r="F85" s="1" t="s">
        <v>49</v>
      </c>
      <c r="I85" s="1" t="s">
        <v>11</v>
      </c>
      <c r="J85" s="1" t="s">
        <v>3393</v>
      </c>
    </row>
    <row r="86" spans="1:10" x14ac:dyDescent="0.2">
      <c r="A86" s="1" t="s">
        <v>1045</v>
      </c>
      <c r="B86" s="1" t="s">
        <v>41</v>
      </c>
      <c r="C86" s="1" t="s">
        <v>3392</v>
      </c>
      <c r="E86" s="1" t="s">
        <v>1046</v>
      </c>
      <c r="F86" s="1" t="s">
        <v>49</v>
      </c>
      <c r="I86" s="1" t="s">
        <v>11</v>
      </c>
      <c r="J86" s="1" t="s">
        <v>3393</v>
      </c>
    </row>
    <row r="87" spans="1:10" x14ac:dyDescent="0.2">
      <c r="A87" s="1" t="s">
        <v>1047</v>
      </c>
      <c r="B87" s="1" t="s">
        <v>41</v>
      </c>
      <c r="C87" s="1" t="s">
        <v>3392</v>
      </c>
      <c r="E87" s="1" t="s">
        <v>1048</v>
      </c>
      <c r="F87" s="1" t="s">
        <v>49</v>
      </c>
      <c r="I87" s="1" t="s">
        <v>11</v>
      </c>
      <c r="J87" s="1" t="s">
        <v>3393</v>
      </c>
    </row>
    <row r="88" spans="1:10" x14ac:dyDescent="0.2">
      <c r="A88" s="1" t="s">
        <v>1049</v>
      </c>
      <c r="B88" s="1" t="s">
        <v>41</v>
      </c>
      <c r="C88" s="1" t="s">
        <v>3392</v>
      </c>
      <c r="E88" s="1" t="s">
        <v>1050</v>
      </c>
      <c r="F88" s="1" t="s">
        <v>49</v>
      </c>
      <c r="I88" s="1" t="s">
        <v>11</v>
      </c>
      <c r="J88" s="1" t="s">
        <v>3393</v>
      </c>
    </row>
    <row r="89" spans="1:10" x14ac:dyDescent="0.2">
      <c r="A89" s="1" t="s">
        <v>1051</v>
      </c>
      <c r="B89" s="1" t="s">
        <v>41</v>
      </c>
      <c r="C89" s="1" t="s">
        <v>3392</v>
      </c>
      <c r="E89" s="1" t="s">
        <v>1052</v>
      </c>
      <c r="F89" s="1" t="s">
        <v>49</v>
      </c>
      <c r="I89" s="1" t="s">
        <v>11</v>
      </c>
      <c r="J89" s="1" t="s">
        <v>3393</v>
      </c>
    </row>
    <row r="90" spans="1:10" x14ac:dyDescent="0.2">
      <c r="A90" s="1" t="s">
        <v>1053</v>
      </c>
      <c r="B90" s="1" t="s">
        <v>41</v>
      </c>
      <c r="C90" s="1" t="s">
        <v>3392</v>
      </c>
      <c r="E90" s="1" t="s">
        <v>1054</v>
      </c>
      <c r="F90" s="1" t="s">
        <v>49</v>
      </c>
      <c r="I90" s="1" t="s">
        <v>11</v>
      </c>
      <c r="J90" s="1" t="s">
        <v>3393</v>
      </c>
    </row>
    <row r="91" spans="1:10" x14ac:dyDescent="0.2">
      <c r="A91" s="1" t="s">
        <v>1055</v>
      </c>
      <c r="B91" s="1" t="s">
        <v>41</v>
      </c>
      <c r="C91" s="1" t="s">
        <v>3392</v>
      </c>
      <c r="E91" s="1" t="s">
        <v>1056</v>
      </c>
      <c r="F91" s="1" t="s">
        <v>49</v>
      </c>
      <c r="I91" s="1" t="s">
        <v>11</v>
      </c>
      <c r="J91" s="1" t="s">
        <v>3393</v>
      </c>
    </row>
    <row r="92" spans="1:10" x14ac:dyDescent="0.2">
      <c r="A92" s="1" t="s">
        <v>1057</v>
      </c>
      <c r="B92" s="1" t="s">
        <v>41</v>
      </c>
      <c r="C92" s="1" t="s">
        <v>3392</v>
      </c>
      <c r="E92" s="1" t="s">
        <v>1058</v>
      </c>
      <c r="F92" s="1" t="s">
        <v>49</v>
      </c>
      <c r="I92" s="1" t="s">
        <v>11</v>
      </c>
      <c r="J92" s="1" t="s">
        <v>3393</v>
      </c>
    </row>
    <row r="93" spans="1:10" x14ac:dyDescent="0.2">
      <c r="A93" s="1" t="s">
        <v>1059</v>
      </c>
      <c r="B93" s="1" t="s">
        <v>41</v>
      </c>
      <c r="C93" s="1" t="s">
        <v>3392</v>
      </c>
      <c r="E93" s="1" t="s">
        <v>1060</v>
      </c>
      <c r="F93" s="1" t="s">
        <v>49</v>
      </c>
      <c r="I93" s="1" t="s">
        <v>11</v>
      </c>
      <c r="J93" s="1" t="s">
        <v>3393</v>
      </c>
    </row>
    <row r="94" spans="1:10" x14ac:dyDescent="0.2">
      <c r="A94" s="1" t="s">
        <v>1061</v>
      </c>
      <c r="B94" s="1" t="s">
        <v>41</v>
      </c>
      <c r="C94" s="1" t="s">
        <v>3392</v>
      </c>
      <c r="E94" s="1" t="s">
        <v>1062</v>
      </c>
      <c r="F94" s="1" t="s">
        <v>49</v>
      </c>
      <c r="I94" s="1" t="s">
        <v>11</v>
      </c>
      <c r="J94" s="1" t="s">
        <v>3393</v>
      </c>
    </row>
    <row r="95" spans="1:10" x14ac:dyDescent="0.2">
      <c r="A95" s="1" t="s">
        <v>1063</v>
      </c>
      <c r="B95" s="1" t="s">
        <v>41</v>
      </c>
      <c r="C95" s="1" t="s">
        <v>3392</v>
      </c>
      <c r="E95" s="1" t="s">
        <v>1064</v>
      </c>
      <c r="F95" s="1" t="s">
        <v>49</v>
      </c>
      <c r="I95" s="1" t="s">
        <v>11</v>
      </c>
      <c r="J95" s="1" t="s">
        <v>3393</v>
      </c>
    </row>
    <row r="96" spans="1:10" x14ac:dyDescent="0.2">
      <c r="A96" s="1" t="s">
        <v>1065</v>
      </c>
      <c r="B96" s="1" t="s">
        <v>41</v>
      </c>
      <c r="C96" s="1" t="s">
        <v>3392</v>
      </c>
      <c r="E96" s="1" t="s">
        <v>1066</v>
      </c>
      <c r="F96" s="1" t="s">
        <v>49</v>
      </c>
      <c r="I96" s="1" t="s">
        <v>11</v>
      </c>
      <c r="J96" s="1" t="s">
        <v>3393</v>
      </c>
    </row>
    <row r="97" spans="1:10" x14ac:dyDescent="0.2">
      <c r="A97" s="1" t="s">
        <v>1067</v>
      </c>
      <c r="B97" s="1" t="s">
        <v>41</v>
      </c>
      <c r="C97" s="1" t="s">
        <v>3392</v>
      </c>
      <c r="E97" s="1" t="s">
        <v>1068</v>
      </c>
      <c r="F97" s="1" t="s">
        <v>49</v>
      </c>
      <c r="I97" s="1" t="s">
        <v>11</v>
      </c>
      <c r="J97" s="1" t="s">
        <v>3393</v>
      </c>
    </row>
    <row r="98" spans="1:10" x14ac:dyDescent="0.2">
      <c r="A98" s="1" t="s">
        <v>1069</v>
      </c>
      <c r="B98" s="1" t="s">
        <v>41</v>
      </c>
      <c r="C98" s="1" t="s">
        <v>3392</v>
      </c>
      <c r="E98" s="1" t="s">
        <v>1070</v>
      </c>
      <c r="F98" s="1" t="s">
        <v>49</v>
      </c>
      <c r="I98" s="1" t="s">
        <v>11</v>
      </c>
      <c r="J98" s="1" t="s">
        <v>3393</v>
      </c>
    </row>
    <row r="99" spans="1:10" x14ac:dyDescent="0.2">
      <c r="A99" s="1" t="s">
        <v>1071</v>
      </c>
      <c r="B99" s="1" t="s">
        <v>41</v>
      </c>
      <c r="C99" s="1" t="s">
        <v>3392</v>
      </c>
      <c r="E99" s="1" t="s">
        <v>1072</v>
      </c>
      <c r="F99" s="1" t="s">
        <v>49</v>
      </c>
      <c r="I99" s="1" t="s">
        <v>11</v>
      </c>
      <c r="J99" s="1" t="s">
        <v>3393</v>
      </c>
    </row>
    <row r="100" spans="1:10" x14ac:dyDescent="0.2">
      <c r="A100" s="1" t="s">
        <v>1073</v>
      </c>
      <c r="B100" s="1" t="s">
        <v>41</v>
      </c>
      <c r="C100" s="1" t="s">
        <v>3392</v>
      </c>
      <c r="E100" s="1" t="s">
        <v>1074</v>
      </c>
      <c r="F100" s="1" t="s">
        <v>49</v>
      </c>
      <c r="I100" s="1" t="s">
        <v>11</v>
      </c>
      <c r="J100" s="1" t="s">
        <v>3393</v>
      </c>
    </row>
    <row r="101" spans="1:10" x14ac:dyDescent="0.2">
      <c r="A101" s="1" t="s">
        <v>1075</v>
      </c>
      <c r="B101" s="1" t="s">
        <v>41</v>
      </c>
      <c r="C101" s="1" t="s">
        <v>3392</v>
      </c>
      <c r="E101" s="1" t="s">
        <v>1076</v>
      </c>
      <c r="F101" s="1" t="s">
        <v>49</v>
      </c>
      <c r="I101" s="1" t="s">
        <v>11</v>
      </c>
      <c r="J101" s="1" t="s">
        <v>3393</v>
      </c>
    </row>
    <row r="102" spans="1:10" x14ac:dyDescent="0.2">
      <c r="A102" s="1" t="s">
        <v>1077</v>
      </c>
      <c r="B102" s="1" t="s">
        <v>41</v>
      </c>
      <c r="C102" s="1" t="s">
        <v>3392</v>
      </c>
      <c r="E102" s="1" t="s">
        <v>1078</v>
      </c>
      <c r="F102" s="1" t="s">
        <v>49</v>
      </c>
      <c r="I102" s="1" t="s">
        <v>11</v>
      </c>
      <c r="J102" s="1" t="s">
        <v>3393</v>
      </c>
    </row>
    <row r="103" spans="1:10" x14ac:dyDescent="0.2">
      <c r="A103" s="1" t="s">
        <v>1079</v>
      </c>
      <c r="B103" s="1" t="s">
        <v>41</v>
      </c>
      <c r="C103" s="1" t="s">
        <v>3392</v>
      </c>
      <c r="E103" s="1" t="s">
        <v>1080</v>
      </c>
      <c r="F103" s="1" t="s">
        <v>49</v>
      </c>
      <c r="I103" s="1" t="s">
        <v>11</v>
      </c>
      <c r="J103" s="1" t="s">
        <v>3393</v>
      </c>
    </row>
    <row r="104" spans="1:10" x14ac:dyDescent="0.2">
      <c r="A104" s="1" t="s">
        <v>1081</v>
      </c>
      <c r="B104" s="1" t="s">
        <v>41</v>
      </c>
      <c r="C104" s="1" t="s">
        <v>3392</v>
      </c>
      <c r="E104" s="1" t="s">
        <v>1082</v>
      </c>
      <c r="F104" s="1" t="s">
        <v>49</v>
      </c>
      <c r="I104" s="1" t="s">
        <v>11</v>
      </c>
      <c r="J104" s="1" t="s">
        <v>3393</v>
      </c>
    </row>
    <row r="105" spans="1:10" x14ac:dyDescent="0.2">
      <c r="A105" s="1" t="s">
        <v>1083</v>
      </c>
      <c r="B105" s="1" t="s">
        <v>41</v>
      </c>
      <c r="C105" s="1" t="s">
        <v>3392</v>
      </c>
      <c r="E105" s="1" t="s">
        <v>1084</v>
      </c>
      <c r="F105" s="1" t="s">
        <v>49</v>
      </c>
      <c r="I105" s="1" t="s">
        <v>11</v>
      </c>
      <c r="J105" s="1" t="s">
        <v>3393</v>
      </c>
    </row>
    <row r="106" spans="1:10" x14ac:dyDescent="0.2">
      <c r="A106" s="1" t="s">
        <v>1085</v>
      </c>
      <c r="B106" s="1" t="s">
        <v>41</v>
      </c>
      <c r="C106" s="1" t="s">
        <v>3392</v>
      </c>
      <c r="E106" s="1" t="s">
        <v>1086</v>
      </c>
      <c r="F106" s="1" t="s">
        <v>49</v>
      </c>
      <c r="I106" s="1" t="s">
        <v>11</v>
      </c>
      <c r="J106" s="1" t="s">
        <v>3393</v>
      </c>
    </row>
    <row r="107" spans="1:10" x14ac:dyDescent="0.2">
      <c r="A107" s="1" t="s">
        <v>1087</v>
      </c>
      <c r="B107" s="1" t="s">
        <v>41</v>
      </c>
      <c r="C107" s="1" t="s">
        <v>3392</v>
      </c>
      <c r="E107" s="1" t="s">
        <v>1088</v>
      </c>
      <c r="F107" s="1" t="s">
        <v>49</v>
      </c>
      <c r="I107" s="1" t="s">
        <v>11</v>
      </c>
      <c r="J107" s="1" t="s">
        <v>3393</v>
      </c>
    </row>
    <row r="108" spans="1:10" x14ac:dyDescent="0.2">
      <c r="A108" s="1" t="s">
        <v>1089</v>
      </c>
      <c r="B108" s="1" t="s">
        <v>41</v>
      </c>
      <c r="C108" s="1" t="s">
        <v>3392</v>
      </c>
      <c r="E108" s="1" t="s">
        <v>1090</v>
      </c>
      <c r="F108" s="1" t="s">
        <v>49</v>
      </c>
      <c r="I108" s="1" t="s">
        <v>11</v>
      </c>
      <c r="J108" s="1" t="s">
        <v>3393</v>
      </c>
    </row>
    <row r="109" spans="1:10" x14ac:dyDescent="0.2">
      <c r="A109" s="1" t="s">
        <v>1091</v>
      </c>
      <c r="B109" s="1" t="s">
        <v>41</v>
      </c>
      <c r="C109" s="1" t="s">
        <v>3392</v>
      </c>
      <c r="E109" s="1" t="s">
        <v>1092</v>
      </c>
      <c r="F109" s="1" t="s">
        <v>49</v>
      </c>
      <c r="I109" s="1" t="s">
        <v>11</v>
      </c>
      <c r="J109" s="1" t="s">
        <v>3393</v>
      </c>
    </row>
    <row r="110" spans="1:10" x14ac:dyDescent="0.2">
      <c r="A110" s="1" t="s">
        <v>1093</v>
      </c>
      <c r="B110" s="1" t="s">
        <v>41</v>
      </c>
      <c r="C110" s="1" t="s">
        <v>3392</v>
      </c>
      <c r="E110" s="1" t="s">
        <v>1094</v>
      </c>
      <c r="F110" s="1" t="s">
        <v>49</v>
      </c>
      <c r="I110" s="1" t="s">
        <v>11</v>
      </c>
      <c r="J110" s="1" t="s">
        <v>3393</v>
      </c>
    </row>
    <row r="111" spans="1:10" x14ac:dyDescent="0.2">
      <c r="A111" s="1" t="s">
        <v>1095</v>
      </c>
      <c r="B111" s="1" t="s">
        <v>41</v>
      </c>
      <c r="C111" s="1" t="s">
        <v>3392</v>
      </c>
      <c r="E111" s="1" t="s">
        <v>1096</v>
      </c>
      <c r="F111" s="1" t="s">
        <v>49</v>
      </c>
      <c r="I111" s="1" t="s">
        <v>11</v>
      </c>
      <c r="J111" s="1" t="s">
        <v>3393</v>
      </c>
    </row>
    <row r="112" spans="1:10" x14ac:dyDescent="0.2">
      <c r="A112" s="1" t="s">
        <v>1097</v>
      </c>
      <c r="B112" s="1" t="s">
        <v>41</v>
      </c>
      <c r="C112" s="1" t="s">
        <v>3392</v>
      </c>
      <c r="E112" s="1" t="s">
        <v>1098</v>
      </c>
      <c r="F112" s="1" t="s">
        <v>49</v>
      </c>
      <c r="I112" s="1" t="s">
        <v>11</v>
      </c>
      <c r="J112" s="1" t="s">
        <v>3393</v>
      </c>
    </row>
    <row r="113" spans="1:10" x14ac:dyDescent="0.2">
      <c r="A113" s="1" t="s">
        <v>1099</v>
      </c>
      <c r="B113" s="1" t="s">
        <v>41</v>
      </c>
      <c r="C113" s="1" t="s">
        <v>3392</v>
      </c>
      <c r="E113" s="1" t="s">
        <v>1100</v>
      </c>
      <c r="F113" s="1" t="s">
        <v>49</v>
      </c>
      <c r="I113" s="1" t="s">
        <v>11</v>
      </c>
      <c r="J113" s="1" t="s">
        <v>3393</v>
      </c>
    </row>
    <row r="114" spans="1:10" x14ac:dyDescent="0.2">
      <c r="A114" s="1" t="s">
        <v>1101</v>
      </c>
      <c r="B114" s="1" t="s">
        <v>41</v>
      </c>
      <c r="C114" s="1" t="s">
        <v>3392</v>
      </c>
      <c r="E114" s="1" t="s">
        <v>1102</v>
      </c>
      <c r="F114" s="1" t="s">
        <v>49</v>
      </c>
      <c r="I114" s="1" t="s">
        <v>11</v>
      </c>
      <c r="J114" s="1" t="s">
        <v>3393</v>
      </c>
    </row>
    <row r="115" spans="1:10" x14ac:dyDescent="0.2">
      <c r="A115" s="1" t="s">
        <v>1103</v>
      </c>
      <c r="B115" s="1" t="s">
        <v>41</v>
      </c>
      <c r="C115" s="1" t="s">
        <v>3392</v>
      </c>
      <c r="E115" s="1" t="s">
        <v>1104</v>
      </c>
      <c r="F115" s="1" t="s">
        <v>49</v>
      </c>
      <c r="I115" s="1" t="s">
        <v>11</v>
      </c>
      <c r="J115" s="1" t="s">
        <v>3393</v>
      </c>
    </row>
    <row r="116" spans="1:10" x14ac:dyDescent="0.2">
      <c r="A116" s="1" t="s">
        <v>1105</v>
      </c>
      <c r="B116" s="1" t="s">
        <v>41</v>
      </c>
      <c r="C116" s="1" t="s">
        <v>3392</v>
      </c>
      <c r="E116" s="1" t="s">
        <v>1106</v>
      </c>
      <c r="F116" s="1" t="s">
        <v>49</v>
      </c>
      <c r="I116" s="1" t="s">
        <v>11</v>
      </c>
      <c r="J116" s="1" t="s">
        <v>3393</v>
      </c>
    </row>
    <row r="117" spans="1:10" x14ac:dyDescent="0.2">
      <c r="A117" s="1" t="s">
        <v>1123</v>
      </c>
      <c r="B117" s="1" t="s">
        <v>41</v>
      </c>
      <c r="C117" s="1" t="s">
        <v>3392</v>
      </c>
      <c r="E117" s="1" t="s">
        <v>1124</v>
      </c>
      <c r="F117" s="1" t="s">
        <v>49</v>
      </c>
      <c r="I117" s="1" t="s">
        <v>11</v>
      </c>
      <c r="J117" s="1" t="s">
        <v>3393</v>
      </c>
    </row>
    <row r="118" spans="1:10" x14ac:dyDescent="0.2">
      <c r="A118" s="1" t="s">
        <v>1125</v>
      </c>
      <c r="B118" s="1" t="s">
        <v>41</v>
      </c>
      <c r="C118" s="1" t="s">
        <v>3392</v>
      </c>
      <c r="E118" s="1" t="s">
        <v>1126</v>
      </c>
      <c r="F118" s="1" t="s">
        <v>49</v>
      </c>
      <c r="I118" s="1" t="s">
        <v>11</v>
      </c>
      <c r="J118" s="1" t="s">
        <v>3393</v>
      </c>
    </row>
    <row r="119" spans="1:10" x14ac:dyDescent="0.2">
      <c r="A119" s="1" t="s">
        <v>1127</v>
      </c>
      <c r="B119" s="1" t="s">
        <v>41</v>
      </c>
      <c r="C119" s="1" t="s">
        <v>3392</v>
      </c>
      <c r="E119" s="1" t="s">
        <v>1128</v>
      </c>
      <c r="F119" s="1" t="s">
        <v>49</v>
      </c>
      <c r="I119" s="1" t="s">
        <v>11</v>
      </c>
      <c r="J119" s="1" t="s">
        <v>3393</v>
      </c>
    </row>
    <row r="120" spans="1:10" x14ac:dyDescent="0.2">
      <c r="A120" s="1" t="s">
        <v>1129</v>
      </c>
      <c r="B120" s="1" t="s">
        <v>41</v>
      </c>
      <c r="C120" s="1" t="s">
        <v>3392</v>
      </c>
      <c r="E120" s="1" t="s">
        <v>1130</v>
      </c>
      <c r="F120" s="1" t="s">
        <v>49</v>
      </c>
      <c r="I120" s="1" t="s">
        <v>11</v>
      </c>
      <c r="J120" s="1" t="s">
        <v>3393</v>
      </c>
    </row>
    <row r="121" spans="1:10" x14ac:dyDescent="0.2">
      <c r="A121" s="1" t="s">
        <v>1131</v>
      </c>
      <c r="B121" s="1" t="s">
        <v>41</v>
      </c>
      <c r="C121" s="1" t="s">
        <v>3392</v>
      </c>
      <c r="E121" s="1" t="s">
        <v>1132</v>
      </c>
      <c r="F121" s="1" t="s">
        <v>49</v>
      </c>
      <c r="I121" s="1" t="s">
        <v>11</v>
      </c>
      <c r="J121" s="1" t="s">
        <v>3393</v>
      </c>
    </row>
    <row r="122" spans="1:10" x14ac:dyDescent="0.2">
      <c r="A122" s="1" t="s">
        <v>1133</v>
      </c>
      <c r="B122" s="1" t="s">
        <v>41</v>
      </c>
      <c r="C122" s="1" t="s">
        <v>3392</v>
      </c>
      <c r="E122" s="1" t="s">
        <v>1134</v>
      </c>
      <c r="F122" s="1" t="s">
        <v>49</v>
      </c>
      <c r="I122" s="1" t="s">
        <v>11</v>
      </c>
      <c r="J122" s="1" t="s">
        <v>3393</v>
      </c>
    </row>
    <row r="123" spans="1:10" x14ac:dyDescent="0.2">
      <c r="A123" s="1" t="s">
        <v>1135</v>
      </c>
      <c r="B123" s="1" t="s">
        <v>41</v>
      </c>
      <c r="C123" s="1" t="s">
        <v>3392</v>
      </c>
      <c r="E123" s="1" t="s">
        <v>1136</v>
      </c>
      <c r="F123" s="1" t="s">
        <v>49</v>
      </c>
      <c r="I123" s="1" t="s">
        <v>11</v>
      </c>
      <c r="J123" s="1" t="s">
        <v>3393</v>
      </c>
    </row>
    <row r="124" spans="1:10" x14ac:dyDescent="0.2">
      <c r="A124" s="1" t="s">
        <v>1137</v>
      </c>
      <c r="B124" s="1" t="s">
        <v>41</v>
      </c>
      <c r="C124" s="1" t="s">
        <v>3392</v>
      </c>
      <c r="E124" s="1" t="s">
        <v>1138</v>
      </c>
      <c r="F124" s="1" t="s">
        <v>49</v>
      </c>
      <c r="I124" s="1" t="s">
        <v>11</v>
      </c>
      <c r="J124" s="1" t="s">
        <v>3393</v>
      </c>
    </row>
    <row r="125" spans="1:10" x14ac:dyDescent="0.2">
      <c r="A125" s="1" t="s">
        <v>1139</v>
      </c>
      <c r="B125" s="1" t="s">
        <v>41</v>
      </c>
      <c r="C125" s="1" t="s">
        <v>3392</v>
      </c>
      <c r="E125" s="1" t="s">
        <v>1140</v>
      </c>
      <c r="F125" s="1" t="s">
        <v>49</v>
      </c>
      <c r="I125" s="1" t="s">
        <v>11</v>
      </c>
      <c r="J125" s="1" t="s">
        <v>3393</v>
      </c>
    </row>
    <row r="126" spans="1:10" x14ac:dyDescent="0.2">
      <c r="A126" s="1" t="s">
        <v>1145</v>
      </c>
      <c r="B126" s="1" t="s">
        <v>41</v>
      </c>
      <c r="C126" s="1" t="s">
        <v>3392</v>
      </c>
      <c r="E126" s="1" t="s">
        <v>1146</v>
      </c>
      <c r="F126" s="1" t="s">
        <v>49</v>
      </c>
      <c r="I126" s="1" t="s">
        <v>11</v>
      </c>
      <c r="J126" s="1" t="s">
        <v>3393</v>
      </c>
    </row>
    <row r="127" spans="1:10" x14ac:dyDescent="0.2">
      <c r="A127" s="1" t="s">
        <v>1147</v>
      </c>
      <c r="B127" s="1" t="s">
        <v>41</v>
      </c>
      <c r="C127" s="1" t="s">
        <v>3392</v>
      </c>
      <c r="E127" s="1" t="s">
        <v>1148</v>
      </c>
      <c r="F127" s="1" t="s">
        <v>49</v>
      </c>
      <c r="I127" s="1" t="s">
        <v>11</v>
      </c>
      <c r="J127" s="1" t="s">
        <v>3393</v>
      </c>
    </row>
    <row r="128" spans="1:10" x14ac:dyDescent="0.2">
      <c r="A128" s="1" t="s">
        <v>1149</v>
      </c>
      <c r="B128" s="1" t="s">
        <v>41</v>
      </c>
      <c r="C128" s="1" t="s">
        <v>3392</v>
      </c>
      <c r="E128" s="1" t="s">
        <v>1150</v>
      </c>
      <c r="F128" s="1" t="s">
        <v>49</v>
      </c>
      <c r="I128" s="1" t="s">
        <v>11</v>
      </c>
      <c r="J128" s="1" t="s">
        <v>3393</v>
      </c>
    </row>
    <row r="129" spans="1:10" x14ac:dyDescent="0.2">
      <c r="A129" s="1" t="s">
        <v>1151</v>
      </c>
      <c r="B129" s="1" t="s">
        <v>41</v>
      </c>
      <c r="C129" s="1" t="s">
        <v>3392</v>
      </c>
      <c r="E129" s="1" t="s">
        <v>1152</v>
      </c>
      <c r="F129" s="1" t="s">
        <v>49</v>
      </c>
      <c r="I129" s="1" t="s">
        <v>11</v>
      </c>
      <c r="J129" s="1" t="s">
        <v>3393</v>
      </c>
    </row>
    <row r="130" spans="1:10" x14ac:dyDescent="0.2">
      <c r="A130" s="1" t="s">
        <v>1153</v>
      </c>
      <c r="B130" s="1" t="s">
        <v>41</v>
      </c>
      <c r="C130" s="1" t="s">
        <v>3392</v>
      </c>
      <c r="E130" s="1" t="s">
        <v>1154</v>
      </c>
      <c r="F130" s="1" t="s">
        <v>49</v>
      </c>
      <c r="I130" s="1" t="s">
        <v>11</v>
      </c>
      <c r="J130" s="1" t="s">
        <v>3393</v>
      </c>
    </row>
    <row r="131" spans="1:10" x14ac:dyDescent="0.2">
      <c r="A131" s="1" t="s">
        <v>1155</v>
      </c>
      <c r="B131" s="1" t="s">
        <v>41</v>
      </c>
      <c r="C131" s="1" t="s">
        <v>3392</v>
      </c>
      <c r="E131" s="1" t="s">
        <v>1156</v>
      </c>
      <c r="F131" s="1" t="s">
        <v>49</v>
      </c>
      <c r="I131" s="1" t="s">
        <v>11</v>
      </c>
      <c r="J131" s="1" t="s">
        <v>3393</v>
      </c>
    </row>
    <row r="132" spans="1:10" x14ac:dyDescent="0.2">
      <c r="A132" s="1" t="s">
        <v>1157</v>
      </c>
      <c r="B132" s="1" t="s">
        <v>41</v>
      </c>
      <c r="C132" s="1" t="s">
        <v>3392</v>
      </c>
      <c r="E132" s="1" t="s">
        <v>1158</v>
      </c>
      <c r="F132" s="1" t="s">
        <v>49</v>
      </c>
      <c r="I132" s="1" t="s">
        <v>11</v>
      </c>
      <c r="J132" s="1" t="s">
        <v>3393</v>
      </c>
    </row>
    <row r="133" spans="1:10" x14ac:dyDescent="0.2">
      <c r="A133" s="1" t="s">
        <v>1159</v>
      </c>
      <c r="B133" s="1" t="s">
        <v>41</v>
      </c>
      <c r="C133" s="1" t="s">
        <v>3392</v>
      </c>
      <c r="E133" s="1" t="s">
        <v>1160</v>
      </c>
      <c r="F133" s="1" t="s">
        <v>49</v>
      </c>
      <c r="I133" s="1" t="s">
        <v>11</v>
      </c>
      <c r="J133" s="1" t="s">
        <v>3393</v>
      </c>
    </row>
    <row r="134" spans="1:10" x14ac:dyDescent="0.2">
      <c r="A134" s="1" t="s">
        <v>1161</v>
      </c>
      <c r="B134" s="1" t="s">
        <v>41</v>
      </c>
      <c r="C134" s="1" t="s">
        <v>3392</v>
      </c>
      <c r="E134" s="1" t="s">
        <v>1162</v>
      </c>
      <c r="F134" s="1" t="s">
        <v>49</v>
      </c>
      <c r="I134" s="1" t="s">
        <v>11</v>
      </c>
      <c r="J134" s="1" t="s">
        <v>3393</v>
      </c>
    </row>
    <row r="135" spans="1:10" x14ac:dyDescent="0.2">
      <c r="A135" s="1" t="s">
        <v>1163</v>
      </c>
      <c r="B135" s="1" t="s">
        <v>41</v>
      </c>
      <c r="C135" s="1" t="s">
        <v>3392</v>
      </c>
      <c r="E135" s="1" t="s">
        <v>1164</v>
      </c>
      <c r="F135" s="1" t="s">
        <v>49</v>
      </c>
      <c r="I135" s="1" t="s">
        <v>11</v>
      </c>
      <c r="J135" s="1" t="s">
        <v>3393</v>
      </c>
    </row>
    <row r="136" spans="1:10" x14ac:dyDescent="0.2">
      <c r="A136" s="1" t="s">
        <v>1165</v>
      </c>
      <c r="B136" s="1" t="s">
        <v>41</v>
      </c>
      <c r="C136" s="1" t="s">
        <v>3392</v>
      </c>
      <c r="E136" s="1" t="s">
        <v>1166</v>
      </c>
      <c r="F136" s="1" t="s">
        <v>49</v>
      </c>
      <c r="I136" s="1" t="s">
        <v>11</v>
      </c>
      <c r="J136" s="1" t="s">
        <v>3393</v>
      </c>
    </row>
    <row r="137" spans="1:10" x14ac:dyDescent="0.2">
      <c r="A137" s="1" t="s">
        <v>1167</v>
      </c>
      <c r="B137" s="1" t="s">
        <v>41</v>
      </c>
      <c r="C137" s="1" t="s">
        <v>3392</v>
      </c>
      <c r="E137" s="1" t="s">
        <v>1168</v>
      </c>
      <c r="F137" s="1" t="s">
        <v>49</v>
      </c>
      <c r="I137" s="1" t="s">
        <v>11</v>
      </c>
      <c r="J137" s="1" t="s">
        <v>3393</v>
      </c>
    </row>
    <row r="138" spans="1:10" x14ac:dyDescent="0.2">
      <c r="A138" s="1" t="s">
        <v>1169</v>
      </c>
      <c r="B138" s="1" t="s">
        <v>41</v>
      </c>
      <c r="C138" s="1" t="s">
        <v>3392</v>
      </c>
      <c r="E138" s="1" t="s">
        <v>1170</v>
      </c>
      <c r="F138" s="1" t="s">
        <v>49</v>
      </c>
      <c r="I138" s="1" t="s">
        <v>11</v>
      </c>
      <c r="J138" s="1" t="s">
        <v>3393</v>
      </c>
    </row>
    <row r="139" spans="1:10" x14ac:dyDescent="0.2">
      <c r="A139" s="1" t="s">
        <v>1171</v>
      </c>
      <c r="B139" s="1" t="s">
        <v>41</v>
      </c>
      <c r="C139" s="1" t="s">
        <v>3392</v>
      </c>
      <c r="E139" s="1" t="s">
        <v>1172</v>
      </c>
      <c r="F139" s="1" t="s">
        <v>49</v>
      </c>
      <c r="I139" s="1" t="s">
        <v>11</v>
      </c>
      <c r="J139" s="1" t="s">
        <v>3393</v>
      </c>
    </row>
    <row r="140" spans="1:10" x14ac:dyDescent="0.2">
      <c r="A140" s="1" t="s">
        <v>1173</v>
      </c>
      <c r="B140" s="1" t="s">
        <v>41</v>
      </c>
      <c r="C140" s="1" t="s">
        <v>3392</v>
      </c>
      <c r="E140" s="1" t="s">
        <v>1174</v>
      </c>
      <c r="F140" s="1" t="s">
        <v>49</v>
      </c>
      <c r="I140" s="1" t="s">
        <v>11</v>
      </c>
      <c r="J140" s="1" t="s">
        <v>3393</v>
      </c>
    </row>
    <row r="141" spans="1:10" x14ac:dyDescent="0.2">
      <c r="A141" s="1" t="s">
        <v>1175</v>
      </c>
      <c r="B141" s="1" t="s">
        <v>41</v>
      </c>
      <c r="C141" s="1" t="s">
        <v>3392</v>
      </c>
      <c r="E141" s="1" t="s">
        <v>1176</v>
      </c>
      <c r="F141" s="1" t="s">
        <v>49</v>
      </c>
      <c r="I141" s="1" t="s">
        <v>11</v>
      </c>
      <c r="J141" s="1" t="s">
        <v>3393</v>
      </c>
    </row>
    <row r="142" spans="1:10" x14ac:dyDescent="0.2">
      <c r="A142" s="1" t="s">
        <v>1177</v>
      </c>
      <c r="B142" s="1" t="s">
        <v>41</v>
      </c>
      <c r="C142" s="1" t="s">
        <v>3392</v>
      </c>
      <c r="E142" s="1" t="s">
        <v>1178</v>
      </c>
      <c r="F142" s="1" t="s">
        <v>49</v>
      </c>
      <c r="I142" s="1" t="s">
        <v>11</v>
      </c>
      <c r="J142" s="1" t="s">
        <v>3393</v>
      </c>
    </row>
    <row r="143" spans="1:10" x14ac:dyDescent="0.2">
      <c r="A143" s="1" t="s">
        <v>1179</v>
      </c>
      <c r="B143" s="1" t="s">
        <v>41</v>
      </c>
      <c r="C143" s="1" t="s">
        <v>3392</v>
      </c>
      <c r="E143" s="1" t="s">
        <v>1180</v>
      </c>
      <c r="F143" s="1" t="s">
        <v>49</v>
      </c>
      <c r="I143" s="1" t="s">
        <v>11</v>
      </c>
      <c r="J143" s="1" t="s">
        <v>3393</v>
      </c>
    </row>
    <row r="144" spans="1:10" x14ac:dyDescent="0.2">
      <c r="A144" s="1" t="s">
        <v>1181</v>
      </c>
      <c r="B144" s="1" t="s">
        <v>41</v>
      </c>
      <c r="C144" s="1" t="s">
        <v>3392</v>
      </c>
      <c r="E144" s="1" t="s">
        <v>1182</v>
      </c>
      <c r="F144" s="1" t="s">
        <v>49</v>
      </c>
      <c r="I144" s="1" t="s">
        <v>11</v>
      </c>
      <c r="J144" s="1" t="s">
        <v>3393</v>
      </c>
    </row>
    <row r="145" spans="1:10" x14ac:dyDescent="0.2">
      <c r="A145" s="1" t="s">
        <v>1183</v>
      </c>
      <c r="B145" s="1" t="s">
        <v>41</v>
      </c>
      <c r="C145" s="1" t="s">
        <v>3392</v>
      </c>
      <c r="E145" s="1" t="s">
        <v>1184</v>
      </c>
      <c r="F145" s="1" t="s">
        <v>49</v>
      </c>
      <c r="I145" s="1" t="s">
        <v>11</v>
      </c>
      <c r="J145" s="1" t="s">
        <v>3393</v>
      </c>
    </row>
    <row r="146" spans="1:10" x14ac:dyDescent="0.2">
      <c r="A146" s="1" t="s">
        <v>1185</v>
      </c>
      <c r="B146" s="1" t="s">
        <v>41</v>
      </c>
      <c r="C146" s="1" t="s">
        <v>3392</v>
      </c>
      <c r="E146" s="1" t="s">
        <v>1186</v>
      </c>
      <c r="F146" s="1" t="s">
        <v>49</v>
      </c>
      <c r="I146" s="1" t="s">
        <v>11</v>
      </c>
      <c r="J146" s="1" t="s">
        <v>3393</v>
      </c>
    </row>
    <row r="147" spans="1:10" x14ac:dyDescent="0.2">
      <c r="A147" s="1" t="s">
        <v>1216</v>
      </c>
      <c r="B147" s="1" t="s">
        <v>8</v>
      </c>
      <c r="C147" s="1" t="s">
        <v>3392</v>
      </c>
      <c r="E147" s="1" t="s">
        <v>1217</v>
      </c>
      <c r="F147" s="1" t="s">
        <v>43</v>
      </c>
      <c r="I147" s="1" t="s">
        <v>11</v>
      </c>
      <c r="J147" s="1" t="s">
        <v>3393</v>
      </c>
    </row>
    <row r="148" spans="1:10" x14ac:dyDescent="0.2">
      <c r="A148" s="1" t="s">
        <v>1232</v>
      </c>
      <c r="B148" s="1" t="s">
        <v>8</v>
      </c>
      <c r="C148" s="1" t="s">
        <v>3392</v>
      </c>
      <c r="E148" s="1" t="s">
        <v>1233</v>
      </c>
      <c r="F148" s="1" t="s">
        <v>43</v>
      </c>
      <c r="I148" s="1" t="s">
        <v>11</v>
      </c>
      <c r="J148" s="1" t="s">
        <v>3393</v>
      </c>
    </row>
    <row r="149" spans="1:10" x14ac:dyDescent="0.2">
      <c r="A149" s="1" t="s">
        <v>1242</v>
      </c>
      <c r="B149" s="1" t="s">
        <v>8</v>
      </c>
      <c r="C149" s="1" t="s">
        <v>3392</v>
      </c>
      <c r="E149" s="1" t="s">
        <v>1243</v>
      </c>
      <c r="F149" s="1" t="s">
        <v>43</v>
      </c>
      <c r="I149" s="1" t="s">
        <v>11</v>
      </c>
      <c r="J149" s="1" t="s">
        <v>3393</v>
      </c>
    </row>
    <row r="150" spans="1:10" x14ac:dyDescent="0.2">
      <c r="A150" s="1" t="s">
        <v>1244</v>
      </c>
      <c r="B150" s="1" t="s">
        <v>8</v>
      </c>
      <c r="C150" s="1" t="s">
        <v>3392</v>
      </c>
      <c r="E150" s="1" t="s">
        <v>1245</v>
      </c>
      <c r="F150" s="1" t="s">
        <v>43</v>
      </c>
      <c r="I150" s="1" t="s">
        <v>11</v>
      </c>
      <c r="J150" s="1" t="s">
        <v>3393</v>
      </c>
    </row>
    <row r="151" spans="1:10" x14ac:dyDescent="0.2">
      <c r="A151" s="1" t="s">
        <v>1267</v>
      </c>
      <c r="B151" s="1" t="s">
        <v>8</v>
      </c>
      <c r="C151" s="1" t="s">
        <v>3392</v>
      </c>
      <c r="E151" s="1" t="s">
        <v>1268</v>
      </c>
      <c r="F151" s="1" t="s">
        <v>43</v>
      </c>
      <c r="I151" s="1" t="s">
        <v>11</v>
      </c>
      <c r="J151" s="1" t="s">
        <v>3393</v>
      </c>
    </row>
    <row r="152" spans="1:10" x14ac:dyDescent="0.2">
      <c r="A152" s="1" t="s">
        <v>1269</v>
      </c>
      <c r="B152" s="1" t="s">
        <v>8</v>
      </c>
      <c r="C152" s="1" t="s">
        <v>3392</v>
      </c>
      <c r="E152" s="1" t="s">
        <v>1270</v>
      </c>
      <c r="F152" s="1" t="s">
        <v>43</v>
      </c>
      <c r="I152" s="1" t="s">
        <v>11</v>
      </c>
      <c r="J152" s="1" t="s">
        <v>3393</v>
      </c>
    </row>
    <row r="153" spans="1:10" x14ac:dyDescent="0.2">
      <c r="A153" s="1" t="s">
        <v>1271</v>
      </c>
      <c r="B153" s="1" t="s">
        <v>8</v>
      </c>
      <c r="C153" s="1" t="s">
        <v>3392</v>
      </c>
      <c r="E153" s="1" t="s">
        <v>1272</v>
      </c>
      <c r="F153" s="1" t="s">
        <v>43</v>
      </c>
      <c r="I153" s="1" t="s">
        <v>11</v>
      </c>
      <c r="J153" s="1" t="s">
        <v>3393</v>
      </c>
    </row>
    <row r="154" spans="1:10" x14ac:dyDescent="0.2">
      <c r="A154" s="1" t="s">
        <v>1273</v>
      </c>
      <c r="B154" s="1" t="s">
        <v>8</v>
      </c>
      <c r="C154" s="1" t="s">
        <v>3392</v>
      </c>
      <c r="E154" s="1" t="s">
        <v>1274</v>
      </c>
      <c r="F154" s="1" t="s">
        <v>43</v>
      </c>
      <c r="I154" s="1" t="s">
        <v>11</v>
      </c>
      <c r="J154" s="1" t="s">
        <v>3393</v>
      </c>
    </row>
    <row r="155" spans="1:10" x14ac:dyDescent="0.2">
      <c r="A155" s="1" t="s">
        <v>1275</v>
      </c>
      <c r="B155" s="1" t="s">
        <v>8</v>
      </c>
      <c r="C155" s="1" t="s">
        <v>3392</v>
      </c>
      <c r="E155" s="1" t="s">
        <v>1276</v>
      </c>
      <c r="F155" s="1" t="s">
        <v>43</v>
      </c>
      <c r="I155" s="1" t="s">
        <v>11</v>
      </c>
      <c r="J155" s="1" t="s">
        <v>3393</v>
      </c>
    </row>
    <row r="156" spans="1:10" x14ac:dyDescent="0.2">
      <c r="A156" s="1" t="s">
        <v>1277</v>
      </c>
      <c r="B156" s="1" t="s">
        <v>8</v>
      </c>
      <c r="C156" s="1" t="s">
        <v>3392</v>
      </c>
      <c r="E156" s="1" t="s">
        <v>1278</v>
      </c>
      <c r="F156" s="1" t="s">
        <v>43</v>
      </c>
      <c r="I156" s="1" t="s">
        <v>11</v>
      </c>
      <c r="J156" s="1" t="s">
        <v>3393</v>
      </c>
    </row>
    <row r="157" spans="1:10" x14ac:dyDescent="0.2">
      <c r="A157" s="1" t="s">
        <v>1281</v>
      </c>
      <c r="B157" s="1" t="s">
        <v>1266</v>
      </c>
      <c r="C157" s="1" t="s">
        <v>3390</v>
      </c>
      <c r="E157" s="1" t="s">
        <v>1282</v>
      </c>
      <c r="F157" s="1" t="s">
        <v>291</v>
      </c>
      <c r="I157" s="1" t="s">
        <v>11</v>
      </c>
      <c r="J157" s="1" t="s">
        <v>3393</v>
      </c>
    </row>
    <row r="158" spans="1:10" x14ac:dyDescent="0.2">
      <c r="A158" s="1" t="s">
        <v>1300</v>
      </c>
      <c r="B158" s="1" t="s">
        <v>929</v>
      </c>
      <c r="C158" s="1" t="s">
        <v>3390</v>
      </c>
      <c r="D158" s="1" t="s">
        <v>1301</v>
      </c>
      <c r="E158" s="1" t="s">
        <v>1302</v>
      </c>
      <c r="F158" s="1" t="s">
        <v>1289</v>
      </c>
      <c r="I158" s="1" t="s">
        <v>11</v>
      </c>
      <c r="J158" s="1" t="s">
        <v>3393</v>
      </c>
    </row>
    <row r="159" spans="1:10" x14ac:dyDescent="0.2">
      <c r="A159" s="1" t="s">
        <v>1309</v>
      </c>
      <c r="B159" s="1" t="s">
        <v>929</v>
      </c>
      <c r="C159" s="1" t="s">
        <v>3390</v>
      </c>
      <c r="D159" s="1" t="s">
        <v>1310</v>
      </c>
      <c r="E159" s="1" t="s">
        <v>1302</v>
      </c>
      <c r="F159" s="1" t="s">
        <v>1289</v>
      </c>
      <c r="I159" s="1" t="s">
        <v>11</v>
      </c>
      <c r="J159" s="1" t="s">
        <v>3393</v>
      </c>
    </row>
    <row r="160" spans="1:10" x14ac:dyDescent="0.2">
      <c r="A160" s="1" t="s">
        <v>1311</v>
      </c>
      <c r="B160" s="1" t="s">
        <v>929</v>
      </c>
      <c r="C160" s="1" t="s">
        <v>3390</v>
      </c>
      <c r="D160" s="1" t="s">
        <v>1310</v>
      </c>
      <c r="E160" s="1" t="s">
        <v>1305</v>
      </c>
      <c r="F160" s="1" t="s">
        <v>1290</v>
      </c>
      <c r="I160" s="1" t="s">
        <v>11</v>
      </c>
      <c r="J160" s="1" t="s">
        <v>3393</v>
      </c>
    </row>
    <row r="161" spans="1:11" x14ac:dyDescent="0.2">
      <c r="A161" s="1" t="s">
        <v>1334</v>
      </c>
      <c r="B161" s="1" t="s">
        <v>1295</v>
      </c>
      <c r="C161" s="1" t="s">
        <v>3390</v>
      </c>
      <c r="D161" s="1" t="s">
        <v>1335</v>
      </c>
      <c r="E161" s="1" t="s">
        <v>1336</v>
      </c>
      <c r="F161" s="1" t="s">
        <v>1293</v>
      </c>
      <c r="I161" s="1" t="s">
        <v>11</v>
      </c>
      <c r="J161" s="1" t="s">
        <v>3393</v>
      </c>
    </row>
    <row r="162" spans="1:11" x14ac:dyDescent="0.2">
      <c r="A162" s="1" t="s">
        <v>1343</v>
      </c>
      <c r="B162" s="1" t="s">
        <v>1295</v>
      </c>
      <c r="C162" s="1" t="s">
        <v>3390</v>
      </c>
      <c r="D162" s="1" t="s">
        <v>1344</v>
      </c>
      <c r="E162" s="1" t="s">
        <v>1345</v>
      </c>
      <c r="F162" s="1" t="s">
        <v>1290</v>
      </c>
      <c r="I162" s="1" t="s">
        <v>11</v>
      </c>
      <c r="J162" s="1" t="s">
        <v>3393</v>
      </c>
    </row>
    <row r="163" spans="1:11" x14ac:dyDescent="0.2">
      <c r="A163" s="1" t="s">
        <v>1357</v>
      </c>
      <c r="B163" s="1" t="s">
        <v>1295</v>
      </c>
      <c r="C163" s="1" t="s">
        <v>3390</v>
      </c>
      <c r="D163" s="1" t="s">
        <v>1358</v>
      </c>
      <c r="E163" s="1" t="s">
        <v>1359</v>
      </c>
      <c r="F163" s="1" t="s">
        <v>1290</v>
      </c>
      <c r="I163" s="1" t="s">
        <v>11</v>
      </c>
      <c r="J163" s="1" t="s">
        <v>3393</v>
      </c>
    </row>
    <row r="164" spans="1:11" x14ac:dyDescent="0.2">
      <c r="A164" s="1" t="s">
        <v>1363</v>
      </c>
      <c r="B164" s="1" t="s">
        <v>1295</v>
      </c>
      <c r="C164" s="1" t="s">
        <v>3390</v>
      </c>
      <c r="D164" s="1" t="s">
        <v>1364</v>
      </c>
      <c r="E164" s="1" t="s">
        <v>1365</v>
      </c>
      <c r="F164" s="1" t="s">
        <v>1293</v>
      </c>
      <c r="I164" s="1" t="s">
        <v>11</v>
      </c>
      <c r="J164" s="1" t="s">
        <v>3393</v>
      </c>
    </row>
    <row r="165" spans="1:11" x14ac:dyDescent="0.2">
      <c r="A165" s="1" t="s">
        <v>1366</v>
      </c>
      <c r="B165" s="1" t="s">
        <v>1295</v>
      </c>
      <c r="C165" s="1" t="s">
        <v>3390</v>
      </c>
      <c r="D165" s="1" t="s">
        <v>1367</v>
      </c>
      <c r="E165" s="1" t="s">
        <v>1368</v>
      </c>
      <c r="F165" s="1" t="s">
        <v>1290</v>
      </c>
      <c r="I165" s="1" t="s">
        <v>11</v>
      </c>
      <c r="J165" s="1" t="s">
        <v>3393</v>
      </c>
    </row>
    <row r="166" spans="1:11" x14ac:dyDescent="0.2">
      <c r="A166" s="1" t="s">
        <v>1397</v>
      </c>
      <c r="B166" s="1" t="s">
        <v>929</v>
      </c>
      <c r="C166" s="1" t="s">
        <v>3390</v>
      </c>
      <c r="D166" s="1" t="s">
        <v>1310</v>
      </c>
      <c r="E166" s="1" t="s">
        <v>1308</v>
      </c>
      <c r="F166" s="1" t="s">
        <v>1290</v>
      </c>
      <c r="I166" s="1" t="s">
        <v>11</v>
      </c>
      <c r="J166" s="1" t="s">
        <v>3393</v>
      </c>
    </row>
    <row r="167" spans="1:11" x14ac:dyDescent="0.2">
      <c r="A167" s="1" t="s">
        <v>1401</v>
      </c>
      <c r="B167" s="1" t="s">
        <v>929</v>
      </c>
      <c r="C167" s="1" t="s">
        <v>3390</v>
      </c>
      <c r="D167" s="1" t="s">
        <v>1402</v>
      </c>
      <c r="E167" s="1" t="s">
        <v>1312</v>
      </c>
      <c r="F167" s="1" t="s">
        <v>1290</v>
      </c>
      <c r="I167" s="1" t="s">
        <v>11</v>
      </c>
      <c r="J167" s="1" t="s">
        <v>3393</v>
      </c>
    </row>
    <row r="168" spans="1:11" x14ac:dyDescent="0.2">
      <c r="A168" s="1" t="s">
        <v>1441</v>
      </c>
      <c r="B168" s="1" t="s">
        <v>929</v>
      </c>
      <c r="C168" s="1" t="s">
        <v>3390</v>
      </c>
      <c r="D168" s="1" t="s">
        <v>1442</v>
      </c>
      <c r="E168" s="1" t="s">
        <v>1312</v>
      </c>
      <c r="F168" s="1" t="s">
        <v>1290</v>
      </c>
      <c r="I168" s="1" t="s">
        <v>11</v>
      </c>
      <c r="J168" s="1" t="s">
        <v>3393</v>
      </c>
    </row>
    <row r="169" spans="1:11" x14ac:dyDescent="0.2">
      <c r="A169" s="1" t="s">
        <v>1443</v>
      </c>
      <c r="B169" s="1" t="s">
        <v>929</v>
      </c>
      <c r="C169" s="1" t="s">
        <v>3390</v>
      </c>
      <c r="D169" s="1" t="s">
        <v>1444</v>
      </c>
      <c r="E169" s="1" t="s">
        <v>1378</v>
      </c>
      <c r="F169" s="1" t="s">
        <v>1290</v>
      </c>
      <c r="I169" s="1" t="s">
        <v>11</v>
      </c>
      <c r="J169" s="1" t="s">
        <v>3393</v>
      </c>
    </row>
    <row r="170" spans="1:11" x14ac:dyDescent="0.2">
      <c r="A170" s="1" t="s">
        <v>1445</v>
      </c>
      <c r="B170" s="1" t="s">
        <v>929</v>
      </c>
      <c r="C170" s="1" t="s">
        <v>3390</v>
      </c>
      <c r="D170" s="1" t="s">
        <v>1402</v>
      </c>
      <c r="E170" s="1" t="s">
        <v>1376</v>
      </c>
      <c r="F170" s="1" t="s">
        <v>1287</v>
      </c>
      <c r="I170" s="1" t="s">
        <v>11</v>
      </c>
      <c r="J170" s="1" t="s">
        <v>3393</v>
      </c>
    </row>
    <row r="171" spans="1:11" x14ac:dyDescent="0.2">
      <c r="A171" s="1" t="s">
        <v>1447</v>
      </c>
      <c r="B171" s="1" t="s">
        <v>929</v>
      </c>
      <c r="C171" s="1" t="s">
        <v>3390</v>
      </c>
      <c r="D171" s="1" t="s">
        <v>1402</v>
      </c>
      <c r="E171" s="1" t="s">
        <v>1378</v>
      </c>
      <c r="F171" s="1" t="s">
        <v>1290</v>
      </c>
      <c r="I171" s="1" t="s">
        <v>11</v>
      </c>
      <c r="J171" s="1" t="s">
        <v>3393</v>
      </c>
    </row>
    <row r="172" spans="1:11" x14ac:dyDescent="0.2">
      <c r="A172" s="1" t="s">
        <v>1448</v>
      </c>
      <c r="B172" s="1" t="s">
        <v>929</v>
      </c>
      <c r="C172" s="1" t="s">
        <v>3390</v>
      </c>
      <c r="D172" s="1" t="s">
        <v>1449</v>
      </c>
      <c r="E172" s="1" t="s">
        <v>1312</v>
      </c>
      <c r="F172" s="1" t="s">
        <v>1290</v>
      </c>
      <c r="I172" s="1" t="s">
        <v>11</v>
      </c>
      <c r="J172" s="1" t="s">
        <v>3393</v>
      </c>
    </row>
    <row r="173" spans="1:11" x14ac:dyDescent="0.2">
      <c r="A173" s="1" t="s">
        <v>1450</v>
      </c>
      <c r="B173" s="1" t="s">
        <v>929</v>
      </c>
      <c r="C173" s="1" t="s">
        <v>3390</v>
      </c>
      <c r="D173" s="1" t="s">
        <v>1451</v>
      </c>
      <c r="E173" s="1" t="s">
        <v>1400</v>
      </c>
      <c r="F173" s="1" t="s">
        <v>1289</v>
      </c>
      <c r="I173" s="1" t="s">
        <v>11</v>
      </c>
      <c r="J173" s="1" t="s">
        <v>3393</v>
      </c>
    </row>
    <row r="174" spans="1:11" x14ac:dyDescent="0.2">
      <c r="A174" s="1" t="s">
        <v>1459</v>
      </c>
      <c r="B174" s="1" t="s">
        <v>1295</v>
      </c>
      <c r="C174" s="1" t="s">
        <v>3390</v>
      </c>
      <c r="D174" s="1" t="s">
        <v>1460</v>
      </c>
      <c r="E174" s="1" t="s">
        <v>1368</v>
      </c>
      <c r="F174" s="1" t="s">
        <v>1290</v>
      </c>
      <c r="I174" s="121" t="s">
        <v>74</v>
      </c>
      <c r="J174" s="121" t="s">
        <v>3394</v>
      </c>
      <c r="K174" s="3">
        <v>46293</v>
      </c>
    </row>
    <row r="175" spans="1:11" x14ac:dyDescent="0.2">
      <c r="A175" s="1" t="s">
        <v>1473</v>
      </c>
      <c r="B175" s="1" t="s">
        <v>1295</v>
      </c>
      <c r="C175" s="1" t="s">
        <v>3390</v>
      </c>
      <c r="D175" s="1" t="s">
        <v>1474</v>
      </c>
      <c r="E175" s="1" t="s">
        <v>1365</v>
      </c>
      <c r="F175" s="1" t="s">
        <v>1293</v>
      </c>
      <c r="I175" s="1" t="s">
        <v>11</v>
      </c>
      <c r="J175" s="1" t="s">
        <v>3393</v>
      </c>
    </row>
    <row r="176" spans="1:11" x14ac:dyDescent="0.2">
      <c r="A176" s="1" t="s">
        <v>1557</v>
      </c>
      <c r="B176" s="1" t="s">
        <v>929</v>
      </c>
      <c r="C176" s="1" t="s">
        <v>3390</v>
      </c>
      <c r="D176" s="1" t="s">
        <v>1558</v>
      </c>
      <c r="E176" s="1" t="s">
        <v>1376</v>
      </c>
      <c r="F176" s="1" t="s">
        <v>1287</v>
      </c>
      <c r="I176" s="1" t="s">
        <v>11</v>
      </c>
      <c r="J176" s="1" t="s">
        <v>3393</v>
      </c>
    </row>
    <row r="177" spans="1:12" x14ac:dyDescent="0.2">
      <c r="A177" s="1" t="s">
        <v>1559</v>
      </c>
      <c r="B177" s="1" t="s">
        <v>929</v>
      </c>
      <c r="C177" s="1" t="s">
        <v>3390</v>
      </c>
      <c r="D177" s="1" t="s">
        <v>1560</v>
      </c>
      <c r="E177" s="1" t="s">
        <v>1308</v>
      </c>
      <c r="F177" s="1" t="s">
        <v>1290</v>
      </c>
      <c r="I177" s="1" t="s">
        <v>11</v>
      </c>
      <c r="J177" s="1" t="s">
        <v>3393</v>
      </c>
    </row>
    <row r="178" spans="1:12" x14ac:dyDescent="0.2">
      <c r="A178" s="1" t="s">
        <v>1567</v>
      </c>
      <c r="B178" s="1" t="s">
        <v>929</v>
      </c>
      <c r="C178" s="1" t="s">
        <v>3390</v>
      </c>
      <c r="D178" s="1" t="s">
        <v>1310</v>
      </c>
      <c r="E178" s="1" t="s">
        <v>1376</v>
      </c>
      <c r="F178" s="1" t="s">
        <v>1287</v>
      </c>
      <c r="I178" s="1" t="s">
        <v>11</v>
      </c>
      <c r="J178" s="1" t="s">
        <v>3393</v>
      </c>
    </row>
    <row r="179" spans="1:12" x14ac:dyDescent="0.2">
      <c r="A179" s="1" t="s">
        <v>1568</v>
      </c>
      <c r="B179" s="1" t="s">
        <v>929</v>
      </c>
      <c r="C179" s="1" t="s">
        <v>3390</v>
      </c>
      <c r="D179" s="1" t="s">
        <v>1310</v>
      </c>
      <c r="E179" s="1" t="s">
        <v>1378</v>
      </c>
      <c r="F179" s="1" t="s">
        <v>1290</v>
      </c>
      <c r="I179" s="1" t="s">
        <v>11</v>
      </c>
      <c r="J179" s="1" t="s">
        <v>3393</v>
      </c>
    </row>
    <row r="180" spans="1:12" x14ac:dyDescent="0.2">
      <c r="A180" s="1" t="s">
        <v>1570</v>
      </c>
      <c r="B180" s="1" t="s">
        <v>929</v>
      </c>
      <c r="C180" s="1" t="s">
        <v>3390</v>
      </c>
      <c r="D180" s="1" t="s">
        <v>1310</v>
      </c>
      <c r="E180" s="1" t="s">
        <v>1400</v>
      </c>
      <c r="F180" s="1" t="s">
        <v>1289</v>
      </c>
      <c r="I180" s="1" t="s">
        <v>11</v>
      </c>
      <c r="J180" s="1" t="s">
        <v>3393</v>
      </c>
    </row>
    <row r="181" spans="1:12" x14ac:dyDescent="0.2">
      <c r="A181" s="1" t="s">
        <v>1829</v>
      </c>
      <c r="B181" s="1" t="s">
        <v>929</v>
      </c>
      <c r="C181" s="1" t="s">
        <v>3390</v>
      </c>
      <c r="D181" s="1" t="s">
        <v>1402</v>
      </c>
      <c r="E181" s="1" t="s">
        <v>1308</v>
      </c>
      <c r="F181" s="1" t="s">
        <v>1290</v>
      </c>
      <c r="I181" s="1" t="s">
        <v>11</v>
      </c>
      <c r="J181" s="1" t="s">
        <v>3393</v>
      </c>
    </row>
    <row r="182" spans="1:12" x14ac:dyDescent="0.2">
      <c r="A182" s="1" t="s">
        <v>1892</v>
      </c>
      <c r="B182" s="1" t="s">
        <v>929</v>
      </c>
      <c r="C182" s="1" t="s">
        <v>3390</v>
      </c>
      <c r="D182" s="1" t="s">
        <v>1402</v>
      </c>
      <c r="E182" s="1" t="s">
        <v>1305</v>
      </c>
      <c r="F182" s="1" t="s">
        <v>1290</v>
      </c>
      <c r="I182" s="1" t="s">
        <v>11</v>
      </c>
      <c r="J182" s="1" t="s">
        <v>3393</v>
      </c>
    </row>
    <row r="183" spans="1:12" x14ac:dyDescent="0.2">
      <c r="A183" s="1" t="s">
        <v>1893</v>
      </c>
      <c r="B183" s="1" t="s">
        <v>929</v>
      </c>
      <c r="C183" s="1" t="s">
        <v>3390</v>
      </c>
      <c r="D183" s="1" t="s">
        <v>1402</v>
      </c>
      <c r="E183" s="1" t="s">
        <v>1302</v>
      </c>
      <c r="F183" s="1" t="s">
        <v>1289</v>
      </c>
      <c r="I183" s="1" t="s">
        <v>11</v>
      </c>
      <c r="J183" s="1" t="s">
        <v>3393</v>
      </c>
    </row>
    <row r="184" spans="1:12" x14ac:dyDescent="0.2">
      <c r="A184" s="1" t="s">
        <v>2004</v>
      </c>
      <c r="B184" s="1" t="s">
        <v>929</v>
      </c>
      <c r="C184" s="1" t="s">
        <v>3390</v>
      </c>
      <c r="D184" s="1" t="s">
        <v>2005</v>
      </c>
      <c r="E184" s="1" t="s">
        <v>1400</v>
      </c>
      <c r="F184" s="1" t="s">
        <v>1289</v>
      </c>
      <c r="I184" s="1" t="s">
        <v>11</v>
      </c>
      <c r="J184" s="1" t="s">
        <v>3393</v>
      </c>
    </row>
    <row r="185" spans="1:12" x14ac:dyDescent="0.2">
      <c r="A185" s="1" t="s">
        <v>2021</v>
      </c>
      <c r="B185" s="1" t="s">
        <v>929</v>
      </c>
      <c r="C185" s="1" t="s">
        <v>3390</v>
      </c>
      <c r="D185" s="1" t="s">
        <v>2022</v>
      </c>
      <c r="E185" s="1" t="s">
        <v>1288</v>
      </c>
      <c r="F185" s="1" t="s">
        <v>1289</v>
      </c>
      <c r="I185" s="1" t="s">
        <v>1369</v>
      </c>
      <c r="J185" s="1" t="s">
        <v>1370</v>
      </c>
      <c r="L185" s="1" t="s">
        <v>2023</v>
      </c>
    </row>
    <row r="186" spans="1:12" x14ac:dyDescent="0.2">
      <c r="A186" s="1" t="s">
        <v>2056</v>
      </c>
      <c r="B186" s="1" t="s">
        <v>929</v>
      </c>
      <c r="C186" s="1" t="s">
        <v>3390</v>
      </c>
      <c r="D186" s="1" t="s">
        <v>2057</v>
      </c>
      <c r="E186" s="1" t="s">
        <v>1302</v>
      </c>
      <c r="F186" s="1" t="s">
        <v>1289</v>
      </c>
      <c r="I186" s="1" t="s">
        <v>11</v>
      </c>
      <c r="J186" s="1" t="s">
        <v>3393</v>
      </c>
    </row>
    <row r="187" spans="1:12" x14ac:dyDescent="0.2">
      <c r="A187" s="1" t="s">
        <v>2058</v>
      </c>
      <c r="B187" s="1" t="s">
        <v>929</v>
      </c>
      <c r="C187" s="1" t="s">
        <v>3390</v>
      </c>
      <c r="D187" s="1" t="s">
        <v>2059</v>
      </c>
      <c r="E187" s="1" t="s">
        <v>1378</v>
      </c>
      <c r="F187" s="1" t="s">
        <v>1290</v>
      </c>
      <c r="I187" s="1" t="s">
        <v>11</v>
      </c>
      <c r="J187" s="1" t="s">
        <v>3393</v>
      </c>
    </row>
    <row r="188" spans="1:12" x14ac:dyDescent="0.2">
      <c r="A188" s="1" t="s">
        <v>2060</v>
      </c>
      <c r="B188" s="1" t="s">
        <v>929</v>
      </c>
      <c r="C188" s="1" t="s">
        <v>3390</v>
      </c>
      <c r="D188" s="1" t="s">
        <v>1310</v>
      </c>
      <c r="E188" s="1" t="s">
        <v>1312</v>
      </c>
      <c r="F188" s="1" t="s">
        <v>1290</v>
      </c>
      <c r="I188" s="1" t="s">
        <v>11</v>
      </c>
      <c r="J188" s="1" t="s">
        <v>3393</v>
      </c>
    </row>
    <row r="189" spans="1:12" x14ac:dyDescent="0.2">
      <c r="A189" s="1" t="s">
        <v>2107</v>
      </c>
      <c r="B189" s="1" t="s">
        <v>929</v>
      </c>
      <c r="C189" s="1" t="s">
        <v>3390</v>
      </c>
      <c r="D189" s="1" t="s">
        <v>2108</v>
      </c>
      <c r="E189" s="1" t="s">
        <v>1308</v>
      </c>
      <c r="F189" s="1" t="s">
        <v>1290</v>
      </c>
      <c r="I189" s="1" t="s">
        <v>11</v>
      </c>
      <c r="J189" s="1" t="s">
        <v>3393</v>
      </c>
    </row>
    <row r="190" spans="1:12" x14ac:dyDescent="0.2">
      <c r="A190" s="1" t="s">
        <v>2189</v>
      </c>
      <c r="B190" s="1" t="s">
        <v>929</v>
      </c>
      <c r="C190" s="1" t="s">
        <v>3390</v>
      </c>
      <c r="D190" s="1" t="s">
        <v>2190</v>
      </c>
      <c r="E190" s="1" t="s">
        <v>1376</v>
      </c>
      <c r="F190" s="1" t="s">
        <v>1287</v>
      </c>
      <c r="I190" s="1" t="s">
        <v>11</v>
      </c>
      <c r="J190" s="1" t="s">
        <v>3393</v>
      </c>
    </row>
    <row r="191" spans="1:12" x14ac:dyDescent="0.2">
      <c r="A191" s="1" t="s">
        <v>2376</v>
      </c>
      <c r="B191" s="1" t="s">
        <v>1295</v>
      </c>
      <c r="C191" s="1" t="s">
        <v>3390</v>
      </c>
      <c r="D191" s="1" t="s">
        <v>2377</v>
      </c>
      <c r="E191" s="1" t="s">
        <v>2378</v>
      </c>
      <c r="F191" s="1" t="s">
        <v>1293</v>
      </c>
      <c r="I191" s="1" t="s">
        <v>11</v>
      </c>
      <c r="J191" s="1" t="s">
        <v>3393</v>
      </c>
    </row>
    <row r="192" spans="1:12" x14ac:dyDescent="0.2">
      <c r="A192" s="1" t="s">
        <v>2402</v>
      </c>
      <c r="B192" s="1" t="s">
        <v>1295</v>
      </c>
      <c r="C192" s="1" t="s">
        <v>3390</v>
      </c>
      <c r="D192" s="1" t="s">
        <v>2403</v>
      </c>
      <c r="E192" s="1" t="s">
        <v>2404</v>
      </c>
      <c r="F192" s="1" t="s">
        <v>1289</v>
      </c>
      <c r="I192" s="1" t="s">
        <v>11</v>
      </c>
      <c r="J192" s="1" t="s">
        <v>3393</v>
      </c>
    </row>
    <row r="193" spans="1:12" x14ac:dyDescent="0.2">
      <c r="A193" s="1" t="s">
        <v>2405</v>
      </c>
      <c r="B193" s="1" t="s">
        <v>1295</v>
      </c>
      <c r="C193" s="1" t="s">
        <v>3390</v>
      </c>
      <c r="D193" s="1" t="s">
        <v>2406</v>
      </c>
      <c r="E193" s="1" t="s">
        <v>2404</v>
      </c>
      <c r="F193" s="1" t="s">
        <v>1289</v>
      </c>
      <c r="I193" s="1" t="s">
        <v>11</v>
      </c>
      <c r="J193" s="1" t="s">
        <v>3393</v>
      </c>
    </row>
    <row r="194" spans="1:12" x14ac:dyDescent="0.2">
      <c r="A194" s="1" t="s">
        <v>2407</v>
      </c>
      <c r="B194" s="1" t="s">
        <v>1295</v>
      </c>
      <c r="C194" s="1" t="s">
        <v>3390</v>
      </c>
      <c r="D194" s="1" t="s">
        <v>2408</v>
      </c>
      <c r="E194" s="1" t="s">
        <v>2409</v>
      </c>
      <c r="F194" s="1" t="s">
        <v>1289</v>
      </c>
      <c r="I194" s="1" t="s">
        <v>11</v>
      </c>
      <c r="J194" s="1" t="s">
        <v>3393</v>
      </c>
    </row>
    <row r="195" spans="1:12" x14ac:dyDescent="0.2">
      <c r="A195" s="1" t="s">
        <v>2410</v>
      </c>
      <c r="B195" s="1" t="s">
        <v>1295</v>
      </c>
      <c r="C195" s="1" t="s">
        <v>3390</v>
      </c>
      <c r="D195" s="1" t="s">
        <v>2411</v>
      </c>
      <c r="E195" s="1" t="s">
        <v>2412</v>
      </c>
      <c r="F195" s="1" t="s">
        <v>1289</v>
      </c>
      <c r="I195" s="1" t="s">
        <v>11</v>
      </c>
      <c r="J195" s="1" t="s">
        <v>3393</v>
      </c>
    </row>
    <row r="196" spans="1:12" x14ac:dyDescent="0.2">
      <c r="A196" s="1" t="s">
        <v>2413</v>
      </c>
      <c r="B196" s="1" t="s">
        <v>1295</v>
      </c>
      <c r="C196" s="1" t="s">
        <v>3390</v>
      </c>
      <c r="D196" s="1" t="s">
        <v>2414</v>
      </c>
      <c r="E196" s="1" t="s">
        <v>2415</v>
      </c>
      <c r="F196" s="1" t="s">
        <v>1289</v>
      </c>
      <c r="I196" s="1" t="s">
        <v>11</v>
      </c>
      <c r="J196" s="1" t="s">
        <v>3393</v>
      </c>
    </row>
    <row r="197" spans="1:12" x14ac:dyDescent="0.2">
      <c r="A197" s="1" t="s">
        <v>2524</v>
      </c>
      <c r="B197" s="1" t="s">
        <v>929</v>
      </c>
      <c r="C197" s="1" t="s">
        <v>3390</v>
      </c>
      <c r="D197" s="1" t="s">
        <v>2525</v>
      </c>
      <c r="E197" s="1" t="s">
        <v>1376</v>
      </c>
      <c r="F197" s="1" t="s">
        <v>1287</v>
      </c>
      <c r="I197" s="1" t="s">
        <v>1369</v>
      </c>
      <c r="J197" s="1" t="s">
        <v>1370</v>
      </c>
      <c r="L197" s="1" t="s">
        <v>2023</v>
      </c>
    </row>
    <row r="198" spans="1:12" x14ac:dyDescent="0.2">
      <c r="A198" s="1" t="s">
        <v>2526</v>
      </c>
      <c r="B198" s="1" t="s">
        <v>929</v>
      </c>
      <c r="C198" s="1" t="s">
        <v>3390</v>
      </c>
      <c r="D198" s="1" t="s">
        <v>2527</v>
      </c>
      <c r="E198" s="1" t="s">
        <v>2528</v>
      </c>
      <c r="F198" s="1" t="s">
        <v>1289</v>
      </c>
      <c r="I198" s="1" t="s">
        <v>1369</v>
      </c>
      <c r="J198" s="1" t="s">
        <v>1370</v>
      </c>
      <c r="L198" s="1" t="s">
        <v>2023</v>
      </c>
    </row>
    <row r="199" spans="1:12" x14ac:dyDescent="0.2">
      <c r="A199" s="1" t="s">
        <v>2946</v>
      </c>
      <c r="B199" s="1" t="s">
        <v>929</v>
      </c>
      <c r="C199" s="1" t="s">
        <v>3390</v>
      </c>
      <c r="D199" s="1" t="s">
        <v>1402</v>
      </c>
      <c r="E199" s="1" t="s">
        <v>1400</v>
      </c>
      <c r="F199" s="1" t="s">
        <v>1289</v>
      </c>
      <c r="I199" s="1" t="s">
        <v>11</v>
      </c>
      <c r="J199" s="1" t="s">
        <v>3393</v>
      </c>
    </row>
    <row r="200" spans="1:12" x14ac:dyDescent="0.2">
      <c r="A200" s="1" t="s">
        <v>2949</v>
      </c>
      <c r="B200" s="1" t="s">
        <v>290</v>
      </c>
      <c r="C200" s="1" t="s">
        <v>3390</v>
      </c>
      <c r="D200" s="1" t="s">
        <v>2950</v>
      </c>
      <c r="E200" s="1" t="s">
        <v>2951</v>
      </c>
      <c r="F200" s="1" t="s">
        <v>291</v>
      </c>
      <c r="I200" s="1" t="s">
        <v>11</v>
      </c>
      <c r="J200" s="1" t="s">
        <v>3393</v>
      </c>
    </row>
    <row r="201" spans="1:12" x14ac:dyDescent="0.2">
      <c r="A201" s="1" t="s">
        <v>2956</v>
      </c>
      <c r="B201" s="1" t="s">
        <v>290</v>
      </c>
      <c r="C201" s="1" t="s">
        <v>3390</v>
      </c>
      <c r="D201" s="1" t="s">
        <v>2957</v>
      </c>
      <c r="E201" s="1" t="s">
        <v>2958</v>
      </c>
      <c r="F201" s="1" t="s">
        <v>291</v>
      </c>
      <c r="I201" s="1" t="s">
        <v>11</v>
      </c>
      <c r="J201" s="1" t="s">
        <v>3393</v>
      </c>
    </row>
    <row r="202" spans="1:12" x14ac:dyDescent="0.2">
      <c r="A202" s="1" t="s">
        <v>2959</v>
      </c>
      <c r="B202" s="1" t="s">
        <v>290</v>
      </c>
      <c r="C202" s="1" t="s">
        <v>3390</v>
      </c>
      <c r="D202" s="1" t="s">
        <v>2960</v>
      </c>
      <c r="E202" s="1" t="s">
        <v>2961</v>
      </c>
      <c r="F202" s="1" t="s">
        <v>291</v>
      </c>
      <c r="I202" s="1" t="s">
        <v>11</v>
      </c>
      <c r="J202" s="1" t="s">
        <v>3393</v>
      </c>
    </row>
    <row r="203" spans="1:12" x14ac:dyDescent="0.2">
      <c r="A203" s="1" t="s">
        <v>2965</v>
      </c>
      <c r="B203" s="1" t="s">
        <v>290</v>
      </c>
      <c r="C203" s="1" t="s">
        <v>3390</v>
      </c>
      <c r="D203" s="1" t="s">
        <v>2966</v>
      </c>
      <c r="E203" s="1" t="s">
        <v>2967</v>
      </c>
      <c r="F203" s="1" t="s">
        <v>291</v>
      </c>
      <c r="I203" s="1" t="s">
        <v>11</v>
      </c>
      <c r="J203" s="1" t="s">
        <v>3393</v>
      </c>
    </row>
    <row r="204" spans="1:12" x14ac:dyDescent="0.2">
      <c r="A204" s="1" t="s">
        <v>2968</v>
      </c>
      <c r="B204" s="1" t="s">
        <v>290</v>
      </c>
      <c r="C204" s="1" t="s">
        <v>3390</v>
      </c>
      <c r="D204" s="1" t="s">
        <v>2969</v>
      </c>
      <c r="E204" s="1" t="s">
        <v>2970</v>
      </c>
      <c r="F204" s="1" t="s">
        <v>291</v>
      </c>
      <c r="I204" s="1" t="s">
        <v>11</v>
      </c>
      <c r="J204" s="1" t="s">
        <v>3393</v>
      </c>
    </row>
    <row r="205" spans="1:12" x14ac:dyDescent="0.2">
      <c r="A205" s="1" t="s">
        <v>2983</v>
      </c>
      <c r="B205" s="1" t="s">
        <v>290</v>
      </c>
      <c r="C205" s="1" t="s">
        <v>3390</v>
      </c>
      <c r="D205" s="1" t="s">
        <v>2984</v>
      </c>
      <c r="E205" s="1" t="s">
        <v>2985</v>
      </c>
      <c r="F205" s="1" t="s">
        <v>291</v>
      </c>
      <c r="I205" s="1" t="s">
        <v>11</v>
      </c>
      <c r="J205" s="1" t="s">
        <v>3393</v>
      </c>
    </row>
    <row r="206" spans="1:12" x14ac:dyDescent="0.2">
      <c r="A206" s="1" t="s">
        <v>2986</v>
      </c>
      <c r="B206" s="1" t="s">
        <v>290</v>
      </c>
      <c r="C206" s="1" t="s">
        <v>3390</v>
      </c>
      <c r="D206" s="1" t="s">
        <v>2987</v>
      </c>
      <c r="E206" s="1" t="s">
        <v>2988</v>
      </c>
      <c r="F206" s="1" t="s">
        <v>291</v>
      </c>
      <c r="I206" s="1" t="s">
        <v>11</v>
      </c>
      <c r="J206" s="1" t="s">
        <v>3393</v>
      </c>
    </row>
    <row r="207" spans="1:12" x14ac:dyDescent="0.2">
      <c r="A207" s="1" t="s">
        <v>2989</v>
      </c>
      <c r="B207" s="1" t="s">
        <v>290</v>
      </c>
      <c r="C207" s="1" t="s">
        <v>3390</v>
      </c>
      <c r="D207" s="1" t="s">
        <v>2990</v>
      </c>
      <c r="E207" s="1" t="s">
        <v>2991</v>
      </c>
      <c r="F207" s="1" t="s">
        <v>291</v>
      </c>
      <c r="I207" s="1" t="s">
        <v>11</v>
      </c>
      <c r="J207" s="1" t="s">
        <v>3393</v>
      </c>
    </row>
    <row r="208" spans="1:12" x14ac:dyDescent="0.2">
      <c r="A208" s="1" t="s">
        <v>2992</v>
      </c>
      <c r="B208" s="1" t="s">
        <v>290</v>
      </c>
      <c r="C208" s="1" t="s">
        <v>3390</v>
      </c>
      <c r="D208" s="1" t="s">
        <v>2993</v>
      </c>
      <c r="E208" s="1" t="s">
        <v>2994</v>
      </c>
      <c r="F208" s="1" t="s">
        <v>291</v>
      </c>
      <c r="I208" s="1" t="s">
        <v>11</v>
      </c>
      <c r="J208" s="1" t="s">
        <v>3393</v>
      </c>
    </row>
    <row r="209" spans="1:12" x14ac:dyDescent="0.2">
      <c r="A209" s="1" t="s">
        <v>2995</v>
      </c>
      <c r="B209" s="1" t="s">
        <v>290</v>
      </c>
      <c r="C209" s="1" t="s">
        <v>3390</v>
      </c>
      <c r="D209" s="1" t="s">
        <v>2996</v>
      </c>
      <c r="E209" s="1" t="s">
        <v>2997</v>
      </c>
      <c r="F209" s="1" t="s">
        <v>291</v>
      </c>
      <c r="I209" s="1" t="s">
        <v>11</v>
      </c>
      <c r="J209" s="1" t="s">
        <v>3393</v>
      </c>
    </row>
    <row r="210" spans="1:12" x14ac:dyDescent="0.2">
      <c r="A210" s="1" t="s">
        <v>2998</v>
      </c>
      <c r="B210" s="1" t="s">
        <v>290</v>
      </c>
      <c r="C210" s="1" t="s">
        <v>3390</v>
      </c>
      <c r="D210" s="1" t="s">
        <v>2999</v>
      </c>
      <c r="E210" s="1" t="s">
        <v>3000</v>
      </c>
      <c r="F210" s="1" t="s">
        <v>291</v>
      </c>
      <c r="I210" s="1" t="s">
        <v>11</v>
      </c>
      <c r="J210" s="1" t="s">
        <v>3393</v>
      </c>
    </row>
    <row r="211" spans="1:12" x14ac:dyDescent="0.2">
      <c r="A211" s="1" t="s">
        <v>3001</v>
      </c>
      <c r="B211" s="1" t="s">
        <v>290</v>
      </c>
      <c r="C211" s="1" t="s">
        <v>3390</v>
      </c>
      <c r="D211" s="1" t="s">
        <v>3002</v>
      </c>
      <c r="E211" s="1" t="s">
        <v>3003</v>
      </c>
      <c r="F211" s="1" t="s">
        <v>291</v>
      </c>
      <c r="I211" s="1" t="s">
        <v>11</v>
      </c>
      <c r="J211" s="1" t="s">
        <v>3393</v>
      </c>
    </row>
    <row r="212" spans="1:12" x14ac:dyDescent="0.2">
      <c r="A212" s="1" t="s">
        <v>3010</v>
      </c>
      <c r="B212" s="1" t="s">
        <v>47</v>
      </c>
      <c r="C212" s="1" t="s">
        <v>3390</v>
      </c>
      <c r="D212" s="1" t="s">
        <v>3011</v>
      </c>
      <c r="E212" s="1" t="s">
        <v>2469</v>
      </c>
      <c r="F212" s="1" t="s">
        <v>1290</v>
      </c>
      <c r="I212" s="121" t="s">
        <v>74</v>
      </c>
      <c r="J212" s="121" t="s">
        <v>3394</v>
      </c>
      <c r="K212" s="3">
        <v>46293</v>
      </c>
      <c r="L212" s="1" t="s">
        <v>2023</v>
      </c>
    </row>
    <row r="213" spans="1:12" x14ac:dyDescent="0.2">
      <c r="A213" s="1" t="s">
        <v>3233</v>
      </c>
      <c r="B213" s="1" t="s">
        <v>47</v>
      </c>
      <c r="C213" s="1" t="s">
        <v>3390</v>
      </c>
      <c r="D213" s="1" t="s">
        <v>3234</v>
      </c>
      <c r="E213" s="1" t="s">
        <v>2370</v>
      </c>
      <c r="F213" s="1" t="s">
        <v>1290</v>
      </c>
      <c r="I213" s="121" t="s">
        <v>74</v>
      </c>
      <c r="J213" s="121" t="s">
        <v>3394</v>
      </c>
      <c r="K213" s="3">
        <v>46293</v>
      </c>
      <c r="L213" s="1" t="s">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1CFC-EF8D-4006-9617-88CF6E1D67AB}">
  <sheetPr>
    <pageSetUpPr fitToPage="1"/>
  </sheetPr>
  <dimension ref="A1:L203"/>
  <sheetViews>
    <sheetView zoomScaleNormal="100" workbookViewId="0">
      <selection activeCell="C1" sqref="C1"/>
    </sheetView>
  </sheetViews>
  <sheetFormatPr baseColWidth="10" defaultColWidth="8.83203125" defaultRowHeight="15" outlineLevelCol="1" x14ac:dyDescent="0.2"/>
  <cols>
    <col min="1" max="1" width="9.5" style="5" customWidth="1"/>
    <col min="2" max="3" width="8.83203125" style="5"/>
    <col min="4" max="4" width="19.5" style="5" customWidth="1"/>
    <col min="5" max="5" width="80.1640625" style="8" customWidth="1"/>
    <col min="6" max="6" width="17" style="5" customWidth="1"/>
    <col min="7" max="7" width="17.1640625" style="5" customWidth="1" outlineLevel="1"/>
    <col min="8" max="8" width="16.6640625" style="5" customWidth="1" outlineLevel="1"/>
    <col min="9" max="9" width="17.6640625" style="5" customWidth="1"/>
    <col min="10" max="10" width="15.1640625" style="5" customWidth="1"/>
    <col min="11" max="11" width="20" style="5" customWidth="1" outlineLevel="1"/>
    <col min="12" max="12" width="24.83203125" style="5" customWidth="1" outlineLevel="1"/>
    <col min="13" max="16384" width="8.83203125" style="5"/>
  </cols>
  <sheetData>
    <row r="1" spans="1:12" ht="16" x14ac:dyDescent="0.2">
      <c r="A1" s="4" t="s">
        <v>0</v>
      </c>
      <c r="B1" s="4" t="s">
        <v>1</v>
      </c>
      <c r="C1" s="4" t="s">
        <v>3374</v>
      </c>
      <c r="D1" s="4" t="s">
        <v>5</v>
      </c>
      <c r="E1" s="7" t="s">
        <v>2</v>
      </c>
      <c r="F1" s="4" t="s">
        <v>4</v>
      </c>
      <c r="G1" s="4" t="s">
        <v>3</v>
      </c>
      <c r="H1" s="4" t="s">
        <v>6</v>
      </c>
      <c r="I1" s="4" t="s">
        <v>3371</v>
      </c>
      <c r="J1" s="4" t="s">
        <v>3370</v>
      </c>
      <c r="K1" s="4" t="s">
        <v>3373</v>
      </c>
      <c r="L1" s="4" t="s">
        <v>3372</v>
      </c>
    </row>
    <row r="2" spans="1:12" ht="16" x14ac:dyDescent="0.2">
      <c r="A2" s="5" t="s">
        <v>1377</v>
      </c>
      <c r="B2" s="5" t="s">
        <v>929</v>
      </c>
      <c r="C2" s="5" t="s">
        <v>3387</v>
      </c>
      <c r="D2" s="5" t="s">
        <v>1307</v>
      </c>
      <c r="E2" s="8" t="s">
        <v>1378</v>
      </c>
      <c r="F2" s="5" t="s">
        <v>1290</v>
      </c>
      <c r="I2" s="5" t="s">
        <v>3394</v>
      </c>
      <c r="J2" s="5" t="s">
        <v>3402</v>
      </c>
      <c r="L2" s="6">
        <v>46254</v>
      </c>
    </row>
    <row r="3" spans="1:12" ht="16" x14ac:dyDescent="0.2">
      <c r="A3" s="5" t="s">
        <v>1403</v>
      </c>
      <c r="B3" s="5" t="s">
        <v>929</v>
      </c>
      <c r="C3" s="5" t="s">
        <v>3387</v>
      </c>
      <c r="D3" s="5" t="s">
        <v>1307</v>
      </c>
      <c r="E3" s="8" t="s">
        <v>1312</v>
      </c>
      <c r="F3" s="5" t="s">
        <v>1290</v>
      </c>
      <c r="I3" s="5" t="s">
        <v>3394</v>
      </c>
      <c r="J3" s="5" t="s">
        <v>3402</v>
      </c>
      <c r="L3" s="6">
        <v>46254</v>
      </c>
    </row>
    <row r="4" spans="1:12" ht="16" x14ac:dyDescent="0.2">
      <c r="A4" s="5" t="s">
        <v>1306</v>
      </c>
      <c r="B4" s="5" t="s">
        <v>929</v>
      </c>
      <c r="C4" s="5" t="s">
        <v>3387</v>
      </c>
      <c r="D4" s="5" t="s">
        <v>1307</v>
      </c>
      <c r="E4" s="8" t="s">
        <v>1308</v>
      </c>
      <c r="F4" s="5" t="s">
        <v>1290</v>
      </c>
      <c r="I4" s="5" t="s">
        <v>3394</v>
      </c>
      <c r="J4" s="5" t="s">
        <v>3402</v>
      </c>
      <c r="L4" s="6">
        <v>46254</v>
      </c>
    </row>
    <row r="5" spans="1:12" ht="16" x14ac:dyDescent="0.2">
      <c r="A5" s="5" t="s">
        <v>1566</v>
      </c>
      <c r="B5" s="5" t="s">
        <v>929</v>
      </c>
      <c r="C5" s="5" t="s">
        <v>3387</v>
      </c>
      <c r="D5" s="5" t="s">
        <v>1307</v>
      </c>
      <c r="E5" s="8" t="s">
        <v>1305</v>
      </c>
      <c r="F5" s="5" t="s">
        <v>1290</v>
      </c>
      <c r="I5" s="5" t="s">
        <v>3393</v>
      </c>
      <c r="J5" s="5" t="s">
        <v>3393</v>
      </c>
      <c r="L5" s="6">
        <v>46254</v>
      </c>
    </row>
    <row r="6" spans="1:12" ht="16" x14ac:dyDescent="0.2">
      <c r="A6" s="5" t="s">
        <v>1569</v>
      </c>
      <c r="B6" s="5" t="s">
        <v>929</v>
      </c>
      <c r="C6" s="5" t="s">
        <v>3387</v>
      </c>
      <c r="D6" s="5" t="s">
        <v>1307</v>
      </c>
      <c r="E6" s="8" t="s">
        <v>1400</v>
      </c>
      <c r="F6" s="5" t="s">
        <v>1290</v>
      </c>
      <c r="I6" s="5" t="s">
        <v>3394</v>
      </c>
      <c r="J6" s="5" t="s">
        <v>3402</v>
      </c>
      <c r="L6" s="6">
        <v>46254</v>
      </c>
    </row>
    <row r="7" spans="1:12" ht="16" x14ac:dyDescent="0.2">
      <c r="A7" s="5" t="s">
        <v>1375</v>
      </c>
      <c r="B7" s="5" t="s">
        <v>929</v>
      </c>
      <c r="C7" s="5" t="s">
        <v>3387</v>
      </c>
      <c r="D7" s="5" t="s">
        <v>1307</v>
      </c>
      <c r="E7" s="19" t="s">
        <v>1376</v>
      </c>
      <c r="F7" s="5" t="s">
        <v>1289</v>
      </c>
      <c r="I7" s="5" t="s">
        <v>3394</v>
      </c>
      <c r="J7" s="5" t="s">
        <v>3402</v>
      </c>
      <c r="L7" s="6">
        <v>46254</v>
      </c>
    </row>
    <row r="8" spans="1:12" ht="16" x14ac:dyDescent="0.2">
      <c r="A8" s="5" t="s">
        <v>2191</v>
      </c>
      <c r="B8" s="5" t="s">
        <v>929</v>
      </c>
      <c r="C8" s="5" t="s">
        <v>3387</v>
      </c>
      <c r="D8" s="5" t="s">
        <v>1307</v>
      </c>
      <c r="E8" s="8" t="s">
        <v>1302</v>
      </c>
      <c r="F8" s="5" t="s">
        <v>1287</v>
      </c>
      <c r="I8" s="5" t="s">
        <v>3394</v>
      </c>
      <c r="J8" s="5" t="s">
        <v>3402</v>
      </c>
      <c r="L8" s="6">
        <v>46254</v>
      </c>
    </row>
    <row r="9" spans="1:12" ht="16" x14ac:dyDescent="0.2">
      <c r="A9" s="5" t="s">
        <v>1478</v>
      </c>
      <c r="B9" s="5" t="s">
        <v>929</v>
      </c>
      <c r="C9" s="5" t="s">
        <v>3387</v>
      </c>
      <c r="D9" s="5" t="s">
        <v>1304</v>
      </c>
      <c r="E9" s="8" t="s">
        <v>1378</v>
      </c>
      <c r="F9" s="5" t="s">
        <v>1290</v>
      </c>
      <c r="I9" s="5" t="s">
        <v>3393</v>
      </c>
      <c r="J9" s="5" t="s">
        <v>3393</v>
      </c>
      <c r="L9" s="6">
        <v>46254</v>
      </c>
    </row>
    <row r="10" spans="1:12" ht="32" x14ac:dyDescent="0.2">
      <c r="A10" s="5" t="s">
        <v>160</v>
      </c>
      <c r="B10" s="5" t="s">
        <v>8</v>
      </c>
      <c r="C10" s="5" t="s">
        <v>3387</v>
      </c>
      <c r="E10" s="8" t="s">
        <v>161</v>
      </c>
      <c r="F10" s="5" t="s">
        <v>86</v>
      </c>
      <c r="G10" s="5" t="s">
        <v>163</v>
      </c>
      <c r="H10" s="5" t="s">
        <v>163</v>
      </c>
      <c r="I10" s="5" t="s">
        <v>3394</v>
      </c>
      <c r="J10" s="5" t="s">
        <v>3394</v>
      </c>
      <c r="K10" s="5" t="s">
        <v>162</v>
      </c>
      <c r="L10" s="6">
        <v>46254</v>
      </c>
    </row>
    <row r="11" spans="1:12" ht="16" x14ac:dyDescent="0.2">
      <c r="A11" s="5" t="s">
        <v>1477</v>
      </c>
      <c r="B11" s="5" t="s">
        <v>929</v>
      </c>
      <c r="C11" s="5" t="s">
        <v>3387</v>
      </c>
      <c r="D11" s="5" t="s">
        <v>1304</v>
      </c>
      <c r="E11" s="8" t="s">
        <v>1312</v>
      </c>
      <c r="F11" s="5" t="s">
        <v>1290</v>
      </c>
      <c r="I11" s="5" t="s">
        <v>3393</v>
      </c>
      <c r="J11" s="5" t="s">
        <v>3393</v>
      </c>
      <c r="L11" s="6">
        <v>46254</v>
      </c>
    </row>
    <row r="12" spans="1:12" ht="16" x14ac:dyDescent="0.2">
      <c r="A12" s="5" t="s">
        <v>1562</v>
      </c>
      <c r="B12" s="5" t="s">
        <v>929</v>
      </c>
      <c r="C12" s="5" t="s">
        <v>3387</v>
      </c>
      <c r="D12" s="5" t="s">
        <v>1304</v>
      </c>
      <c r="E12" s="8" t="s">
        <v>1399</v>
      </c>
      <c r="F12" s="5" t="s">
        <v>1290</v>
      </c>
      <c r="I12" s="5" t="s">
        <v>3393</v>
      </c>
      <c r="J12" s="5" t="s">
        <v>3393</v>
      </c>
      <c r="L12" s="6">
        <v>46254</v>
      </c>
    </row>
    <row r="13" spans="1:12" ht="16" x14ac:dyDescent="0.2">
      <c r="A13" s="5" t="s">
        <v>1565</v>
      </c>
      <c r="B13" s="5" t="s">
        <v>929</v>
      </c>
      <c r="C13" s="5" t="s">
        <v>3387</v>
      </c>
      <c r="D13" s="5" t="s">
        <v>1304</v>
      </c>
      <c r="E13" s="8" t="s">
        <v>1308</v>
      </c>
      <c r="F13" s="5" t="s">
        <v>1290</v>
      </c>
      <c r="I13" s="5" t="s">
        <v>3393</v>
      </c>
      <c r="J13" s="5" t="s">
        <v>3393</v>
      </c>
      <c r="L13" s="6">
        <v>46254</v>
      </c>
    </row>
    <row r="14" spans="1:12" ht="16" x14ac:dyDescent="0.2">
      <c r="A14" s="5" t="s">
        <v>1303</v>
      </c>
      <c r="B14" s="5" t="s">
        <v>929</v>
      </c>
      <c r="C14" s="5" t="s">
        <v>3387</v>
      </c>
      <c r="D14" s="5" t="s">
        <v>1304</v>
      </c>
      <c r="E14" s="8" t="s">
        <v>1305</v>
      </c>
      <c r="F14" s="5" t="s">
        <v>1290</v>
      </c>
      <c r="I14" s="5" t="s">
        <v>3393</v>
      </c>
      <c r="J14" s="5" t="s">
        <v>3393</v>
      </c>
      <c r="L14" s="6">
        <v>46254</v>
      </c>
    </row>
    <row r="15" spans="1:12" ht="16" x14ac:dyDescent="0.2">
      <c r="A15" s="5" t="s">
        <v>2208</v>
      </c>
      <c r="B15" s="5" t="s">
        <v>929</v>
      </c>
      <c r="C15" s="5" t="s">
        <v>3387</v>
      </c>
      <c r="D15" s="5" t="s">
        <v>1304</v>
      </c>
      <c r="E15" s="8" t="s">
        <v>1400</v>
      </c>
      <c r="F15" s="5" t="s">
        <v>1289</v>
      </c>
      <c r="I15" s="5" t="s">
        <v>3393</v>
      </c>
      <c r="J15" s="5" t="s">
        <v>3393</v>
      </c>
      <c r="L15" s="6">
        <v>46254</v>
      </c>
    </row>
    <row r="16" spans="1:12" ht="16" x14ac:dyDescent="0.2">
      <c r="A16" s="5" t="s">
        <v>1561</v>
      </c>
      <c r="B16" s="5" t="s">
        <v>929</v>
      </c>
      <c r="C16" s="5" t="s">
        <v>3387</v>
      </c>
      <c r="D16" s="5" t="s">
        <v>1304</v>
      </c>
      <c r="E16" s="8" t="s">
        <v>1376</v>
      </c>
      <c r="F16" s="5" t="s">
        <v>1287</v>
      </c>
      <c r="I16" s="5" t="s">
        <v>3393</v>
      </c>
      <c r="J16" s="5" t="s">
        <v>3393</v>
      </c>
      <c r="L16" s="6">
        <v>46254</v>
      </c>
    </row>
    <row r="17" spans="1:12" ht="16" x14ac:dyDescent="0.2">
      <c r="A17" s="5" t="s">
        <v>1982</v>
      </c>
      <c r="B17" s="5" t="s">
        <v>929</v>
      </c>
      <c r="C17" s="5" t="s">
        <v>3387</v>
      </c>
      <c r="D17" s="5" t="s">
        <v>1304</v>
      </c>
      <c r="E17" s="8" t="s">
        <v>1302</v>
      </c>
      <c r="F17" s="5" t="s">
        <v>1289</v>
      </c>
      <c r="I17" s="5" t="s">
        <v>3393</v>
      </c>
      <c r="J17" s="5" t="s">
        <v>3393</v>
      </c>
      <c r="L17" s="6">
        <v>46254</v>
      </c>
    </row>
    <row r="18" spans="1:12" ht="16" x14ac:dyDescent="0.2">
      <c r="A18" s="5" t="s">
        <v>1379</v>
      </c>
      <c r="B18" s="5" t="s">
        <v>929</v>
      </c>
      <c r="C18" s="5" t="s">
        <v>3387</v>
      </c>
      <c r="D18" s="5" t="s">
        <v>1304</v>
      </c>
      <c r="E18" s="8" t="s">
        <v>1380</v>
      </c>
      <c r="F18" s="5" t="s">
        <v>1289</v>
      </c>
      <c r="I18" s="5" t="s">
        <v>3393</v>
      </c>
      <c r="J18" s="5" t="s">
        <v>3393</v>
      </c>
      <c r="L18" s="6">
        <v>46254</v>
      </c>
    </row>
    <row r="19" spans="1:12" ht="16" x14ac:dyDescent="0.2">
      <c r="A19" s="5" t="s">
        <v>422</v>
      </c>
      <c r="B19" s="5" t="s">
        <v>8</v>
      </c>
      <c r="C19" s="5" t="s">
        <v>3387</v>
      </c>
      <c r="E19" s="8" t="s">
        <v>423</v>
      </c>
      <c r="F19" s="5" t="s">
        <v>113</v>
      </c>
      <c r="I19" s="5" t="s">
        <v>3394</v>
      </c>
      <c r="J19" s="5" t="s">
        <v>3402</v>
      </c>
      <c r="L19" s="6">
        <v>46254</v>
      </c>
    </row>
    <row r="20" spans="1:12" ht="16" x14ac:dyDescent="0.2">
      <c r="A20" s="5" t="s">
        <v>424</v>
      </c>
      <c r="B20" s="5" t="s">
        <v>8</v>
      </c>
      <c r="C20" s="5" t="s">
        <v>3387</v>
      </c>
      <c r="E20" s="8" t="s">
        <v>425</v>
      </c>
      <c r="F20" s="5" t="s">
        <v>86</v>
      </c>
      <c r="I20" s="5" t="s">
        <v>3394</v>
      </c>
      <c r="J20" s="5" t="s">
        <v>3402</v>
      </c>
      <c r="L20" s="6">
        <v>46254</v>
      </c>
    </row>
    <row r="21" spans="1:12" ht="16" x14ac:dyDescent="0.2">
      <c r="A21" s="5" t="s">
        <v>426</v>
      </c>
      <c r="B21" s="5" t="s">
        <v>8</v>
      </c>
      <c r="C21" s="5" t="s">
        <v>3387</v>
      </c>
      <c r="E21" s="8" t="s">
        <v>427</v>
      </c>
      <c r="F21" s="5" t="s">
        <v>108</v>
      </c>
      <c r="I21" s="5" t="s">
        <v>3394</v>
      </c>
      <c r="J21" s="5" t="s">
        <v>3402</v>
      </c>
      <c r="L21" s="6">
        <v>46254</v>
      </c>
    </row>
    <row r="22" spans="1:12" ht="16" x14ac:dyDescent="0.2">
      <c r="A22" s="5" t="s">
        <v>428</v>
      </c>
      <c r="B22" s="5" t="s">
        <v>8</v>
      </c>
      <c r="C22" s="5" t="s">
        <v>3387</v>
      </c>
      <c r="E22" s="8" t="s">
        <v>429</v>
      </c>
      <c r="F22" s="5" t="s">
        <v>108</v>
      </c>
      <c r="I22" s="5" t="s">
        <v>3394</v>
      </c>
      <c r="J22" s="5" t="s">
        <v>3402</v>
      </c>
      <c r="L22" s="6">
        <v>46254</v>
      </c>
    </row>
    <row r="23" spans="1:12" ht="32" x14ac:dyDescent="0.2">
      <c r="A23" s="5" t="s">
        <v>430</v>
      </c>
      <c r="B23" s="5" t="s">
        <v>8</v>
      </c>
      <c r="C23" s="5" t="s">
        <v>3387</v>
      </c>
      <c r="E23" s="8" t="s">
        <v>431</v>
      </c>
      <c r="F23" s="5" t="s">
        <v>86</v>
      </c>
      <c r="I23" s="5" t="s">
        <v>3394</v>
      </c>
      <c r="J23" s="5" t="s">
        <v>3402</v>
      </c>
      <c r="L23" s="6">
        <v>46254</v>
      </c>
    </row>
    <row r="24" spans="1:12" ht="16" x14ac:dyDescent="0.2">
      <c r="A24" s="5" t="s">
        <v>432</v>
      </c>
      <c r="B24" s="5" t="s">
        <v>8</v>
      </c>
      <c r="C24" s="5" t="s">
        <v>3387</v>
      </c>
      <c r="E24" s="8" t="s">
        <v>433</v>
      </c>
      <c r="F24" s="5" t="s">
        <v>86</v>
      </c>
      <c r="I24" s="5" t="s">
        <v>3394</v>
      </c>
      <c r="J24" s="5" t="s">
        <v>3402</v>
      </c>
      <c r="L24" s="6">
        <v>46254</v>
      </c>
    </row>
    <row r="25" spans="1:12" ht="16" x14ac:dyDescent="0.2">
      <c r="A25" s="5" t="s">
        <v>434</v>
      </c>
      <c r="B25" s="5" t="s">
        <v>8</v>
      </c>
      <c r="C25" s="5" t="s">
        <v>3387</v>
      </c>
      <c r="E25" s="8" t="s">
        <v>435</v>
      </c>
      <c r="F25" s="5" t="s">
        <v>86</v>
      </c>
      <c r="I25" s="5" t="s">
        <v>3394</v>
      </c>
      <c r="J25" s="122" t="s">
        <v>3394</v>
      </c>
      <c r="K25" s="6">
        <v>46293</v>
      </c>
      <c r="L25" s="6">
        <v>46254</v>
      </c>
    </row>
    <row r="26" spans="1:12" ht="16" x14ac:dyDescent="0.2">
      <c r="A26" s="5" t="s">
        <v>196</v>
      </c>
      <c r="B26" s="5" t="s">
        <v>8</v>
      </c>
      <c r="C26" s="5" t="s">
        <v>3387</v>
      </c>
      <c r="E26" s="19" t="s">
        <v>197</v>
      </c>
      <c r="F26" s="5" t="s">
        <v>43</v>
      </c>
      <c r="I26" s="5" t="s">
        <v>3394</v>
      </c>
      <c r="J26" s="5" t="s">
        <v>3394</v>
      </c>
      <c r="K26" s="6">
        <v>46226</v>
      </c>
      <c r="L26" s="6">
        <v>46254</v>
      </c>
    </row>
    <row r="27" spans="1:12" ht="16" x14ac:dyDescent="0.2">
      <c r="A27" s="5" t="s">
        <v>436</v>
      </c>
      <c r="B27" s="5" t="s">
        <v>8</v>
      </c>
      <c r="C27" s="5" t="s">
        <v>3387</v>
      </c>
      <c r="E27" s="8" t="s">
        <v>437</v>
      </c>
      <c r="F27" s="5" t="s">
        <v>86</v>
      </c>
      <c r="I27" s="5" t="s">
        <v>3394</v>
      </c>
      <c r="J27" s="122" t="s">
        <v>3394</v>
      </c>
      <c r="K27" s="6">
        <v>46293</v>
      </c>
      <c r="L27" s="6">
        <v>46254</v>
      </c>
    </row>
    <row r="28" spans="1:12" ht="32" x14ac:dyDescent="0.2">
      <c r="A28" s="5" t="s">
        <v>438</v>
      </c>
      <c r="B28" s="5" t="s">
        <v>8</v>
      </c>
      <c r="C28" s="5" t="s">
        <v>3387</v>
      </c>
      <c r="E28" s="8" t="s">
        <v>439</v>
      </c>
      <c r="F28" s="5" t="s">
        <v>86</v>
      </c>
      <c r="I28" s="5" t="s">
        <v>3394</v>
      </c>
      <c r="J28" s="5" t="s">
        <v>3402</v>
      </c>
      <c r="L28" s="6">
        <v>46254</v>
      </c>
    </row>
    <row r="29" spans="1:12" ht="16" x14ac:dyDescent="0.2">
      <c r="A29" s="5" t="s">
        <v>462</v>
      </c>
      <c r="B29" s="5" t="s">
        <v>8</v>
      </c>
      <c r="C29" s="5" t="s">
        <v>3387</v>
      </c>
      <c r="E29" s="8" t="s">
        <v>463</v>
      </c>
      <c r="F29" s="5" t="s">
        <v>43</v>
      </c>
      <c r="I29" s="5" t="s">
        <v>3394</v>
      </c>
      <c r="J29" s="5" t="s">
        <v>3402</v>
      </c>
      <c r="L29" s="6">
        <v>46254</v>
      </c>
    </row>
    <row r="30" spans="1:12" ht="16" x14ac:dyDescent="0.2">
      <c r="A30" s="5" t="s">
        <v>464</v>
      </c>
      <c r="B30" s="5" t="s">
        <v>8</v>
      </c>
      <c r="C30" s="5" t="s">
        <v>3387</v>
      </c>
      <c r="E30" s="8" t="s">
        <v>465</v>
      </c>
      <c r="F30" s="5" t="s">
        <v>86</v>
      </c>
      <c r="I30" s="5" t="s">
        <v>3394</v>
      </c>
      <c r="J30" s="5" t="s">
        <v>3402</v>
      </c>
      <c r="L30" s="6">
        <v>46254</v>
      </c>
    </row>
    <row r="31" spans="1:12" ht="32" x14ac:dyDescent="0.2">
      <c r="A31" s="5" t="s">
        <v>468</v>
      </c>
      <c r="B31" s="5" t="s">
        <v>8</v>
      </c>
      <c r="C31" s="5" t="s">
        <v>3387</v>
      </c>
      <c r="E31" s="8" t="s">
        <v>469</v>
      </c>
      <c r="F31" s="5" t="s">
        <v>128</v>
      </c>
      <c r="I31" s="5" t="s">
        <v>3394</v>
      </c>
      <c r="J31" s="5" t="s">
        <v>3402</v>
      </c>
      <c r="L31" s="6">
        <v>46254</v>
      </c>
    </row>
    <row r="32" spans="1:12" ht="16" x14ac:dyDescent="0.2">
      <c r="A32" s="5" t="s">
        <v>470</v>
      </c>
      <c r="B32" s="5" t="s">
        <v>8</v>
      </c>
      <c r="C32" s="5" t="s">
        <v>3387</v>
      </c>
      <c r="E32" s="8" t="s">
        <v>471</v>
      </c>
      <c r="F32" s="5" t="s">
        <v>43</v>
      </c>
      <c r="I32" s="5" t="s">
        <v>3394</v>
      </c>
      <c r="J32" s="5" t="s">
        <v>3402</v>
      </c>
      <c r="L32" s="6">
        <v>46254</v>
      </c>
    </row>
    <row r="33" spans="1:12" ht="16" x14ac:dyDescent="0.2">
      <c r="A33" s="5" t="s">
        <v>210</v>
      </c>
      <c r="B33" s="5" t="s">
        <v>8</v>
      </c>
      <c r="C33" s="5" t="s">
        <v>3387</v>
      </c>
      <c r="E33" s="8" t="s">
        <v>211</v>
      </c>
      <c r="F33" s="5" t="s">
        <v>128</v>
      </c>
      <c r="G33" s="5" t="s">
        <v>137</v>
      </c>
      <c r="H33" s="5" t="s">
        <v>137</v>
      </c>
      <c r="I33" s="5" t="s">
        <v>3394</v>
      </c>
      <c r="J33" s="5" t="s">
        <v>3394</v>
      </c>
      <c r="K33" s="5" t="s">
        <v>81</v>
      </c>
      <c r="L33" s="6">
        <v>46254</v>
      </c>
    </row>
    <row r="34" spans="1:12" ht="16" x14ac:dyDescent="0.2">
      <c r="A34" s="5" t="s">
        <v>472</v>
      </c>
      <c r="B34" s="5" t="s">
        <v>8</v>
      </c>
      <c r="C34" s="5" t="s">
        <v>3387</v>
      </c>
      <c r="E34" s="8" t="s">
        <v>473</v>
      </c>
      <c r="F34" s="5" t="s">
        <v>43</v>
      </c>
      <c r="I34" s="5" t="s">
        <v>3394</v>
      </c>
      <c r="J34" s="5" t="s">
        <v>3402</v>
      </c>
      <c r="L34" s="6">
        <v>46254</v>
      </c>
    </row>
    <row r="35" spans="1:12" ht="16" x14ac:dyDescent="0.2">
      <c r="A35" s="5" t="s">
        <v>474</v>
      </c>
      <c r="B35" s="5" t="s">
        <v>8</v>
      </c>
      <c r="C35" s="5" t="s">
        <v>3387</v>
      </c>
      <c r="E35" s="8" t="s">
        <v>475</v>
      </c>
      <c r="F35" s="5" t="s">
        <v>86</v>
      </c>
      <c r="I35" s="5" t="s">
        <v>3394</v>
      </c>
      <c r="J35" s="5" t="s">
        <v>3402</v>
      </c>
      <c r="L35" s="6">
        <v>46254</v>
      </c>
    </row>
    <row r="36" spans="1:12" ht="16" x14ac:dyDescent="0.2">
      <c r="A36" s="5" t="s">
        <v>476</v>
      </c>
      <c r="B36" s="5" t="s">
        <v>8</v>
      </c>
      <c r="C36" s="5" t="s">
        <v>3387</v>
      </c>
      <c r="E36" s="8" t="s">
        <v>477</v>
      </c>
      <c r="F36" s="5" t="s">
        <v>113</v>
      </c>
      <c r="I36" s="5" t="s">
        <v>3394</v>
      </c>
      <c r="J36" s="5" t="s">
        <v>3402</v>
      </c>
      <c r="L36" s="6">
        <v>46254</v>
      </c>
    </row>
    <row r="37" spans="1:12" ht="16" x14ac:dyDescent="0.2">
      <c r="A37" s="5" t="s">
        <v>478</v>
      </c>
      <c r="B37" s="5" t="s">
        <v>8</v>
      </c>
      <c r="C37" s="5" t="s">
        <v>3387</v>
      </c>
      <c r="E37" s="8" t="s">
        <v>479</v>
      </c>
      <c r="F37" s="5" t="s">
        <v>43</v>
      </c>
      <c r="I37" s="5" t="s">
        <v>3393</v>
      </c>
      <c r="J37" s="5" t="s">
        <v>3393</v>
      </c>
      <c r="L37" s="6">
        <v>46254</v>
      </c>
    </row>
    <row r="38" spans="1:12" ht="16" x14ac:dyDescent="0.2">
      <c r="A38" s="5" t="s">
        <v>480</v>
      </c>
      <c r="B38" s="5" t="s">
        <v>8</v>
      </c>
      <c r="C38" s="5" t="s">
        <v>3387</v>
      </c>
      <c r="E38" s="8" t="s">
        <v>481</v>
      </c>
      <c r="F38" s="5" t="s">
        <v>43</v>
      </c>
      <c r="I38" s="5" t="s">
        <v>3394</v>
      </c>
      <c r="J38" s="5" t="s">
        <v>3402</v>
      </c>
      <c r="L38" s="6">
        <v>46254</v>
      </c>
    </row>
    <row r="39" spans="1:12" ht="16" x14ac:dyDescent="0.2">
      <c r="A39" s="5" t="s">
        <v>482</v>
      </c>
      <c r="B39" s="5" t="s">
        <v>8</v>
      </c>
      <c r="C39" s="5" t="s">
        <v>3387</v>
      </c>
      <c r="E39" s="8" t="s">
        <v>483</v>
      </c>
      <c r="F39" s="5" t="s">
        <v>43</v>
      </c>
      <c r="I39" s="5" t="s">
        <v>3394</v>
      </c>
      <c r="J39" s="5" t="s">
        <v>3402</v>
      </c>
      <c r="L39" s="6">
        <v>46254</v>
      </c>
    </row>
    <row r="40" spans="1:12" ht="16" x14ac:dyDescent="0.2">
      <c r="A40" s="5" t="s">
        <v>144</v>
      </c>
      <c r="B40" s="5" t="s">
        <v>8</v>
      </c>
      <c r="C40" s="5" t="s">
        <v>3387</v>
      </c>
      <c r="E40" s="8" t="s">
        <v>145</v>
      </c>
      <c r="F40" s="5" t="s">
        <v>86</v>
      </c>
      <c r="I40" s="5" t="s">
        <v>3394</v>
      </c>
      <c r="J40" s="122" t="s">
        <v>3394</v>
      </c>
      <c r="K40" s="6">
        <v>46293</v>
      </c>
      <c r="L40" s="6">
        <v>46254</v>
      </c>
    </row>
    <row r="41" spans="1:12" ht="16" x14ac:dyDescent="0.2">
      <c r="A41" s="5" t="s">
        <v>146</v>
      </c>
      <c r="B41" s="5" t="s">
        <v>8</v>
      </c>
      <c r="C41" s="5" t="s">
        <v>3387</v>
      </c>
      <c r="E41" s="8" t="s">
        <v>147</v>
      </c>
      <c r="F41" s="5" t="s">
        <v>43</v>
      </c>
      <c r="I41" s="5" t="s">
        <v>3394</v>
      </c>
      <c r="J41" s="5" t="s">
        <v>3402</v>
      </c>
      <c r="L41" s="6">
        <v>46254</v>
      </c>
    </row>
    <row r="42" spans="1:12" ht="16" x14ac:dyDescent="0.2">
      <c r="A42" s="5" t="s">
        <v>148</v>
      </c>
      <c r="B42" s="5" t="s">
        <v>8</v>
      </c>
      <c r="C42" s="5" t="s">
        <v>3387</v>
      </c>
      <c r="E42" s="8" t="s">
        <v>149</v>
      </c>
      <c r="F42" s="5" t="s">
        <v>113</v>
      </c>
      <c r="I42" s="5" t="s">
        <v>3394</v>
      </c>
      <c r="J42" s="5" t="s">
        <v>3402</v>
      </c>
      <c r="L42" s="6">
        <v>46254</v>
      </c>
    </row>
    <row r="43" spans="1:12" ht="16" x14ac:dyDescent="0.2">
      <c r="A43" s="5" t="s">
        <v>150</v>
      </c>
      <c r="B43" s="5" t="s">
        <v>8</v>
      </c>
      <c r="C43" s="5" t="s">
        <v>3387</v>
      </c>
      <c r="E43" s="8" t="s">
        <v>151</v>
      </c>
      <c r="F43" s="5" t="s">
        <v>86</v>
      </c>
      <c r="I43" s="5" t="s">
        <v>3394</v>
      </c>
      <c r="J43" s="5" t="s">
        <v>3402</v>
      </c>
      <c r="L43" s="6">
        <v>46254</v>
      </c>
    </row>
    <row r="44" spans="1:12" ht="16" x14ac:dyDescent="0.2">
      <c r="A44" s="5" t="s">
        <v>152</v>
      </c>
      <c r="B44" s="5" t="s">
        <v>8</v>
      </c>
      <c r="C44" s="5" t="s">
        <v>3387</v>
      </c>
      <c r="E44" s="8" t="s">
        <v>153</v>
      </c>
      <c r="F44" s="5" t="s">
        <v>86</v>
      </c>
      <c r="I44" s="5" t="s">
        <v>3393</v>
      </c>
      <c r="J44" s="5" t="s">
        <v>3393</v>
      </c>
      <c r="L44" s="6">
        <v>46254</v>
      </c>
    </row>
    <row r="45" spans="1:12" ht="16" x14ac:dyDescent="0.2">
      <c r="A45" s="5" t="s">
        <v>154</v>
      </c>
      <c r="B45" s="5" t="s">
        <v>8</v>
      </c>
      <c r="C45" s="5" t="s">
        <v>3387</v>
      </c>
      <c r="E45" s="8" t="s">
        <v>155</v>
      </c>
      <c r="F45" s="5" t="s">
        <v>43</v>
      </c>
      <c r="I45" s="5" t="s">
        <v>3393</v>
      </c>
      <c r="J45" s="5" t="s">
        <v>3393</v>
      </c>
      <c r="L45" s="6">
        <v>46254</v>
      </c>
    </row>
    <row r="46" spans="1:12" ht="16" x14ac:dyDescent="0.2">
      <c r="A46" s="5" t="s">
        <v>156</v>
      </c>
      <c r="B46" s="5" t="s">
        <v>8</v>
      </c>
      <c r="C46" s="5" t="s">
        <v>3387</v>
      </c>
      <c r="E46" s="8" t="s">
        <v>157</v>
      </c>
      <c r="F46" s="5" t="s">
        <v>86</v>
      </c>
      <c r="I46" s="5" t="s">
        <v>3394</v>
      </c>
      <c r="J46" s="5" t="s">
        <v>3402</v>
      </c>
      <c r="L46" s="6">
        <v>46254</v>
      </c>
    </row>
    <row r="47" spans="1:12" ht="16" x14ac:dyDescent="0.2">
      <c r="A47" s="5" t="s">
        <v>158</v>
      </c>
      <c r="B47" s="5" t="s">
        <v>8</v>
      </c>
      <c r="C47" s="5" t="s">
        <v>3387</v>
      </c>
      <c r="E47" s="8" t="s">
        <v>159</v>
      </c>
      <c r="F47" s="5" t="s">
        <v>86</v>
      </c>
      <c r="I47" s="5" t="s">
        <v>3394</v>
      </c>
      <c r="J47" s="5" t="s">
        <v>3402</v>
      </c>
      <c r="L47" s="6">
        <v>46254</v>
      </c>
    </row>
    <row r="48" spans="1:12" ht="16" x14ac:dyDescent="0.2">
      <c r="A48" s="5" t="s">
        <v>164</v>
      </c>
      <c r="B48" s="5" t="s">
        <v>8</v>
      </c>
      <c r="C48" s="5" t="s">
        <v>3387</v>
      </c>
      <c r="E48" s="8" t="s">
        <v>165</v>
      </c>
      <c r="F48" s="5" t="s">
        <v>86</v>
      </c>
      <c r="I48" s="5" t="s">
        <v>3394</v>
      </c>
      <c r="J48" s="5" t="s">
        <v>3402</v>
      </c>
      <c r="L48" s="6">
        <v>46254</v>
      </c>
    </row>
    <row r="49" spans="1:12" ht="16" x14ac:dyDescent="0.2">
      <c r="A49" s="5" t="s">
        <v>466</v>
      </c>
      <c r="B49" s="5" t="s">
        <v>8</v>
      </c>
      <c r="C49" s="5" t="s">
        <v>3387</v>
      </c>
      <c r="E49" s="8" t="s">
        <v>467</v>
      </c>
      <c r="F49" s="5" t="s">
        <v>113</v>
      </c>
      <c r="I49" s="5" t="s">
        <v>3394</v>
      </c>
      <c r="J49" s="5" t="s">
        <v>3394</v>
      </c>
      <c r="K49" s="6">
        <v>46226</v>
      </c>
      <c r="L49" s="6">
        <v>46254</v>
      </c>
    </row>
    <row r="50" spans="1:12" ht="32" x14ac:dyDescent="0.2">
      <c r="A50" s="5" t="s">
        <v>168</v>
      </c>
      <c r="B50" s="5" t="s">
        <v>8</v>
      </c>
      <c r="C50" s="5" t="s">
        <v>3387</v>
      </c>
      <c r="E50" s="8" t="s">
        <v>169</v>
      </c>
      <c r="F50" s="5" t="s">
        <v>43</v>
      </c>
      <c r="I50" s="5" t="s">
        <v>3394</v>
      </c>
      <c r="J50" s="5" t="s">
        <v>3402</v>
      </c>
      <c r="L50" s="6">
        <v>46254</v>
      </c>
    </row>
    <row r="51" spans="1:12" ht="16" x14ac:dyDescent="0.2">
      <c r="A51" s="5" t="s">
        <v>170</v>
      </c>
      <c r="B51" s="5" t="s">
        <v>8</v>
      </c>
      <c r="C51" s="5" t="s">
        <v>3387</v>
      </c>
      <c r="E51" s="8" t="s">
        <v>171</v>
      </c>
      <c r="F51" s="5" t="s">
        <v>43</v>
      </c>
      <c r="I51" s="5" t="s">
        <v>3394</v>
      </c>
      <c r="J51" s="5" t="s">
        <v>3402</v>
      </c>
      <c r="L51" s="6">
        <v>46254</v>
      </c>
    </row>
    <row r="52" spans="1:12" ht="16" x14ac:dyDescent="0.2">
      <c r="A52" s="5" t="s">
        <v>172</v>
      </c>
      <c r="B52" s="5" t="s">
        <v>8</v>
      </c>
      <c r="C52" s="5" t="s">
        <v>3387</v>
      </c>
      <c r="E52" s="13" t="s">
        <v>173</v>
      </c>
      <c r="F52" s="5" t="s">
        <v>43</v>
      </c>
      <c r="I52" s="5" t="s">
        <v>3394</v>
      </c>
      <c r="J52" s="5" t="s">
        <v>3402</v>
      </c>
      <c r="L52" s="6">
        <v>46254</v>
      </c>
    </row>
    <row r="53" spans="1:12" ht="16" x14ac:dyDescent="0.2">
      <c r="A53" s="5" t="s">
        <v>174</v>
      </c>
      <c r="B53" s="5" t="s">
        <v>8</v>
      </c>
      <c r="C53" s="5" t="s">
        <v>3387</v>
      </c>
      <c r="E53" s="8" t="s">
        <v>175</v>
      </c>
      <c r="F53" s="5" t="s">
        <v>86</v>
      </c>
      <c r="I53" s="5" t="s">
        <v>3394</v>
      </c>
      <c r="J53" s="5" t="s">
        <v>3402</v>
      </c>
      <c r="L53" s="6">
        <v>46254</v>
      </c>
    </row>
    <row r="54" spans="1:12" ht="16" x14ac:dyDescent="0.2">
      <c r="A54" s="5" t="s">
        <v>176</v>
      </c>
      <c r="B54" s="5" t="s">
        <v>8</v>
      </c>
      <c r="C54" s="5" t="s">
        <v>3387</v>
      </c>
      <c r="E54" s="13" t="s">
        <v>177</v>
      </c>
      <c r="F54" s="5" t="s">
        <v>113</v>
      </c>
      <c r="I54" s="5" t="s">
        <v>3394</v>
      </c>
      <c r="J54" s="5" t="s">
        <v>3402</v>
      </c>
      <c r="L54" s="6">
        <v>46254</v>
      </c>
    </row>
    <row r="55" spans="1:12" ht="16" x14ac:dyDescent="0.2">
      <c r="A55" s="5" t="s">
        <v>178</v>
      </c>
      <c r="B55" s="5" t="s">
        <v>8</v>
      </c>
      <c r="C55" s="5" t="s">
        <v>3387</v>
      </c>
      <c r="E55" s="8" t="s">
        <v>179</v>
      </c>
      <c r="F55" s="5" t="s">
        <v>86</v>
      </c>
      <c r="I55" s="5" t="s">
        <v>3394</v>
      </c>
      <c r="J55" s="5" t="s">
        <v>3402</v>
      </c>
      <c r="L55" s="6">
        <v>46254</v>
      </c>
    </row>
    <row r="56" spans="1:12" ht="16" x14ac:dyDescent="0.2">
      <c r="A56" s="5" t="s">
        <v>180</v>
      </c>
      <c r="B56" s="5" t="s">
        <v>8</v>
      </c>
      <c r="C56" s="5" t="s">
        <v>3387</v>
      </c>
      <c r="E56" s="8" t="s">
        <v>181</v>
      </c>
      <c r="F56" s="5" t="s">
        <v>86</v>
      </c>
      <c r="I56" s="5" t="s">
        <v>3394</v>
      </c>
      <c r="J56" s="5" t="s">
        <v>3402</v>
      </c>
      <c r="L56" s="6">
        <v>46254</v>
      </c>
    </row>
    <row r="57" spans="1:12" ht="16" x14ac:dyDescent="0.2">
      <c r="A57" s="5" t="s">
        <v>182</v>
      </c>
      <c r="B57" s="5" t="s">
        <v>8</v>
      </c>
      <c r="C57" s="5" t="s">
        <v>3387</v>
      </c>
      <c r="E57" s="8" t="s">
        <v>183</v>
      </c>
      <c r="F57" s="5" t="s">
        <v>43</v>
      </c>
      <c r="I57" s="5" t="s">
        <v>3394</v>
      </c>
      <c r="J57" s="5" t="s">
        <v>3402</v>
      </c>
      <c r="L57" s="6">
        <v>46254</v>
      </c>
    </row>
    <row r="58" spans="1:12" ht="16" x14ac:dyDescent="0.2">
      <c r="A58" s="5" t="s">
        <v>184</v>
      </c>
      <c r="B58" s="5" t="s">
        <v>8</v>
      </c>
      <c r="C58" s="5" t="s">
        <v>3387</v>
      </c>
      <c r="E58" s="8" t="s">
        <v>185</v>
      </c>
      <c r="F58" s="5" t="s">
        <v>86</v>
      </c>
      <c r="I58" s="5" t="s">
        <v>3394</v>
      </c>
      <c r="J58" s="5" t="s">
        <v>3402</v>
      </c>
      <c r="L58" s="6">
        <v>46254</v>
      </c>
    </row>
    <row r="59" spans="1:12" ht="16" x14ac:dyDescent="0.2">
      <c r="A59" s="5" t="s">
        <v>186</v>
      </c>
      <c r="B59" s="5" t="s">
        <v>8</v>
      </c>
      <c r="C59" s="5" t="s">
        <v>3387</v>
      </c>
      <c r="E59" s="8" t="s">
        <v>187</v>
      </c>
      <c r="F59" s="5" t="s">
        <v>86</v>
      </c>
      <c r="I59" s="5" t="s">
        <v>3394</v>
      </c>
      <c r="J59" s="5" t="s">
        <v>3402</v>
      </c>
      <c r="L59" s="6">
        <v>46254</v>
      </c>
    </row>
    <row r="60" spans="1:12" ht="16" x14ac:dyDescent="0.2">
      <c r="A60" s="5" t="s">
        <v>188</v>
      </c>
      <c r="B60" s="5" t="s">
        <v>8</v>
      </c>
      <c r="C60" s="5" t="s">
        <v>3387</v>
      </c>
      <c r="E60" s="8" t="s">
        <v>189</v>
      </c>
      <c r="F60" s="5" t="s">
        <v>86</v>
      </c>
      <c r="I60" s="5" t="s">
        <v>3394</v>
      </c>
      <c r="J60" s="5" t="s">
        <v>3402</v>
      </c>
      <c r="L60" s="6">
        <v>46254</v>
      </c>
    </row>
    <row r="61" spans="1:12" ht="16" x14ac:dyDescent="0.2">
      <c r="A61" s="5" t="s">
        <v>190</v>
      </c>
      <c r="B61" s="5" t="s">
        <v>8</v>
      </c>
      <c r="C61" s="5" t="s">
        <v>3387</v>
      </c>
      <c r="E61" s="13" t="s">
        <v>191</v>
      </c>
      <c r="F61" s="5" t="s">
        <v>113</v>
      </c>
      <c r="I61" s="5" t="s">
        <v>3394</v>
      </c>
      <c r="J61" s="5" t="s">
        <v>3402</v>
      </c>
      <c r="L61" s="6">
        <v>46254</v>
      </c>
    </row>
    <row r="62" spans="1:12" ht="16" x14ac:dyDescent="0.2">
      <c r="A62" s="5" t="s">
        <v>192</v>
      </c>
      <c r="B62" s="5" t="s">
        <v>8</v>
      </c>
      <c r="C62" s="5" t="s">
        <v>3387</v>
      </c>
      <c r="E62" s="8" t="s">
        <v>193</v>
      </c>
      <c r="F62" s="5" t="s">
        <v>113</v>
      </c>
      <c r="I62" s="5" t="s">
        <v>3394</v>
      </c>
      <c r="J62" s="5" t="s">
        <v>3402</v>
      </c>
      <c r="L62" s="6">
        <v>46254</v>
      </c>
    </row>
    <row r="63" spans="1:12" ht="16" x14ac:dyDescent="0.2">
      <c r="A63" s="5" t="s">
        <v>194</v>
      </c>
      <c r="B63" s="5" t="s">
        <v>8</v>
      </c>
      <c r="C63" s="5" t="s">
        <v>3387</v>
      </c>
      <c r="E63" s="13" t="s">
        <v>195</v>
      </c>
      <c r="F63" s="5" t="s">
        <v>43</v>
      </c>
      <c r="I63" s="5" t="s">
        <v>3394</v>
      </c>
      <c r="J63" s="5" t="s">
        <v>3402</v>
      </c>
      <c r="L63" s="6">
        <v>46254</v>
      </c>
    </row>
    <row r="64" spans="1:12" ht="16" x14ac:dyDescent="0.2">
      <c r="A64" s="5" t="s">
        <v>198</v>
      </c>
      <c r="B64" s="5" t="s">
        <v>8</v>
      </c>
      <c r="C64" s="5" t="s">
        <v>3387</v>
      </c>
      <c r="E64" s="15" t="s">
        <v>199</v>
      </c>
      <c r="F64" s="5" t="s">
        <v>43</v>
      </c>
      <c r="I64" s="5" t="s">
        <v>3394</v>
      </c>
      <c r="J64" s="5" t="s">
        <v>3402</v>
      </c>
      <c r="L64" s="6">
        <v>46254</v>
      </c>
    </row>
    <row r="65" spans="1:12" ht="32" x14ac:dyDescent="0.2">
      <c r="A65" s="5" t="s">
        <v>200</v>
      </c>
      <c r="B65" s="5" t="s">
        <v>8</v>
      </c>
      <c r="C65" s="5" t="s">
        <v>3387</v>
      </c>
      <c r="E65" s="8" t="s">
        <v>201</v>
      </c>
      <c r="F65" s="5" t="s">
        <v>128</v>
      </c>
      <c r="I65" s="5" t="s">
        <v>3394</v>
      </c>
      <c r="J65" s="5" t="s">
        <v>3402</v>
      </c>
      <c r="L65" s="6">
        <v>46254</v>
      </c>
    </row>
    <row r="66" spans="1:12" ht="16" x14ac:dyDescent="0.2">
      <c r="A66" s="5" t="s">
        <v>202</v>
      </c>
      <c r="B66" s="5" t="s">
        <v>8</v>
      </c>
      <c r="C66" s="5" t="s">
        <v>3387</v>
      </c>
      <c r="E66" s="8" t="s">
        <v>203</v>
      </c>
      <c r="F66" s="5" t="s">
        <v>113</v>
      </c>
      <c r="I66" s="5" t="s">
        <v>3394</v>
      </c>
      <c r="J66" s="5" t="s">
        <v>3402</v>
      </c>
      <c r="L66" s="6">
        <v>46254</v>
      </c>
    </row>
    <row r="67" spans="1:12" ht="16" x14ac:dyDescent="0.2">
      <c r="A67" s="5" t="s">
        <v>204</v>
      </c>
      <c r="B67" s="5" t="s">
        <v>8</v>
      </c>
      <c r="C67" s="5" t="s">
        <v>3387</v>
      </c>
      <c r="E67" s="8" t="s">
        <v>205</v>
      </c>
      <c r="F67" s="5" t="s">
        <v>108</v>
      </c>
      <c r="I67" s="5" t="s">
        <v>3393</v>
      </c>
      <c r="J67" s="5" t="s">
        <v>3393</v>
      </c>
      <c r="L67" s="6">
        <v>46254</v>
      </c>
    </row>
    <row r="68" spans="1:12" ht="32" x14ac:dyDescent="0.2">
      <c r="A68" s="5" t="s">
        <v>206</v>
      </c>
      <c r="B68" s="5" t="s">
        <v>8</v>
      </c>
      <c r="C68" s="5" t="s">
        <v>3387</v>
      </c>
      <c r="E68" s="8" t="s">
        <v>207</v>
      </c>
      <c r="F68" s="5" t="s">
        <v>86</v>
      </c>
      <c r="I68" s="5" t="s">
        <v>3394</v>
      </c>
      <c r="J68" s="122" t="s">
        <v>3394</v>
      </c>
      <c r="K68" s="6">
        <v>46293</v>
      </c>
      <c r="L68" s="6">
        <v>46254</v>
      </c>
    </row>
    <row r="69" spans="1:12" ht="32" x14ac:dyDescent="0.2">
      <c r="A69" s="5" t="s">
        <v>208</v>
      </c>
      <c r="B69" s="5" t="s">
        <v>8</v>
      </c>
      <c r="C69" s="5" t="s">
        <v>3387</v>
      </c>
      <c r="E69" s="8" t="s">
        <v>209</v>
      </c>
      <c r="F69" s="5" t="s">
        <v>86</v>
      </c>
      <c r="I69" s="5" t="s">
        <v>3394</v>
      </c>
      <c r="J69" s="5" t="s">
        <v>3402</v>
      </c>
      <c r="L69" s="6">
        <v>46254</v>
      </c>
    </row>
    <row r="70" spans="1:12" ht="16" x14ac:dyDescent="0.2">
      <c r="A70" s="5" t="s">
        <v>212</v>
      </c>
      <c r="B70" s="5" t="s">
        <v>8</v>
      </c>
      <c r="C70" s="5" t="s">
        <v>3387</v>
      </c>
      <c r="E70" s="8" t="s">
        <v>213</v>
      </c>
      <c r="F70" s="5" t="s">
        <v>128</v>
      </c>
      <c r="I70" s="5" t="s">
        <v>3394</v>
      </c>
      <c r="J70" s="5" t="s">
        <v>3402</v>
      </c>
      <c r="L70" s="6">
        <v>46254</v>
      </c>
    </row>
    <row r="71" spans="1:12" ht="16" x14ac:dyDescent="0.2">
      <c r="A71" s="5" t="s">
        <v>214</v>
      </c>
      <c r="B71" s="5" t="s">
        <v>8</v>
      </c>
      <c r="C71" s="5" t="s">
        <v>3387</v>
      </c>
      <c r="E71" s="8" t="s">
        <v>215</v>
      </c>
      <c r="F71" s="5" t="s">
        <v>216</v>
      </c>
      <c r="I71" s="5" t="s">
        <v>3394</v>
      </c>
      <c r="J71" s="5" t="s">
        <v>3402</v>
      </c>
      <c r="L71" s="6">
        <v>46254</v>
      </c>
    </row>
    <row r="72" spans="1:12" ht="16" x14ac:dyDescent="0.2">
      <c r="A72" s="5" t="s">
        <v>217</v>
      </c>
      <c r="B72" s="5" t="s">
        <v>8</v>
      </c>
      <c r="C72" s="5" t="s">
        <v>3387</v>
      </c>
      <c r="E72" s="8" t="s">
        <v>218</v>
      </c>
      <c r="F72" s="5" t="s">
        <v>216</v>
      </c>
      <c r="I72" s="5" t="s">
        <v>3394</v>
      </c>
      <c r="J72" s="5" t="s">
        <v>3402</v>
      </c>
      <c r="L72" s="6">
        <v>46254</v>
      </c>
    </row>
    <row r="73" spans="1:12" ht="16" x14ac:dyDescent="0.2">
      <c r="A73" s="5" t="s">
        <v>219</v>
      </c>
      <c r="B73" s="5" t="s">
        <v>8</v>
      </c>
      <c r="C73" s="5" t="s">
        <v>3387</v>
      </c>
      <c r="E73" s="8" t="s">
        <v>220</v>
      </c>
      <c r="F73" s="5" t="s">
        <v>86</v>
      </c>
      <c r="I73" s="5" t="s">
        <v>3394</v>
      </c>
      <c r="J73" s="5" t="s">
        <v>3402</v>
      </c>
      <c r="L73" s="6">
        <v>46254</v>
      </c>
    </row>
    <row r="74" spans="1:12" ht="16" x14ac:dyDescent="0.2">
      <c r="A74" s="5" t="s">
        <v>221</v>
      </c>
      <c r="B74" s="5" t="s">
        <v>8</v>
      </c>
      <c r="C74" s="5" t="s">
        <v>3388</v>
      </c>
      <c r="E74" s="8" t="s">
        <v>222</v>
      </c>
      <c r="F74" s="5" t="s">
        <v>108</v>
      </c>
      <c r="I74" s="5" t="s">
        <v>3394</v>
      </c>
      <c r="J74" s="5" t="s">
        <v>3402</v>
      </c>
      <c r="L74" s="6">
        <v>46254</v>
      </c>
    </row>
    <row r="75" spans="1:12" ht="16" x14ac:dyDescent="0.2">
      <c r="A75" s="5" t="s">
        <v>223</v>
      </c>
      <c r="B75" s="5" t="s">
        <v>8</v>
      </c>
      <c r="C75" s="5" t="s">
        <v>3388</v>
      </c>
      <c r="E75" s="8" t="s">
        <v>224</v>
      </c>
      <c r="F75" s="5" t="s">
        <v>86</v>
      </c>
      <c r="I75" s="5" t="s">
        <v>3394</v>
      </c>
      <c r="J75" s="5" t="s">
        <v>3402</v>
      </c>
      <c r="L75" s="6">
        <v>46254</v>
      </c>
    </row>
    <row r="76" spans="1:12" ht="32" x14ac:dyDescent="0.2">
      <c r="A76" s="5" t="s">
        <v>225</v>
      </c>
      <c r="B76" s="5" t="s">
        <v>8</v>
      </c>
      <c r="C76" s="5" t="s">
        <v>3388</v>
      </c>
      <c r="E76" s="8" t="s">
        <v>226</v>
      </c>
      <c r="F76" s="5" t="s">
        <v>86</v>
      </c>
      <c r="I76" s="5" t="s">
        <v>3394</v>
      </c>
      <c r="J76" s="5" t="s">
        <v>3402</v>
      </c>
      <c r="L76" s="6">
        <v>46254</v>
      </c>
    </row>
    <row r="77" spans="1:12" ht="16" x14ac:dyDescent="0.2">
      <c r="A77" s="5" t="s">
        <v>227</v>
      </c>
      <c r="B77" s="5" t="s">
        <v>8</v>
      </c>
      <c r="C77" s="5" t="s">
        <v>3388</v>
      </c>
      <c r="E77" s="8" t="s">
        <v>228</v>
      </c>
      <c r="F77" s="5" t="s">
        <v>86</v>
      </c>
      <c r="I77" s="5" t="s">
        <v>3394</v>
      </c>
      <c r="J77" s="5" t="s">
        <v>3402</v>
      </c>
      <c r="L77" s="6">
        <v>46254</v>
      </c>
    </row>
    <row r="78" spans="1:12" ht="16" x14ac:dyDescent="0.2">
      <c r="A78" s="5" t="s">
        <v>229</v>
      </c>
      <c r="B78" s="5" t="s">
        <v>8</v>
      </c>
      <c r="C78" s="5" t="s">
        <v>3388</v>
      </c>
      <c r="E78" s="8" t="s">
        <v>230</v>
      </c>
      <c r="F78" s="5" t="s">
        <v>108</v>
      </c>
      <c r="I78" s="5" t="s">
        <v>3393</v>
      </c>
      <c r="J78" s="5" t="s">
        <v>3393</v>
      </c>
      <c r="L78" s="6">
        <v>46254</v>
      </c>
    </row>
    <row r="79" spans="1:12" ht="32" x14ac:dyDescent="0.2">
      <c r="A79" s="5" t="s">
        <v>231</v>
      </c>
      <c r="B79" s="5" t="s">
        <v>8</v>
      </c>
      <c r="C79" s="5" t="s">
        <v>3388</v>
      </c>
      <c r="E79" s="8" t="s">
        <v>232</v>
      </c>
      <c r="F79" s="5" t="s">
        <v>86</v>
      </c>
      <c r="I79" s="5" t="s">
        <v>3394</v>
      </c>
      <c r="J79" s="5" t="s">
        <v>3402</v>
      </c>
      <c r="L79" s="6">
        <v>46254</v>
      </c>
    </row>
    <row r="80" spans="1:12" ht="16" x14ac:dyDescent="0.2">
      <c r="A80" s="5" t="s">
        <v>233</v>
      </c>
      <c r="B80" s="5" t="s">
        <v>8</v>
      </c>
      <c r="C80" s="5" t="s">
        <v>3388</v>
      </c>
      <c r="E80" s="8" t="s">
        <v>234</v>
      </c>
      <c r="F80" s="5" t="s">
        <v>86</v>
      </c>
      <c r="I80" s="5" t="s">
        <v>3394</v>
      </c>
      <c r="J80" s="5" t="s">
        <v>3402</v>
      </c>
      <c r="L80" s="6">
        <v>46254</v>
      </c>
    </row>
    <row r="81" spans="1:12" ht="16" x14ac:dyDescent="0.2">
      <c r="A81" s="5" t="s">
        <v>235</v>
      </c>
      <c r="B81" s="5" t="s">
        <v>8</v>
      </c>
      <c r="C81" s="5" t="s">
        <v>3388</v>
      </c>
      <c r="E81" s="8" t="s">
        <v>236</v>
      </c>
      <c r="F81" s="5" t="s">
        <v>86</v>
      </c>
      <c r="I81" s="5" t="s">
        <v>3394</v>
      </c>
      <c r="J81" s="5" t="s">
        <v>3402</v>
      </c>
      <c r="L81" s="6">
        <v>46254</v>
      </c>
    </row>
    <row r="82" spans="1:12" ht="16" x14ac:dyDescent="0.2">
      <c r="A82" s="5" t="s">
        <v>237</v>
      </c>
      <c r="B82" s="5" t="s">
        <v>8</v>
      </c>
      <c r="C82" s="5" t="s">
        <v>3388</v>
      </c>
      <c r="E82" s="8" t="s">
        <v>238</v>
      </c>
      <c r="F82" s="5" t="s">
        <v>86</v>
      </c>
      <c r="I82" s="5" t="s">
        <v>3394</v>
      </c>
      <c r="J82" s="5" t="s">
        <v>3402</v>
      </c>
      <c r="L82" s="6">
        <v>46254</v>
      </c>
    </row>
    <row r="83" spans="1:12" ht="32" x14ac:dyDescent="0.2">
      <c r="A83" s="5" t="s">
        <v>239</v>
      </c>
      <c r="B83" s="5" t="s">
        <v>8</v>
      </c>
      <c r="C83" s="5" t="s">
        <v>3388</v>
      </c>
      <c r="E83" s="15" t="s">
        <v>240</v>
      </c>
      <c r="F83" s="5" t="s">
        <v>108</v>
      </c>
      <c r="I83" s="122" t="s">
        <v>3394</v>
      </c>
      <c r="J83" s="122" t="s">
        <v>3394</v>
      </c>
      <c r="K83" s="6">
        <v>46294</v>
      </c>
      <c r="L83" s="6">
        <v>46254</v>
      </c>
    </row>
    <row r="84" spans="1:12" ht="16" x14ac:dyDescent="0.2">
      <c r="A84" s="5" t="s">
        <v>241</v>
      </c>
      <c r="B84" s="5" t="s">
        <v>8</v>
      </c>
      <c r="C84" s="5" t="s">
        <v>3388</v>
      </c>
      <c r="E84" s="8" t="s">
        <v>242</v>
      </c>
      <c r="F84" s="5" t="s">
        <v>113</v>
      </c>
      <c r="I84" s="5" t="s">
        <v>3393</v>
      </c>
      <c r="J84" s="5" t="s">
        <v>3393</v>
      </c>
      <c r="L84" s="6">
        <v>46254</v>
      </c>
    </row>
    <row r="85" spans="1:12" ht="32" x14ac:dyDescent="0.2">
      <c r="A85" s="5" t="s">
        <v>243</v>
      </c>
      <c r="B85" s="5" t="s">
        <v>8</v>
      </c>
      <c r="C85" s="5" t="s">
        <v>3388</v>
      </c>
      <c r="E85" s="13" t="s">
        <v>244</v>
      </c>
      <c r="F85" s="5" t="s">
        <v>108</v>
      </c>
      <c r="I85" s="5" t="s">
        <v>3394</v>
      </c>
      <c r="J85" s="5" t="s">
        <v>3402</v>
      </c>
      <c r="L85" s="6">
        <v>46254</v>
      </c>
    </row>
    <row r="86" spans="1:12" ht="16" x14ac:dyDescent="0.2">
      <c r="A86" s="5" t="s">
        <v>247</v>
      </c>
      <c r="B86" s="5" t="s">
        <v>8</v>
      </c>
      <c r="C86" s="5" t="s">
        <v>3388</v>
      </c>
      <c r="E86" s="8" t="s">
        <v>248</v>
      </c>
      <c r="F86" s="5" t="s">
        <v>113</v>
      </c>
      <c r="I86" s="5" t="s">
        <v>3394</v>
      </c>
      <c r="J86" s="5" t="s">
        <v>3402</v>
      </c>
      <c r="L86" s="6">
        <v>46254</v>
      </c>
    </row>
    <row r="87" spans="1:12" ht="32" x14ac:dyDescent="0.2">
      <c r="A87" s="5" t="s">
        <v>249</v>
      </c>
      <c r="B87" s="5" t="s">
        <v>8</v>
      </c>
      <c r="C87" s="5" t="s">
        <v>3388</v>
      </c>
      <c r="E87" s="8" t="s">
        <v>250</v>
      </c>
      <c r="F87" s="5" t="s">
        <v>108</v>
      </c>
      <c r="I87" s="5" t="s">
        <v>3394</v>
      </c>
      <c r="J87" s="5" t="s">
        <v>3402</v>
      </c>
      <c r="L87" s="6">
        <v>46254</v>
      </c>
    </row>
    <row r="88" spans="1:12" ht="16" x14ac:dyDescent="0.2">
      <c r="A88" s="5" t="s">
        <v>251</v>
      </c>
      <c r="B88" s="5" t="s">
        <v>8</v>
      </c>
      <c r="C88" s="5" t="s">
        <v>3388</v>
      </c>
      <c r="E88" s="13" t="s">
        <v>252</v>
      </c>
      <c r="F88" s="5" t="s">
        <v>113</v>
      </c>
      <c r="I88" s="5" t="s">
        <v>3394</v>
      </c>
      <c r="J88" s="5" t="s">
        <v>3402</v>
      </c>
      <c r="L88" s="6">
        <v>46254</v>
      </c>
    </row>
    <row r="89" spans="1:12" ht="16" x14ac:dyDescent="0.2">
      <c r="A89" s="5" t="s">
        <v>245</v>
      </c>
      <c r="B89" s="5" t="s">
        <v>8</v>
      </c>
      <c r="C89" s="5" t="s">
        <v>3388</v>
      </c>
      <c r="E89" s="8" t="s">
        <v>246</v>
      </c>
      <c r="F89" s="5" t="s">
        <v>113</v>
      </c>
      <c r="I89" s="5" t="s">
        <v>3394</v>
      </c>
      <c r="J89" s="5" t="s">
        <v>3394</v>
      </c>
      <c r="K89" s="6">
        <v>46226</v>
      </c>
      <c r="L89" s="6">
        <v>46254</v>
      </c>
    </row>
    <row r="90" spans="1:12" ht="16" x14ac:dyDescent="0.2">
      <c r="A90" s="5" t="s">
        <v>253</v>
      </c>
      <c r="B90" s="5" t="s">
        <v>8</v>
      </c>
      <c r="C90" s="5" t="s">
        <v>3388</v>
      </c>
      <c r="E90" s="13" t="s">
        <v>254</v>
      </c>
      <c r="F90" s="5" t="s">
        <v>43</v>
      </c>
      <c r="I90" s="5" t="s">
        <v>3394</v>
      </c>
      <c r="J90" s="5" t="s">
        <v>3402</v>
      </c>
      <c r="L90" s="6">
        <v>46254</v>
      </c>
    </row>
    <row r="91" spans="1:12" ht="32" x14ac:dyDescent="0.2">
      <c r="A91" s="5" t="s">
        <v>255</v>
      </c>
      <c r="B91" s="5" t="s">
        <v>8</v>
      </c>
      <c r="C91" s="5" t="s">
        <v>3388</v>
      </c>
      <c r="E91" s="8" t="s">
        <v>256</v>
      </c>
      <c r="F91" s="5" t="s">
        <v>86</v>
      </c>
      <c r="I91" s="5" t="s">
        <v>3394</v>
      </c>
      <c r="J91" s="5" t="s">
        <v>3402</v>
      </c>
      <c r="L91" s="6">
        <v>46254</v>
      </c>
    </row>
    <row r="92" spans="1:12" ht="16" x14ac:dyDescent="0.2">
      <c r="A92" s="5" t="s">
        <v>257</v>
      </c>
      <c r="B92" s="5" t="s">
        <v>8</v>
      </c>
      <c r="C92" s="5" t="s">
        <v>3388</v>
      </c>
      <c r="E92" s="14" t="s">
        <v>258</v>
      </c>
      <c r="F92" s="5" t="s">
        <v>108</v>
      </c>
      <c r="I92" s="5" t="s">
        <v>3393</v>
      </c>
      <c r="J92" s="5" t="s">
        <v>3393</v>
      </c>
      <c r="L92" s="6">
        <v>46254</v>
      </c>
    </row>
    <row r="93" spans="1:12" ht="16" x14ac:dyDescent="0.2">
      <c r="A93" s="5" t="s">
        <v>259</v>
      </c>
      <c r="B93" s="5" t="s">
        <v>8</v>
      </c>
      <c r="C93" s="5" t="s">
        <v>3388</v>
      </c>
      <c r="E93" s="8" t="s">
        <v>260</v>
      </c>
      <c r="F93" s="5" t="s">
        <v>86</v>
      </c>
      <c r="I93" s="5" t="s">
        <v>3394</v>
      </c>
      <c r="J93" s="5" t="s">
        <v>3402</v>
      </c>
      <c r="L93" s="6">
        <v>46254</v>
      </c>
    </row>
    <row r="94" spans="1:12" ht="32" x14ac:dyDescent="0.2">
      <c r="A94" s="5" t="s">
        <v>264</v>
      </c>
      <c r="B94" s="5" t="s">
        <v>8</v>
      </c>
      <c r="C94" s="5" t="s">
        <v>3388</v>
      </c>
      <c r="E94" s="8" t="s">
        <v>265</v>
      </c>
      <c r="F94" s="5" t="s">
        <v>86</v>
      </c>
      <c r="I94" s="5" t="s">
        <v>3393</v>
      </c>
      <c r="J94" s="5" t="s">
        <v>3393</v>
      </c>
      <c r="L94" s="6">
        <v>46254</v>
      </c>
    </row>
    <row r="95" spans="1:12" ht="16" x14ac:dyDescent="0.2">
      <c r="A95" s="5" t="s">
        <v>266</v>
      </c>
      <c r="B95" s="5" t="s">
        <v>8</v>
      </c>
      <c r="C95" s="5" t="s">
        <v>3388</v>
      </c>
      <c r="E95" s="13" t="s">
        <v>267</v>
      </c>
      <c r="F95" s="5" t="s">
        <v>108</v>
      </c>
      <c r="I95" s="5" t="s">
        <v>3394</v>
      </c>
      <c r="J95" s="5" t="s">
        <v>3402</v>
      </c>
      <c r="L95" s="6">
        <v>46254</v>
      </c>
    </row>
    <row r="96" spans="1:12" ht="16" x14ac:dyDescent="0.2">
      <c r="A96" s="5" t="s">
        <v>268</v>
      </c>
      <c r="B96" s="5" t="s">
        <v>8</v>
      </c>
      <c r="C96" s="5" t="s">
        <v>3388</v>
      </c>
      <c r="E96" s="8" t="s">
        <v>269</v>
      </c>
      <c r="F96" s="5" t="s">
        <v>86</v>
      </c>
      <c r="I96" s="5" t="s">
        <v>3394</v>
      </c>
      <c r="J96" s="5" t="s">
        <v>3402</v>
      </c>
      <c r="L96" s="6">
        <v>46254</v>
      </c>
    </row>
    <row r="97" spans="1:12" ht="16" x14ac:dyDescent="0.2">
      <c r="A97" s="5" t="s">
        <v>261</v>
      </c>
      <c r="B97" s="5" t="s">
        <v>8</v>
      </c>
      <c r="C97" s="5" t="s">
        <v>3388</v>
      </c>
      <c r="E97" s="8" t="s">
        <v>262</v>
      </c>
      <c r="F97" s="5" t="s">
        <v>86</v>
      </c>
      <c r="G97" s="5" t="s">
        <v>163</v>
      </c>
      <c r="H97" s="5" t="s">
        <v>163</v>
      </c>
      <c r="I97" s="5" t="s">
        <v>3394</v>
      </c>
      <c r="J97" s="5" t="s">
        <v>3394</v>
      </c>
      <c r="K97" s="5" t="s">
        <v>162</v>
      </c>
      <c r="L97" s="6">
        <v>46254</v>
      </c>
    </row>
    <row r="98" spans="1:12" ht="16" x14ac:dyDescent="0.2">
      <c r="A98" s="5" t="s">
        <v>270</v>
      </c>
      <c r="B98" s="5" t="s">
        <v>8</v>
      </c>
      <c r="C98" s="5" t="s">
        <v>3388</v>
      </c>
      <c r="E98" s="8" t="s">
        <v>271</v>
      </c>
      <c r="F98" s="5" t="s">
        <v>108</v>
      </c>
      <c r="I98" s="5" t="s">
        <v>3393</v>
      </c>
      <c r="J98" s="5" t="s">
        <v>3393</v>
      </c>
      <c r="L98" s="6">
        <v>46254</v>
      </c>
    </row>
    <row r="99" spans="1:12" ht="16" x14ac:dyDescent="0.2">
      <c r="A99" s="5" t="s">
        <v>272</v>
      </c>
      <c r="B99" s="5" t="s">
        <v>8</v>
      </c>
      <c r="C99" s="5" t="s">
        <v>3388</v>
      </c>
      <c r="E99" s="8" t="s">
        <v>273</v>
      </c>
      <c r="F99" s="5" t="s">
        <v>86</v>
      </c>
      <c r="I99" s="5" t="s">
        <v>3394</v>
      </c>
      <c r="J99" s="5" t="s">
        <v>3402</v>
      </c>
      <c r="L99" s="6">
        <v>46254</v>
      </c>
    </row>
    <row r="100" spans="1:12" ht="16" x14ac:dyDescent="0.2">
      <c r="A100" s="5" t="s">
        <v>274</v>
      </c>
      <c r="B100" s="5" t="s">
        <v>8</v>
      </c>
      <c r="C100" s="5" t="s">
        <v>3388</v>
      </c>
      <c r="E100" s="8" t="s">
        <v>275</v>
      </c>
      <c r="F100" s="5" t="s">
        <v>86</v>
      </c>
      <c r="I100" s="5" t="s">
        <v>3393</v>
      </c>
      <c r="J100" s="5" t="s">
        <v>3393</v>
      </c>
      <c r="L100" s="6">
        <v>46254</v>
      </c>
    </row>
    <row r="101" spans="1:12" ht="16" x14ac:dyDescent="0.2">
      <c r="A101" s="5" t="s">
        <v>276</v>
      </c>
      <c r="B101" s="5" t="s">
        <v>8</v>
      </c>
      <c r="C101" s="5" t="s">
        <v>3388</v>
      </c>
      <c r="E101" s="8" t="s">
        <v>277</v>
      </c>
      <c r="F101" s="5" t="s">
        <v>86</v>
      </c>
      <c r="I101" s="5" t="s">
        <v>3394</v>
      </c>
      <c r="J101" s="5" t="s">
        <v>3402</v>
      </c>
      <c r="L101" s="6">
        <v>46254</v>
      </c>
    </row>
    <row r="102" spans="1:12" ht="16" x14ac:dyDescent="0.2">
      <c r="A102" s="5" t="s">
        <v>278</v>
      </c>
      <c r="B102" s="5" t="s">
        <v>8</v>
      </c>
      <c r="C102" s="5" t="s">
        <v>3388</v>
      </c>
      <c r="E102" s="8" t="s">
        <v>279</v>
      </c>
      <c r="F102" s="5" t="s">
        <v>86</v>
      </c>
      <c r="I102" s="5" t="s">
        <v>3394</v>
      </c>
      <c r="J102" s="5" t="s">
        <v>3402</v>
      </c>
      <c r="L102" s="6">
        <v>46254</v>
      </c>
    </row>
    <row r="103" spans="1:12" ht="16" x14ac:dyDescent="0.2">
      <c r="A103" s="5" t="s">
        <v>280</v>
      </c>
      <c r="B103" s="5" t="s">
        <v>8</v>
      </c>
      <c r="C103" s="5" t="s">
        <v>3388</v>
      </c>
      <c r="E103" s="8" t="s">
        <v>281</v>
      </c>
      <c r="F103" s="5" t="s">
        <v>86</v>
      </c>
      <c r="I103" s="5" t="s">
        <v>3394</v>
      </c>
      <c r="J103" s="5" t="s">
        <v>3402</v>
      </c>
      <c r="L103" s="6">
        <v>46254</v>
      </c>
    </row>
    <row r="104" spans="1:12" ht="32" x14ac:dyDescent="0.2">
      <c r="A104" s="5" t="s">
        <v>282</v>
      </c>
      <c r="B104" s="5" t="s">
        <v>8</v>
      </c>
      <c r="C104" s="5" t="s">
        <v>3388</v>
      </c>
      <c r="E104" s="8" t="s">
        <v>283</v>
      </c>
      <c r="F104" s="5" t="s">
        <v>86</v>
      </c>
      <c r="I104" s="5" t="s">
        <v>3394</v>
      </c>
      <c r="J104" s="5" t="s">
        <v>3402</v>
      </c>
      <c r="L104" s="6">
        <v>46254</v>
      </c>
    </row>
    <row r="105" spans="1:12" ht="16" x14ac:dyDescent="0.2">
      <c r="A105" s="5" t="s">
        <v>284</v>
      </c>
      <c r="B105" s="5" t="s">
        <v>8</v>
      </c>
      <c r="C105" s="5" t="s">
        <v>3388</v>
      </c>
      <c r="E105" s="8" t="s">
        <v>285</v>
      </c>
      <c r="F105" s="5" t="s">
        <v>216</v>
      </c>
      <c r="I105" s="5" t="s">
        <v>3393</v>
      </c>
      <c r="J105" s="5" t="s">
        <v>3393</v>
      </c>
      <c r="L105" s="6">
        <v>46254</v>
      </c>
    </row>
    <row r="106" spans="1:12" ht="16" x14ac:dyDescent="0.2">
      <c r="A106" s="5" t="s">
        <v>286</v>
      </c>
      <c r="B106" s="5" t="s">
        <v>8</v>
      </c>
      <c r="C106" s="5" t="s">
        <v>3388</v>
      </c>
      <c r="E106" s="8" t="s">
        <v>287</v>
      </c>
      <c r="F106" s="5" t="s">
        <v>216</v>
      </c>
      <c r="I106" s="5" t="s">
        <v>3394</v>
      </c>
      <c r="J106" s="5" t="s">
        <v>3402</v>
      </c>
      <c r="L106" s="6">
        <v>46254</v>
      </c>
    </row>
    <row r="107" spans="1:12" ht="16" x14ac:dyDescent="0.2">
      <c r="A107" s="5" t="s">
        <v>288</v>
      </c>
      <c r="B107" s="5" t="s">
        <v>8</v>
      </c>
      <c r="C107" s="5" t="s">
        <v>3388</v>
      </c>
      <c r="E107" s="8" t="s">
        <v>289</v>
      </c>
      <c r="F107" s="5" t="s">
        <v>86</v>
      </c>
      <c r="I107" s="5" t="s">
        <v>3394</v>
      </c>
      <c r="J107" s="5" t="s">
        <v>3402</v>
      </c>
      <c r="L107" s="6">
        <v>46254</v>
      </c>
    </row>
    <row r="108" spans="1:12" ht="16" x14ac:dyDescent="0.2">
      <c r="A108" s="5" t="s">
        <v>295</v>
      </c>
      <c r="B108" s="5" t="s">
        <v>8</v>
      </c>
      <c r="C108" s="5" t="s">
        <v>3388</v>
      </c>
      <c r="E108" s="8" t="s">
        <v>296</v>
      </c>
      <c r="F108" s="5" t="s">
        <v>86</v>
      </c>
      <c r="I108" s="5" t="s">
        <v>3394</v>
      </c>
      <c r="J108" s="5" t="s">
        <v>3402</v>
      </c>
      <c r="L108" s="6">
        <v>46254</v>
      </c>
    </row>
    <row r="109" spans="1:12" ht="16" x14ac:dyDescent="0.2">
      <c r="A109" s="5" t="s">
        <v>297</v>
      </c>
      <c r="B109" s="5" t="s">
        <v>8</v>
      </c>
      <c r="C109" s="5" t="s">
        <v>3388</v>
      </c>
      <c r="E109" s="8" t="s">
        <v>298</v>
      </c>
      <c r="F109" s="5" t="s">
        <v>86</v>
      </c>
      <c r="I109" s="5" t="s">
        <v>3394</v>
      </c>
      <c r="J109" s="5" t="s">
        <v>3402</v>
      </c>
      <c r="L109" s="6">
        <v>46254</v>
      </c>
    </row>
    <row r="110" spans="1:12" ht="16" x14ac:dyDescent="0.2">
      <c r="A110" s="5" t="s">
        <v>299</v>
      </c>
      <c r="B110" s="5" t="s">
        <v>8</v>
      </c>
      <c r="C110" s="5" t="s">
        <v>3388</v>
      </c>
      <c r="E110" s="8" t="s">
        <v>300</v>
      </c>
      <c r="F110" s="5" t="s">
        <v>86</v>
      </c>
      <c r="I110" s="5" t="s">
        <v>3394</v>
      </c>
      <c r="J110" s="5" t="s">
        <v>3402</v>
      </c>
      <c r="L110" s="6">
        <v>46254</v>
      </c>
    </row>
    <row r="111" spans="1:12" ht="32" x14ac:dyDescent="0.2">
      <c r="A111" s="5" t="s">
        <v>301</v>
      </c>
      <c r="B111" s="5" t="s">
        <v>8</v>
      </c>
      <c r="C111" s="5" t="s">
        <v>3388</v>
      </c>
      <c r="E111" s="8" t="s">
        <v>302</v>
      </c>
      <c r="F111" s="5" t="s">
        <v>86</v>
      </c>
      <c r="I111" s="5" t="s">
        <v>3394</v>
      </c>
      <c r="J111" s="5" t="s">
        <v>3402</v>
      </c>
      <c r="L111" s="6">
        <v>46254</v>
      </c>
    </row>
    <row r="112" spans="1:12" ht="16" x14ac:dyDescent="0.2">
      <c r="A112" s="5" t="s">
        <v>303</v>
      </c>
      <c r="B112" s="5" t="s">
        <v>8</v>
      </c>
      <c r="C112" s="5" t="s">
        <v>3388</v>
      </c>
      <c r="E112" s="8" t="s">
        <v>304</v>
      </c>
      <c r="F112" s="5" t="s">
        <v>86</v>
      </c>
      <c r="I112" s="5" t="s">
        <v>3394</v>
      </c>
      <c r="J112" s="5" t="s">
        <v>3402</v>
      </c>
      <c r="L112" s="6">
        <v>46254</v>
      </c>
    </row>
    <row r="113" spans="1:12" ht="16" x14ac:dyDescent="0.2">
      <c r="A113" s="5" t="s">
        <v>305</v>
      </c>
      <c r="B113" s="5" t="s">
        <v>8</v>
      </c>
      <c r="C113" s="5" t="s">
        <v>3388</v>
      </c>
      <c r="E113" s="8" t="s">
        <v>306</v>
      </c>
      <c r="F113" s="5" t="s">
        <v>86</v>
      </c>
      <c r="I113" s="5" t="s">
        <v>3394</v>
      </c>
      <c r="J113" s="5" t="s">
        <v>3402</v>
      </c>
      <c r="L113" s="6">
        <v>46254</v>
      </c>
    </row>
    <row r="114" spans="1:12" ht="16" x14ac:dyDescent="0.2">
      <c r="A114" s="5" t="s">
        <v>307</v>
      </c>
      <c r="B114" s="5" t="s">
        <v>8</v>
      </c>
      <c r="C114" s="5" t="s">
        <v>3388</v>
      </c>
      <c r="E114" s="8" t="s">
        <v>308</v>
      </c>
      <c r="F114" s="5" t="s">
        <v>86</v>
      </c>
      <c r="I114" s="5" t="s">
        <v>3394</v>
      </c>
      <c r="J114" s="5" t="s">
        <v>3402</v>
      </c>
      <c r="L114" s="6">
        <v>46254</v>
      </c>
    </row>
    <row r="115" spans="1:12" ht="32" x14ac:dyDescent="0.2">
      <c r="A115" s="5" t="s">
        <v>309</v>
      </c>
      <c r="B115" s="5" t="s">
        <v>8</v>
      </c>
      <c r="C115" s="5" t="s">
        <v>3388</v>
      </c>
      <c r="E115" s="15" t="s">
        <v>310</v>
      </c>
      <c r="F115" s="5" t="s">
        <v>113</v>
      </c>
      <c r="I115" s="5" t="s">
        <v>3394</v>
      </c>
      <c r="J115" s="5" t="s">
        <v>3402</v>
      </c>
      <c r="L115" s="6">
        <v>46254</v>
      </c>
    </row>
    <row r="116" spans="1:12" ht="32" x14ac:dyDescent="0.2">
      <c r="A116" s="5" t="s">
        <v>311</v>
      </c>
      <c r="B116" s="5" t="s">
        <v>8</v>
      </c>
      <c r="C116" s="5" t="s">
        <v>3388</v>
      </c>
      <c r="E116" s="8" t="s">
        <v>312</v>
      </c>
      <c r="F116" s="5" t="s">
        <v>86</v>
      </c>
      <c r="I116" s="5" t="s">
        <v>3394</v>
      </c>
      <c r="J116" s="5" t="s">
        <v>3402</v>
      </c>
      <c r="L116" s="6">
        <v>46254</v>
      </c>
    </row>
    <row r="117" spans="1:12" ht="32" x14ac:dyDescent="0.2">
      <c r="A117" s="5" t="s">
        <v>313</v>
      </c>
      <c r="B117" s="5" t="s">
        <v>8</v>
      </c>
      <c r="C117" s="5" t="s">
        <v>3388</v>
      </c>
      <c r="E117" s="8" t="s">
        <v>314</v>
      </c>
      <c r="F117" s="5" t="s">
        <v>86</v>
      </c>
      <c r="I117" s="5" t="s">
        <v>3394</v>
      </c>
      <c r="J117" s="5" t="s">
        <v>3402</v>
      </c>
      <c r="L117" s="6">
        <v>46254</v>
      </c>
    </row>
    <row r="118" spans="1:12" ht="32" x14ac:dyDescent="0.2">
      <c r="A118" s="5" t="s">
        <v>315</v>
      </c>
      <c r="B118" s="5" t="s">
        <v>8</v>
      </c>
      <c r="C118" s="5" t="s">
        <v>3388</v>
      </c>
      <c r="E118" s="8" t="s">
        <v>316</v>
      </c>
      <c r="F118" s="5" t="s">
        <v>86</v>
      </c>
      <c r="I118" s="5" t="s">
        <v>3393</v>
      </c>
      <c r="J118" s="5" t="s">
        <v>3393</v>
      </c>
      <c r="L118" s="6">
        <v>46254</v>
      </c>
    </row>
    <row r="119" spans="1:12" ht="16" x14ac:dyDescent="0.2">
      <c r="A119" s="5" t="s">
        <v>317</v>
      </c>
      <c r="B119" s="5" t="s">
        <v>8</v>
      </c>
      <c r="C119" s="5" t="s">
        <v>3388</v>
      </c>
      <c r="E119" s="8" t="s">
        <v>318</v>
      </c>
      <c r="F119" s="5" t="s">
        <v>86</v>
      </c>
      <c r="I119" s="5" t="s">
        <v>3394</v>
      </c>
      <c r="J119" s="5" t="s">
        <v>3402</v>
      </c>
      <c r="L119" s="6">
        <v>46254</v>
      </c>
    </row>
    <row r="120" spans="1:12" ht="32" x14ac:dyDescent="0.2">
      <c r="A120" s="5" t="s">
        <v>319</v>
      </c>
      <c r="B120" s="5" t="s">
        <v>8</v>
      </c>
      <c r="C120" s="5" t="s">
        <v>3388</v>
      </c>
      <c r="E120" s="8" t="s">
        <v>320</v>
      </c>
      <c r="F120" s="5" t="s">
        <v>128</v>
      </c>
      <c r="I120" s="5" t="s">
        <v>3394</v>
      </c>
      <c r="J120" s="5" t="s">
        <v>3402</v>
      </c>
      <c r="L120" s="6">
        <v>46254</v>
      </c>
    </row>
    <row r="121" spans="1:12" ht="48" x14ac:dyDescent="0.2">
      <c r="A121" s="5" t="s">
        <v>321</v>
      </c>
      <c r="B121" s="5" t="s">
        <v>8</v>
      </c>
      <c r="C121" s="5" t="s">
        <v>3388</v>
      </c>
      <c r="E121" s="8" t="s">
        <v>322</v>
      </c>
      <c r="F121" s="5" t="s">
        <v>128</v>
      </c>
      <c r="I121" s="5" t="s">
        <v>3394</v>
      </c>
      <c r="J121" s="5" t="s">
        <v>3402</v>
      </c>
      <c r="L121" s="6">
        <v>46254</v>
      </c>
    </row>
    <row r="122" spans="1:12" ht="32" x14ac:dyDescent="0.2">
      <c r="A122" s="5" t="s">
        <v>323</v>
      </c>
      <c r="B122" s="5" t="s">
        <v>8</v>
      </c>
      <c r="C122" s="5" t="s">
        <v>3388</v>
      </c>
      <c r="E122" s="8" t="s">
        <v>324</v>
      </c>
      <c r="F122" s="5" t="s">
        <v>128</v>
      </c>
      <c r="I122" s="5" t="s">
        <v>3394</v>
      </c>
      <c r="J122" s="5" t="s">
        <v>3402</v>
      </c>
      <c r="L122" s="6">
        <v>46254</v>
      </c>
    </row>
    <row r="123" spans="1:12" ht="16" x14ac:dyDescent="0.2">
      <c r="A123" s="5" t="s">
        <v>325</v>
      </c>
      <c r="B123" s="5" t="s">
        <v>8</v>
      </c>
      <c r="C123" s="5" t="s">
        <v>3388</v>
      </c>
      <c r="E123" s="8" t="s">
        <v>326</v>
      </c>
      <c r="F123" s="5" t="s">
        <v>128</v>
      </c>
      <c r="I123" s="5" t="s">
        <v>3394</v>
      </c>
      <c r="J123" s="5" t="s">
        <v>3402</v>
      </c>
      <c r="L123" s="6">
        <v>46254</v>
      </c>
    </row>
    <row r="124" spans="1:12" ht="16" x14ac:dyDescent="0.2">
      <c r="A124" s="5" t="s">
        <v>327</v>
      </c>
      <c r="B124" s="5" t="s">
        <v>8</v>
      </c>
      <c r="C124" s="5" t="s">
        <v>3388</v>
      </c>
      <c r="E124" s="8" t="s">
        <v>328</v>
      </c>
      <c r="F124" s="5" t="s">
        <v>128</v>
      </c>
      <c r="I124" s="5" t="s">
        <v>3394</v>
      </c>
      <c r="J124" s="5" t="s">
        <v>3402</v>
      </c>
      <c r="L124" s="6">
        <v>46254</v>
      </c>
    </row>
    <row r="125" spans="1:12" ht="16" x14ac:dyDescent="0.2">
      <c r="A125" s="5" t="s">
        <v>329</v>
      </c>
      <c r="B125" s="5" t="s">
        <v>8</v>
      </c>
      <c r="C125" s="5" t="s">
        <v>3388</v>
      </c>
      <c r="E125" s="8" t="s">
        <v>330</v>
      </c>
      <c r="F125" s="5" t="s">
        <v>128</v>
      </c>
      <c r="I125" s="5" t="s">
        <v>3394</v>
      </c>
      <c r="J125" s="5" t="s">
        <v>3402</v>
      </c>
      <c r="L125" s="6">
        <v>46254</v>
      </c>
    </row>
    <row r="126" spans="1:12" ht="16" x14ac:dyDescent="0.2">
      <c r="A126" s="5" t="s">
        <v>331</v>
      </c>
      <c r="B126" s="5" t="s">
        <v>8</v>
      </c>
      <c r="C126" s="5" t="s">
        <v>3388</v>
      </c>
      <c r="E126" s="15" t="s">
        <v>332</v>
      </c>
      <c r="F126" s="5" t="s">
        <v>43</v>
      </c>
      <c r="I126" s="5" t="s">
        <v>3394</v>
      </c>
      <c r="J126" s="5" t="s">
        <v>3402</v>
      </c>
      <c r="L126" s="6">
        <v>46254</v>
      </c>
    </row>
    <row r="127" spans="1:12" ht="16" x14ac:dyDescent="0.2">
      <c r="A127" s="5" t="s">
        <v>333</v>
      </c>
      <c r="B127" s="5" t="s">
        <v>8</v>
      </c>
      <c r="C127" s="5" t="s">
        <v>3388</v>
      </c>
      <c r="E127" s="15" t="s">
        <v>334</v>
      </c>
      <c r="F127" s="5" t="s">
        <v>43</v>
      </c>
      <c r="I127" s="5" t="s">
        <v>3394</v>
      </c>
      <c r="J127" s="5" t="s">
        <v>3402</v>
      </c>
      <c r="L127" s="6">
        <v>46254</v>
      </c>
    </row>
    <row r="128" spans="1:12" ht="32" x14ac:dyDescent="0.2">
      <c r="A128" s="5" t="s">
        <v>335</v>
      </c>
      <c r="B128" s="5" t="s">
        <v>8</v>
      </c>
      <c r="C128" s="5" t="s">
        <v>3388</v>
      </c>
      <c r="E128" s="13" t="s">
        <v>336</v>
      </c>
      <c r="F128" s="5" t="s">
        <v>43</v>
      </c>
      <c r="I128" s="5" t="s">
        <v>3394</v>
      </c>
      <c r="J128" s="5" t="s">
        <v>3402</v>
      </c>
      <c r="L128" s="6">
        <v>46254</v>
      </c>
    </row>
    <row r="129" spans="1:12" ht="16" x14ac:dyDescent="0.2">
      <c r="A129" s="5" t="s">
        <v>345</v>
      </c>
      <c r="B129" s="5" t="s">
        <v>8</v>
      </c>
      <c r="C129" s="5" t="s">
        <v>3388</v>
      </c>
      <c r="E129" s="8" t="s">
        <v>346</v>
      </c>
      <c r="F129" s="5" t="s">
        <v>86</v>
      </c>
      <c r="I129" s="5" t="s">
        <v>3394</v>
      </c>
      <c r="J129" s="5" t="s">
        <v>3402</v>
      </c>
      <c r="L129" s="6">
        <v>46254</v>
      </c>
    </row>
    <row r="130" spans="1:12" ht="64" x14ac:dyDescent="0.2">
      <c r="A130" s="5" t="s">
        <v>347</v>
      </c>
      <c r="B130" s="5" t="s">
        <v>8</v>
      </c>
      <c r="C130" s="5" t="s">
        <v>3388</v>
      </c>
      <c r="E130" s="8" t="s">
        <v>348</v>
      </c>
      <c r="F130" s="5" t="s">
        <v>49</v>
      </c>
      <c r="I130" s="5" t="s">
        <v>3393</v>
      </c>
      <c r="J130" s="5" t="s">
        <v>3393</v>
      </c>
      <c r="L130" s="6">
        <v>46254</v>
      </c>
    </row>
    <row r="131" spans="1:12" ht="64" x14ac:dyDescent="0.2">
      <c r="A131" s="5" t="s">
        <v>349</v>
      </c>
      <c r="B131" s="5" t="s">
        <v>8</v>
      </c>
      <c r="C131" s="5" t="s">
        <v>3388</v>
      </c>
      <c r="E131" s="8" t="s">
        <v>350</v>
      </c>
      <c r="F131" s="5" t="s">
        <v>49</v>
      </c>
      <c r="I131" s="5" t="s">
        <v>3393</v>
      </c>
      <c r="J131" s="5" t="s">
        <v>3393</v>
      </c>
      <c r="L131" s="6">
        <v>46254</v>
      </c>
    </row>
    <row r="132" spans="1:12" ht="32" x14ac:dyDescent="0.2">
      <c r="A132" s="5" t="s">
        <v>337</v>
      </c>
      <c r="B132" s="5" t="s">
        <v>8</v>
      </c>
      <c r="C132" s="5" t="s">
        <v>3388</v>
      </c>
      <c r="E132" s="8" t="s">
        <v>338</v>
      </c>
      <c r="F132" s="5" t="s">
        <v>43</v>
      </c>
      <c r="G132" s="5" t="s">
        <v>340</v>
      </c>
      <c r="H132" s="5" t="s">
        <v>340</v>
      </c>
      <c r="I132" s="5" t="s">
        <v>3394</v>
      </c>
      <c r="J132" s="5" t="s">
        <v>3394</v>
      </c>
      <c r="K132" s="6">
        <v>46218</v>
      </c>
      <c r="L132" s="6">
        <v>46254</v>
      </c>
    </row>
    <row r="133" spans="1:12" ht="16" x14ac:dyDescent="0.2">
      <c r="A133" s="5" t="s">
        <v>341</v>
      </c>
      <c r="B133" s="5" t="s">
        <v>8</v>
      </c>
      <c r="C133" s="5" t="s">
        <v>3388</v>
      </c>
      <c r="E133" s="13" t="s">
        <v>342</v>
      </c>
      <c r="F133" s="5" t="s">
        <v>43</v>
      </c>
      <c r="G133" s="5" t="s">
        <v>163</v>
      </c>
      <c r="H133" s="5" t="s">
        <v>163</v>
      </c>
      <c r="I133" s="5" t="s">
        <v>3394</v>
      </c>
      <c r="J133" s="5" t="s">
        <v>3394</v>
      </c>
      <c r="K133" s="5" t="s">
        <v>162</v>
      </c>
      <c r="L133" s="6">
        <v>46254</v>
      </c>
    </row>
    <row r="134" spans="1:12" ht="16" x14ac:dyDescent="0.2">
      <c r="A134" s="5" t="s">
        <v>343</v>
      </c>
      <c r="B134" s="5" t="s">
        <v>8</v>
      </c>
      <c r="C134" s="5" t="s">
        <v>3388</v>
      </c>
      <c r="E134" s="8" t="s">
        <v>344</v>
      </c>
      <c r="F134" s="5" t="s">
        <v>216</v>
      </c>
      <c r="I134" s="5" t="s">
        <v>3394</v>
      </c>
      <c r="J134" s="5" t="s">
        <v>3394</v>
      </c>
      <c r="L134" s="6">
        <v>46254</v>
      </c>
    </row>
    <row r="135" spans="1:12" ht="16" x14ac:dyDescent="0.2">
      <c r="A135" s="5" t="s">
        <v>353</v>
      </c>
      <c r="B135" s="5" t="s">
        <v>8</v>
      </c>
      <c r="C135" s="5" t="s">
        <v>3389</v>
      </c>
      <c r="E135" s="8" t="s">
        <v>354</v>
      </c>
      <c r="F135" s="5" t="s">
        <v>86</v>
      </c>
      <c r="I135" s="5" t="s">
        <v>3394</v>
      </c>
      <c r="J135" s="5" t="s">
        <v>3402</v>
      </c>
      <c r="L135" s="6">
        <v>46254</v>
      </c>
    </row>
    <row r="136" spans="1:12" ht="16" x14ac:dyDescent="0.2">
      <c r="A136" s="5" t="s">
        <v>355</v>
      </c>
      <c r="B136" s="5" t="s">
        <v>8</v>
      </c>
      <c r="C136" s="5" t="s">
        <v>3389</v>
      </c>
      <c r="E136" s="15" t="s">
        <v>356</v>
      </c>
      <c r="F136" s="5" t="s">
        <v>108</v>
      </c>
      <c r="I136" s="5" t="s">
        <v>3394</v>
      </c>
      <c r="J136" s="5" t="s">
        <v>3402</v>
      </c>
      <c r="L136" s="6">
        <v>46254</v>
      </c>
    </row>
    <row r="137" spans="1:12" ht="32" x14ac:dyDescent="0.2">
      <c r="A137" s="5" t="s">
        <v>357</v>
      </c>
      <c r="B137" s="5" t="s">
        <v>8</v>
      </c>
      <c r="C137" s="5" t="s">
        <v>3389</v>
      </c>
      <c r="E137" s="8" t="s">
        <v>358</v>
      </c>
      <c r="F137" s="5" t="s">
        <v>113</v>
      </c>
      <c r="I137" s="5" t="s">
        <v>3394</v>
      </c>
      <c r="J137" s="5" t="s">
        <v>3402</v>
      </c>
      <c r="L137" s="6">
        <v>46254</v>
      </c>
    </row>
    <row r="138" spans="1:12" ht="16" x14ac:dyDescent="0.2">
      <c r="A138" s="5" t="s">
        <v>359</v>
      </c>
      <c r="B138" s="5" t="s">
        <v>8</v>
      </c>
      <c r="C138" s="5" t="s">
        <v>3389</v>
      </c>
      <c r="E138" s="8" t="s">
        <v>360</v>
      </c>
      <c r="F138" s="5" t="s">
        <v>86</v>
      </c>
      <c r="I138" s="5" t="s">
        <v>3394</v>
      </c>
      <c r="J138" s="5" t="s">
        <v>3402</v>
      </c>
      <c r="L138" s="6">
        <v>46254</v>
      </c>
    </row>
    <row r="139" spans="1:12" ht="16" x14ac:dyDescent="0.2">
      <c r="A139" s="5" t="s">
        <v>351</v>
      </c>
      <c r="B139" s="5" t="s">
        <v>8</v>
      </c>
      <c r="C139" s="5" t="s">
        <v>3389</v>
      </c>
      <c r="E139" s="8" t="s">
        <v>352</v>
      </c>
      <c r="F139" s="5" t="s">
        <v>86</v>
      </c>
      <c r="G139" s="5" t="s">
        <v>163</v>
      </c>
      <c r="H139" s="5" t="s">
        <v>163</v>
      </c>
      <c r="I139" s="5" t="s">
        <v>3394</v>
      </c>
      <c r="J139" s="5" t="s">
        <v>3394</v>
      </c>
      <c r="K139" s="5" t="s">
        <v>162</v>
      </c>
      <c r="L139" s="6">
        <v>46254</v>
      </c>
    </row>
    <row r="140" spans="1:12" ht="16" x14ac:dyDescent="0.2">
      <c r="A140" s="5" t="s">
        <v>361</v>
      </c>
      <c r="B140" s="5" t="s">
        <v>8</v>
      </c>
      <c r="C140" s="5" t="s">
        <v>3389</v>
      </c>
      <c r="E140" s="14" t="s">
        <v>362</v>
      </c>
      <c r="F140" s="5" t="s">
        <v>43</v>
      </c>
      <c r="I140" s="5" t="s">
        <v>3393</v>
      </c>
      <c r="J140" s="5" t="s">
        <v>3393</v>
      </c>
      <c r="L140" s="6">
        <v>46254</v>
      </c>
    </row>
    <row r="141" spans="1:12" ht="16" x14ac:dyDescent="0.2">
      <c r="A141" s="5" t="s">
        <v>363</v>
      </c>
      <c r="B141" s="5" t="s">
        <v>8</v>
      </c>
      <c r="C141" s="5" t="s">
        <v>3389</v>
      </c>
      <c r="E141" s="8" t="s">
        <v>364</v>
      </c>
      <c r="F141" s="5" t="s">
        <v>108</v>
      </c>
      <c r="I141" s="5" t="s">
        <v>3394</v>
      </c>
      <c r="J141" s="5" t="s">
        <v>3402</v>
      </c>
      <c r="L141" s="6">
        <v>46254</v>
      </c>
    </row>
    <row r="142" spans="1:12" ht="16" x14ac:dyDescent="0.2">
      <c r="A142" s="5" t="s">
        <v>365</v>
      </c>
      <c r="B142" s="5" t="s">
        <v>8</v>
      </c>
      <c r="C142" s="5" t="s">
        <v>3389</v>
      </c>
      <c r="E142" s="8" t="s">
        <v>366</v>
      </c>
      <c r="F142" s="5" t="s">
        <v>86</v>
      </c>
      <c r="I142" s="5" t="s">
        <v>3393</v>
      </c>
      <c r="J142" s="5" t="s">
        <v>3393</v>
      </c>
      <c r="L142" s="6">
        <v>46254</v>
      </c>
    </row>
    <row r="143" spans="1:12" ht="32" x14ac:dyDescent="0.2">
      <c r="A143" s="5" t="s">
        <v>367</v>
      </c>
      <c r="B143" s="5" t="s">
        <v>8</v>
      </c>
      <c r="C143" s="5" t="s">
        <v>3389</v>
      </c>
      <c r="E143" s="8" t="s">
        <v>368</v>
      </c>
      <c r="F143" s="5" t="s">
        <v>108</v>
      </c>
      <c r="I143" s="5" t="s">
        <v>3394</v>
      </c>
      <c r="J143" s="5" t="s">
        <v>3402</v>
      </c>
      <c r="L143" s="6">
        <v>46254</v>
      </c>
    </row>
    <row r="144" spans="1:12" ht="16" x14ac:dyDescent="0.2">
      <c r="A144" s="5" t="s">
        <v>369</v>
      </c>
      <c r="B144" s="5" t="s">
        <v>8</v>
      </c>
      <c r="C144" s="5" t="s">
        <v>3389</v>
      </c>
      <c r="E144" s="8" t="s">
        <v>370</v>
      </c>
      <c r="F144" s="5" t="s">
        <v>113</v>
      </c>
      <c r="I144" s="5" t="s">
        <v>3393</v>
      </c>
      <c r="J144" s="5" t="s">
        <v>3393</v>
      </c>
      <c r="L144" s="6">
        <v>46254</v>
      </c>
    </row>
    <row r="145" spans="1:12" ht="16" x14ac:dyDescent="0.2">
      <c r="A145" s="5" t="s">
        <v>371</v>
      </c>
      <c r="B145" s="5" t="s">
        <v>8</v>
      </c>
      <c r="C145" s="5" t="s">
        <v>3389</v>
      </c>
      <c r="E145" s="8" t="s">
        <v>372</v>
      </c>
      <c r="F145" s="5" t="s">
        <v>113</v>
      </c>
      <c r="I145" s="5" t="s">
        <v>3394</v>
      </c>
      <c r="J145" s="5" t="s">
        <v>3402</v>
      </c>
      <c r="L145" s="6">
        <v>46254</v>
      </c>
    </row>
    <row r="146" spans="1:12" ht="16" x14ac:dyDescent="0.2">
      <c r="A146" s="5" t="s">
        <v>373</v>
      </c>
      <c r="B146" s="5" t="s">
        <v>8</v>
      </c>
      <c r="C146" s="5" t="s">
        <v>3389</v>
      </c>
      <c r="E146" s="15" t="s">
        <v>374</v>
      </c>
      <c r="F146" s="5" t="s">
        <v>108</v>
      </c>
      <c r="I146" s="5" t="s">
        <v>3394</v>
      </c>
      <c r="J146" s="5" t="s">
        <v>3402</v>
      </c>
      <c r="L146" s="6">
        <v>46254</v>
      </c>
    </row>
    <row r="147" spans="1:12" ht="16" x14ac:dyDescent="0.2">
      <c r="A147" s="5" t="s">
        <v>375</v>
      </c>
      <c r="B147" s="5" t="s">
        <v>8</v>
      </c>
      <c r="C147" s="5" t="s">
        <v>3389</v>
      </c>
      <c r="E147" s="8" t="s">
        <v>376</v>
      </c>
      <c r="F147" s="5" t="s">
        <v>113</v>
      </c>
      <c r="I147" s="5" t="s">
        <v>3393</v>
      </c>
      <c r="J147" s="5" t="s">
        <v>3393</v>
      </c>
      <c r="L147" s="6">
        <v>46254</v>
      </c>
    </row>
    <row r="148" spans="1:12" ht="32" x14ac:dyDescent="0.2">
      <c r="A148" s="5" t="s">
        <v>377</v>
      </c>
      <c r="B148" s="5" t="s">
        <v>8</v>
      </c>
      <c r="C148" s="5" t="s">
        <v>3389</v>
      </c>
      <c r="E148" s="8" t="s">
        <v>378</v>
      </c>
      <c r="F148" s="5" t="s">
        <v>113</v>
      </c>
      <c r="I148" s="5" t="s">
        <v>3393</v>
      </c>
      <c r="J148" s="5" t="s">
        <v>3393</v>
      </c>
      <c r="L148" s="6">
        <v>46254</v>
      </c>
    </row>
    <row r="149" spans="1:12" ht="96" x14ac:dyDescent="0.2">
      <c r="A149" s="5" t="s">
        <v>379</v>
      </c>
      <c r="B149" s="5" t="s">
        <v>8</v>
      </c>
      <c r="C149" s="5" t="s">
        <v>3389</v>
      </c>
      <c r="E149" s="8" t="s">
        <v>380</v>
      </c>
      <c r="F149" s="5" t="s">
        <v>128</v>
      </c>
      <c r="I149" s="5" t="s">
        <v>3394</v>
      </c>
      <c r="J149" s="5" t="s">
        <v>3402</v>
      </c>
      <c r="L149" s="6">
        <v>46254</v>
      </c>
    </row>
    <row r="150" spans="1:12" ht="32" x14ac:dyDescent="0.2">
      <c r="A150" s="5" t="s">
        <v>381</v>
      </c>
      <c r="B150" s="5" t="s">
        <v>8</v>
      </c>
      <c r="C150" s="5" t="s">
        <v>3389</v>
      </c>
      <c r="E150" s="8" t="s">
        <v>382</v>
      </c>
      <c r="F150" s="5" t="s">
        <v>113</v>
      </c>
      <c r="I150" s="5" t="s">
        <v>3393</v>
      </c>
      <c r="J150" s="5" t="s">
        <v>3393</v>
      </c>
      <c r="L150" s="6">
        <v>46254</v>
      </c>
    </row>
    <row r="151" spans="1:12" ht="32" x14ac:dyDescent="0.2">
      <c r="A151" s="5" t="s">
        <v>383</v>
      </c>
      <c r="B151" s="5" t="s">
        <v>8</v>
      </c>
      <c r="C151" s="5" t="s">
        <v>3389</v>
      </c>
      <c r="E151" s="8" t="s">
        <v>384</v>
      </c>
      <c r="F151" s="5" t="s">
        <v>113</v>
      </c>
      <c r="I151" s="5" t="s">
        <v>3393</v>
      </c>
      <c r="J151" s="5" t="s">
        <v>3393</v>
      </c>
      <c r="L151" s="6">
        <v>46254</v>
      </c>
    </row>
    <row r="152" spans="1:12" ht="16" x14ac:dyDescent="0.2">
      <c r="A152" s="5" t="s">
        <v>385</v>
      </c>
      <c r="B152" s="5" t="s">
        <v>8</v>
      </c>
      <c r="C152" s="5" t="s">
        <v>3389</v>
      </c>
      <c r="E152" s="13" t="s">
        <v>386</v>
      </c>
      <c r="F152" s="5" t="s">
        <v>113</v>
      </c>
      <c r="I152" s="5" t="s">
        <v>3394</v>
      </c>
      <c r="J152" s="5" t="s">
        <v>3402</v>
      </c>
      <c r="L152" s="6">
        <v>46254</v>
      </c>
    </row>
    <row r="153" spans="1:12" ht="32" x14ac:dyDescent="0.2">
      <c r="A153" s="5" t="s">
        <v>387</v>
      </c>
      <c r="B153" s="5" t="s">
        <v>8</v>
      </c>
      <c r="C153" s="5" t="s">
        <v>3389</v>
      </c>
      <c r="E153" s="8" t="s">
        <v>388</v>
      </c>
      <c r="F153" s="5" t="s">
        <v>108</v>
      </c>
      <c r="I153" s="5" t="s">
        <v>3393</v>
      </c>
      <c r="J153" s="5" t="s">
        <v>3393</v>
      </c>
      <c r="L153" s="6">
        <v>46254</v>
      </c>
    </row>
    <row r="154" spans="1:12" ht="16" x14ac:dyDescent="0.2">
      <c r="A154" s="5" t="s">
        <v>389</v>
      </c>
      <c r="B154" s="5" t="s">
        <v>8</v>
      </c>
      <c r="C154" s="5" t="s">
        <v>3389</v>
      </c>
      <c r="E154" s="8" t="s">
        <v>390</v>
      </c>
      <c r="F154" s="5" t="s">
        <v>86</v>
      </c>
      <c r="I154" s="5" t="s">
        <v>3394</v>
      </c>
      <c r="J154" s="5" t="s">
        <v>3402</v>
      </c>
      <c r="L154" s="6">
        <v>46254</v>
      </c>
    </row>
    <row r="155" spans="1:12" ht="16" x14ac:dyDescent="0.2">
      <c r="A155" s="5" t="s">
        <v>391</v>
      </c>
      <c r="B155" s="5" t="s">
        <v>8</v>
      </c>
      <c r="C155" s="5" t="s">
        <v>3389</v>
      </c>
      <c r="E155" s="8" t="s">
        <v>392</v>
      </c>
      <c r="F155" s="5" t="s">
        <v>113</v>
      </c>
      <c r="I155" s="5" t="s">
        <v>3394</v>
      </c>
      <c r="J155" s="5" t="s">
        <v>3402</v>
      </c>
      <c r="L155" s="6">
        <v>46254</v>
      </c>
    </row>
    <row r="156" spans="1:12" ht="16" x14ac:dyDescent="0.2">
      <c r="A156" s="5" t="s">
        <v>393</v>
      </c>
      <c r="B156" s="5" t="s">
        <v>8</v>
      </c>
      <c r="C156" s="5" t="s">
        <v>3389</v>
      </c>
      <c r="E156" s="8" t="s">
        <v>394</v>
      </c>
      <c r="F156" s="5" t="s">
        <v>86</v>
      </c>
      <c r="I156" s="5" t="s">
        <v>3393</v>
      </c>
      <c r="J156" s="5" t="s">
        <v>3393</v>
      </c>
      <c r="L156" s="6">
        <v>46254</v>
      </c>
    </row>
    <row r="157" spans="1:12" ht="32" x14ac:dyDescent="0.2">
      <c r="A157" s="5" t="s">
        <v>395</v>
      </c>
      <c r="B157" s="5" t="s">
        <v>8</v>
      </c>
      <c r="C157" s="5" t="s">
        <v>3389</v>
      </c>
      <c r="E157" s="8" t="s">
        <v>396</v>
      </c>
      <c r="F157" s="5" t="s">
        <v>397</v>
      </c>
      <c r="I157" s="5" t="s">
        <v>3393</v>
      </c>
      <c r="J157" s="5" t="s">
        <v>3393</v>
      </c>
      <c r="L157" s="6">
        <v>46254</v>
      </c>
    </row>
    <row r="158" spans="1:12" ht="16" x14ac:dyDescent="0.2">
      <c r="A158" s="5" t="s">
        <v>398</v>
      </c>
      <c r="B158" s="5" t="s">
        <v>8</v>
      </c>
      <c r="C158" s="5" t="s">
        <v>3389</v>
      </c>
      <c r="E158" s="8" t="s">
        <v>399</v>
      </c>
      <c r="F158" s="5" t="s">
        <v>86</v>
      </c>
      <c r="I158" s="5" t="s">
        <v>3394</v>
      </c>
      <c r="J158" s="5" t="s">
        <v>3402</v>
      </c>
      <c r="L158" s="6">
        <v>46254</v>
      </c>
    </row>
    <row r="159" spans="1:12" ht="48" x14ac:dyDescent="0.2">
      <c r="A159" s="5" t="s">
        <v>400</v>
      </c>
      <c r="B159" s="5" t="s">
        <v>8</v>
      </c>
      <c r="C159" s="5" t="s">
        <v>3389</v>
      </c>
      <c r="E159" s="8" t="s">
        <v>401</v>
      </c>
      <c r="F159" s="5" t="s">
        <v>128</v>
      </c>
      <c r="I159" s="5" t="s">
        <v>3394</v>
      </c>
      <c r="J159" s="5" t="s">
        <v>3402</v>
      </c>
      <c r="L159" s="6">
        <v>46254</v>
      </c>
    </row>
    <row r="160" spans="1:12" ht="32" x14ac:dyDescent="0.2">
      <c r="A160" s="5" t="s">
        <v>402</v>
      </c>
      <c r="B160" s="5" t="s">
        <v>8</v>
      </c>
      <c r="C160" s="5" t="s">
        <v>3389</v>
      </c>
      <c r="E160" s="8" t="s">
        <v>403</v>
      </c>
      <c r="F160" s="5" t="s">
        <v>128</v>
      </c>
      <c r="I160" s="5" t="s">
        <v>3394</v>
      </c>
      <c r="J160" s="5" t="s">
        <v>3402</v>
      </c>
      <c r="L160" s="6">
        <v>46254</v>
      </c>
    </row>
    <row r="161" spans="1:12" ht="16" x14ac:dyDescent="0.2">
      <c r="A161" s="5" t="s">
        <v>404</v>
      </c>
      <c r="B161" s="5" t="s">
        <v>8</v>
      </c>
      <c r="C161" s="5" t="s">
        <v>3389</v>
      </c>
      <c r="E161" s="8" t="s">
        <v>405</v>
      </c>
      <c r="F161" s="5" t="s">
        <v>216</v>
      </c>
      <c r="I161" s="5" t="s">
        <v>3394</v>
      </c>
      <c r="J161" s="5" t="s">
        <v>3402</v>
      </c>
      <c r="L161" s="6">
        <v>46254</v>
      </c>
    </row>
    <row r="162" spans="1:12" ht="16" x14ac:dyDescent="0.2">
      <c r="A162" s="5" t="s">
        <v>406</v>
      </c>
      <c r="B162" s="5" t="s">
        <v>8</v>
      </c>
      <c r="C162" s="5" t="s">
        <v>3389</v>
      </c>
      <c r="E162" s="8" t="s">
        <v>407</v>
      </c>
      <c r="F162" s="5" t="s">
        <v>216</v>
      </c>
      <c r="I162" s="5" t="s">
        <v>3394</v>
      </c>
      <c r="J162" s="5" t="s">
        <v>3402</v>
      </c>
      <c r="L162" s="6">
        <v>46254</v>
      </c>
    </row>
    <row r="163" spans="1:12" ht="112" x14ac:dyDescent="0.2">
      <c r="A163" s="5" t="s">
        <v>410</v>
      </c>
      <c r="B163" s="5" t="s">
        <v>8</v>
      </c>
      <c r="C163" s="5" t="s">
        <v>3389</v>
      </c>
      <c r="E163" s="8" t="s">
        <v>411</v>
      </c>
      <c r="F163" s="5" t="s">
        <v>128</v>
      </c>
      <c r="I163" s="5" t="s">
        <v>3394</v>
      </c>
      <c r="J163" s="5" t="s">
        <v>3402</v>
      </c>
      <c r="L163" s="6">
        <v>46254</v>
      </c>
    </row>
    <row r="164" spans="1:12" ht="32" x14ac:dyDescent="0.2">
      <c r="A164" s="5" t="s">
        <v>412</v>
      </c>
      <c r="B164" s="5" t="s">
        <v>8</v>
      </c>
      <c r="C164" s="5" t="s">
        <v>3389</v>
      </c>
      <c r="E164" s="8" t="s">
        <v>413</v>
      </c>
      <c r="F164" s="5" t="s">
        <v>128</v>
      </c>
      <c r="I164" s="5" t="s">
        <v>3394</v>
      </c>
      <c r="J164" s="5" t="s">
        <v>3402</v>
      </c>
      <c r="L164" s="6">
        <v>46254</v>
      </c>
    </row>
    <row r="165" spans="1:12" ht="32" x14ac:dyDescent="0.2">
      <c r="A165" s="5" t="s">
        <v>414</v>
      </c>
      <c r="B165" s="5" t="s">
        <v>8</v>
      </c>
      <c r="C165" s="5" t="s">
        <v>3389</v>
      </c>
      <c r="E165" s="8" t="s">
        <v>415</v>
      </c>
      <c r="F165" s="5" t="s">
        <v>128</v>
      </c>
      <c r="I165" s="5" t="s">
        <v>3394</v>
      </c>
      <c r="J165" s="5" t="s">
        <v>3402</v>
      </c>
      <c r="L165" s="6">
        <v>46254</v>
      </c>
    </row>
    <row r="166" spans="1:12" ht="16" x14ac:dyDescent="0.2">
      <c r="A166" s="5" t="s">
        <v>416</v>
      </c>
      <c r="B166" s="5" t="s">
        <v>8</v>
      </c>
      <c r="C166" s="5" t="s">
        <v>3389</v>
      </c>
      <c r="E166" s="8" t="s">
        <v>417</v>
      </c>
      <c r="F166" s="5" t="s">
        <v>128</v>
      </c>
      <c r="I166" s="5" t="s">
        <v>3394</v>
      </c>
      <c r="J166" s="5" t="s">
        <v>3402</v>
      </c>
      <c r="L166" s="6">
        <v>46254</v>
      </c>
    </row>
    <row r="167" spans="1:12" ht="16" x14ac:dyDescent="0.2">
      <c r="A167" s="5" t="s">
        <v>408</v>
      </c>
      <c r="B167" s="5" t="s">
        <v>8</v>
      </c>
      <c r="C167" s="5" t="s">
        <v>3389</v>
      </c>
      <c r="E167" s="8" t="s">
        <v>409</v>
      </c>
      <c r="F167" s="5" t="s">
        <v>216</v>
      </c>
      <c r="G167" s="5" t="s">
        <v>73</v>
      </c>
      <c r="H167" s="5" t="s">
        <v>73</v>
      </c>
      <c r="I167" s="5" t="s">
        <v>3394</v>
      </c>
      <c r="J167" s="5" t="s">
        <v>3394</v>
      </c>
      <c r="K167" s="5" t="s">
        <v>45</v>
      </c>
      <c r="L167" s="6">
        <v>46254</v>
      </c>
    </row>
    <row r="168" spans="1:12" ht="32" x14ac:dyDescent="0.2">
      <c r="A168" s="5" t="s">
        <v>418</v>
      </c>
      <c r="B168" s="5" t="s">
        <v>8</v>
      </c>
      <c r="C168" s="5" t="s">
        <v>3389</v>
      </c>
      <c r="E168" s="8" t="s">
        <v>419</v>
      </c>
      <c r="F168" s="5" t="s">
        <v>128</v>
      </c>
      <c r="I168" s="5" t="s">
        <v>3394</v>
      </c>
      <c r="J168" s="5" t="s">
        <v>3402</v>
      </c>
      <c r="L168" s="6">
        <v>46254</v>
      </c>
    </row>
    <row r="169" spans="1:12" ht="16" x14ac:dyDescent="0.2">
      <c r="A169" s="5" t="s">
        <v>420</v>
      </c>
      <c r="B169" s="5" t="s">
        <v>8</v>
      </c>
      <c r="C169" s="5" t="s">
        <v>3389</v>
      </c>
      <c r="E169" s="8" t="s">
        <v>421</v>
      </c>
      <c r="F169" s="5" t="s">
        <v>86</v>
      </c>
      <c r="I169" s="5" t="s">
        <v>3393</v>
      </c>
      <c r="J169" s="5" t="s">
        <v>3393</v>
      </c>
      <c r="L169" s="6">
        <v>46254</v>
      </c>
    </row>
    <row r="170" spans="1:12" ht="16" x14ac:dyDescent="0.2">
      <c r="A170" s="5" t="s">
        <v>444</v>
      </c>
      <c r="B170" s="5" t="s">
        <v>8</v>
      </c>
      <c r="C170" s="5" t="s">
        <v>3386</v>
      </c>
      <c r="E170" s="8" t="s">
        <v>445</v>
      </c>
      <c r="F170" s="5" t="s">
        <v>86</v>
      </c>
      <c r="I170" s="5" t="s">
        <v>3394</v>
      </c>
      <c r="J170" s="5" t="s">
        <v>3402</v>
      </c>
      <c r="L170" s="6">
        <v>46254</v>
      </c>
    </row>
    <row r="171" spans="1:12" ht="16" x14ac:dyDescent="0.2">
      <c r="A171" s="5" t="s">
        <v>446</v>
      </c>
      <c r="B171" s="5" t="s">
        <v>8</v>
      </c>
      <c r="C171" s="5" t="s">
        <v>3386</v>
      </c>
      <c r="E171" s="15" t="s">
        <v>447</v>
      </c>
      <c r="F171" s="5" t="s">
        <v>108</v>
      </c>
      <c r="I171" s="5" t="s">
        <v>3394</v>
      </c>
      <c r="J171" s="5" t="s">
        <v>3402</v>
      </c>
      <c r="L171" s="6">
        <v>46254</v>
      </c>
    </row>
    <row r="172" spans="1:12" ht="16" x14ac:dyDescent="0.2">
      <c r="A172" s="5" t="s">
        <v>448</v>
      </c>
      <c r="B172" s="5" t="s">
        <v>8</v>
      </c>
      <c r="C172" s="5" t="s">
        <v>3386</v>
      </c>
      <c r="E172" s="8" t="s">
        <v>449</v>
      </c>
      <c r="F172" s="5" t="s">
        <v>86</v>
      </c>
      <c r="I172" s="5" t="s">
        <v>3394</v>
      </c>
      <c r="J172" s="122" t="s">
        <v>3394</v>
      </c>
      <c r="K172" s="6">
        <v>46293</v>
      </c>
      <c r="L172" s="6">
        <v>46254</v>
      </c>
    </row>
    <row r="173" spans="1:12" ht="16" x14ac:dyDescent="0.2">
      <c r="A173" s="5" t="s">
        <v>452</v>
      </c>
      <c r="B173" s="5" t="s">
        <v>8</v>
      </c>
      <c r="C173" s="5" t="s">
        <v>3386</v>
      </c>
      <c r="E173" s="13" t="s">
        <v>453</v>
      </c>
      <c r="F173" s="5" t="s">
        <v>113</v>
      </c>
      <c r="I173" s="5" t="s">
        <v>3394</v>
      </c>
      <c r="J173" s="5" t="s">
        <v>3402</v>
      </c>
      <c r="L173" s="6">
        <v>46254</v>
      </c>
    </row>
    <row r="174" spans="1:12" ht="16" x14ac:dyDescent="0.2">
      <c r="A174" s="5" t="s">
        <v>454</v>
      </c>
      <c r="B174" s="5" t="s">
        <v>8</v>
      </c>
      <c r="C174" s="5" t="s">
        <v>3386</v>
      </c>
      <c r="E174" s="14" t="s">
        <v>455</v>
      </c>
      <c r="F174" s="5" t="s">
        <v>108</v>
      </c>
      <c r="I174" s="5" t="s">
        <v>3393</v>
      </c>
      <c r="J174" s="5" t="s">
        <v>3393</v>
      </c>
      <c r="L174" s="6">
        <v>46254</v>
      </c>
    </row>
    <row r="175" spans="1:12" ht="32" x14ac:dyDescent="0.2">
      <c r="A175" s="5" t="s">
        <v>458</v>
      </c>
      <c r="B175" s="5" t="s">
        <v>8</v>
      </c>
      <c r="C175" s="5" t="s">
        <v>3386</v>
      </c>
      <c r="E175" s="8" t="s">
        <v>459</v>
      </c>
      <c r="F175" s="5" t="s">
        <v>113</v>
      </c>
      <c r="I175" s="5" t="s">
        <v>3394</v>
      </c>
      <c r="J175" s="5" t="s">
        <v>3402</v>
      </c>
      <c r="L175" s="6">
        <v>46254</v>
      </c>
    </row>
    <row r="176" spans="1:12" ht="32" x14ac:dyDescent="0.2">
      <c r="A176" s="5" t="s">
        <v>460</v>
      </c>
      <c r="B176" s="5" t="s">
        <v>8</v>
      </c>
      <c r="C176" s="5" t="s">
        <v>3386</v>
      </c>
      <c r="E176" s="8" t="s">
        <v>461</v>
      </c>
      <c r="F176" s="5" t="s">
        <v>86</v>
      </c>
      <c r="I176" s="5" t="s">
        <v>3394</v>
      </c>
      <c r="J176" s="5" t="s">
        <v>3402</v>
      </c>
      <c r="L176" s="6">
        <v>46254</v>
      </c>
    </row>
    <row r="177" spans="1:12" ht="16" x14ac:dyDescent="0.2">
      <c r="A177" s="5" t="s">
        <v>106</v>
      </c>
      <c r="B177" s="5" t="s">
        <v>8</v>
      </c>
      <c r="C177" s="5" t="s">
        <v>3386</v>
      </c>
      <c r="E177" s="8" t="s">
        <v>107</v>
      </c>
      <c r="F177" s="5" t="s">
        <v>108</v>
      </c>
      <c r="I177" s="5" t="s">
        <v>3393</v>
      </c>
      <c r="J177" s="5" t="s">
        <v>3393</v>
      </c>
      <c r="L177" s="6">
        <v>46254</v>
      </c>
    </row>
    <row r="178" spans="1:12" ht="16" x14ac:dyDescent="0.2">
      <c r="A178" s="5" t="s">
        <v>109</v>
      </c>
      <c r="B178" s="5" t="s">
        <v>8</v>
      </c>
      <c r="C178" s="5" t="s">
        <v>3386</v>
      </c>
      <c r="E178" s="8" t="s">
        <v>110</v>
      </c>
      <c r="F178" s="5" t="s">
        <v>86</v>
      </c>
      <c r="I178" s="5" t="s">
        <v>3394</v>
      </c>
      <c r="J178" s="5" t="s">
        <v>3402</v>
      </c>
      <c r="L178" s="6">
        <v>46254</v>
      </c>
    </row>
    <row r="179" spans="1:12" ht="16" x14ac:dyDescent="0.2">
      <c r="A179" s="5" t="s">
        <v>111</v>
      </c>
      <c r="B179" s="5" t="s">
        <v>8</v>
      </c>
      <c r="C179" s="5" t="s">
        <v>3386</v>
      </c>
      <c r="E179" s="8" t="s">
        <v>112</v>
      </c>
      <c r="F179" s="5" t="s">
        <v>113</v>
      </c>
      <c r="I179" s="5" t="s">
        <v>3394</v>
      </c>
      <c r="J179" s="5" t="s">
        <v>3402</v>
      </c>
      <c r="L179" s="6">
        <v>46254</v>
      </c>
    </row>
    <row r="180" spans="1:12" ht="16" x14ac:dyDescent="0.2">
      <c r="A180" s="5" t="s">
        <v>114</v>
      </c>
      <c r="B180" s="5" t="s">
        <v>8</v>
      </c>
      <c r="C180" s="5" t="s">
        <v>3386</v>
      </c>
      <c r="E180" s="8" t="s">
        <v>115</v>
      </c>
      <c r="F180" s="5" t="s">
        <v>113</v>
      </c>
      <c r="I180" s="5" t="s">
        <v>3393</v>
      </c>
      <c r="J180" s="5" t="s">
        <v>3393</v>
      </c>
      <c r="L180" s="6">
        <v>46254</v>
      </c>
    </row>
    <row r="181" spans="1:12" ht="16" x14ac:dyDescent="0.2">
      <c r="A181" s="5" t="s">
        <v>116</v>
      </c>
      <c r="B181" s="5" t="s">
        <v>8</v>
      </c>
      <c r="C181" s="5" t="s">
        <v>3386</v>
      </c>
      <c r="E181" s="8" t="s">
        <v>117</v>
      </c>
      <c r="F181" s="5" t="s">
        <v>86</v>
      </c>
      <c r="I181" s="5" t="s">
        <v>3393</v>
      </c>
      <c r="J181" s="5" t="s">
        <v>3393</v>
      </c>
      <c r="L181" s="6">
        <v>46254</v>
      </c>
    </row>
    <row r="182" spans="1:12" ht="16" x14ac:dyDescent="0.2">
      <c r="A182" s="5" t="s">
        <v>118</v>
      </c>
      <c r="B182" s="5" t="s">
        <v>8</v>
      </c>
      <c r="C182" s="5" t="s">
        <v>3386</v>
      </c>
      <c r="E182" s="8" t="s">
        <v>119</v>
      </c>
      <c r="F182" s="5" t="s">
        <v>113</v>
      </c>
      <c r="I182" s="5" t="s">
        <v>3393</v>
      </c>
      <c r="J182" s="5" t="s">
        <v>3393</v>
      </c>
      <c r="L182" s="6">
        <v>46254</v>
      </c>
    </row>
    <row r="183" spans="1:12" ht="16" x14ac:dyDescent="0.2">
      <c r="A183" s="5" t="s">
        <v>120</v>
      </c>
      <c r="B183" s="5" t="s">
        <v>8</v>
      </c>
      <c r="C183" s="5" t="s">
        <v>3386</v>
      </c>
      <c r="E183" s="8" t="s">
        <v>121</v>
      </c>
      <c r="F183" s="5" t="s">
        <v>113</v>
      </c>
      <c r="I183" s="5" t="s">
        <v>3393</v>
      </c>
      <c r="J183" s="5" t="s">
        <v>3393</v>
      </c>
      <c r="L183" s="6">
        <v>46254</v>
      </c>
    </row>
    <row r="184" spans="1:12" ht="32" x14ac:dyDescent="0.2">
      <c r="A184" s="5" t="s">
        <v>122</v>
      </c>
      <c r="B184" s="5" t="s">
        <v>8</v>
      </c>
      <c r="C184" s="5" t="s">
        <v>3386</v>
      </c>
      <c r="E184" s="8" t="s">
        <v>123</v>
      </c>
      <c r="F184" s="5" t="s">
        <v>113</v>
      </c>
      <c r="I184" s="5" t="s">
        <v>3394</v>
      </c>
      <c r="J184" s="5" t="s">
        <v>3402</v>
      </c>
      <c r="L184" s="6">
        <v>46254</v>
      </c>
    </row>
    <row r="185" spans="1:12" ht="16" x14ac:dyDescent="0.2">
      <c r="A185" s="5" t="s">
        <v>124</v>
      </c>
      <c r="B185" s="5" t="s">
        <v>8</v>
      </c>
      <c r="C185" s="5" t="s">
        <v>3386</v>
      </c>
      <c r="E185" s="8" t="s">
        <v>125</v>
      </c>
      <c r="F185" s="5" t="s">
        <v>113</v>
      </c>
      <c r="I185" s="5" t="s">
        <v>3394</v>
      </c>
      <c r="J185" s="5" t="s">
        <v>3402</v>
      </c>
      <c r="L185" s="6">
        <v>46254</v>
      </c>
    </row>
    <row r="186" spans="1:12" ht="16" x14ac:dyDescent="0.2">
      <c r="A186" s="5" t="s">
        <v>166</v>
      </c>
      <c r="B186" s="5" t="s">
        <v>8</v>
      </c>
      <c r="C186" s="5" t="s">
        <v>3386</v>
      </c>
      <c r="E186" s="8" t="s">
        <v>167</v>
      </c>
      <c r="F186" s="5" t="s">
        <v>86</v>
      </c>
      <c r="I186" s="122" t="s">
        <v>3393</v>
      </c>
      <c r="J186" s="122" t="s">
        <v>3393</v>
      </c>
      <c r="L186" s="6">
        <v>46254</v>
      </c>
    </row>
    <row r="187" spans="1:12" ht="80" x14ac:dyDescent="0.2">
      <c r="A187" s="5" t="s">
        <v>126</v>
      </c>
      <c r="B187" s="5" t="s">
        <v>8</v>
      </c>
      <c r="C187" s="5" t="s">
        <v>3386</v>
      </c>
      <c r="E187" s="8" t="s">
        <v>127</v>
      </c>
      <c r="F187" s="5" t="s">
        <v>128</v>
      </c>
      <c r="I187" s="5" t="s">
        <v>3394</v>
      </c>
      <c r="J187" s="5" t="s">
        <v>3402</v>
      </c>
      <c r="L187" s="6">
        <v>46254</v>
      </c>
    </row>
    <row r="188" spans="1:12" ht="16" x14ac:dyDescent="0.2">
      <c r="A188" s="5" t="s">
        <v>135</v>
      </c>
      <c r="B188" s="5" t="s">
        <v>8</v>
      </c>
      <c r="C188" s="5" t="s">
        <v>3386</v>
      </c>
      <c r="E188" s="8" t="s">
        <v>136</v>
      </c>
      <c r="F188" s="5" t="s">
        <v>128</v>
      </c>
      <c r="G188" s="5" t="s">
        <v>137</v>
      </c>
      <c r="H188" s="5" t="s">
        <v>137</v>
      </c>
      <c r="I188" s="5" t="s">
        <v>3394</v>
      </c>
      <c r="J188" s="5" t="s">
        <v>3394</v>
      </c>
      <c r="K188" s="5" t="s">
        <v>81</v>
      </c>
      <c r="L188" s="6">
        <v>46254</v>
      </c>
    </row>
    <row r="189" spans="1:12" ht="32" x14ac:dyDescent="0.2">
      <c r="A189" s="5" t="s">
        <v>129</v>
      </c>
      <c r="B189" s="5" t="s">
        <v>8</v>
      </c>
      <c r="C189" s="5" t="s">
        <v>3386</v>
      </c>
      <c r="E189" s="8" t="s">
        <v>130</v>
      </c>
      <c r="F189" s="5" t="s">
        <v>128</v>
      </c>
      <c r="I189" s="5" t="s">
        <v>3394</v>
      </c>
      <c r="J189" s="5" t="s">
        <v>3402</v>
      </c>
      <c r="L189" s="6">
        <v>46254</v>
      </c>
    </row>
    <row r="190" spans="1:12" ht="16" x14ac:dyDescent="0.2">
      <c r="A190" s="5" t="s">
        <v>131</v>
      </c>
      <c r="B190" s="5" t="s">
        <v>8</v>
      </c>
      <c r="C190" s="5" t="s">
        <v>3386</v>
      </c>
      <c r="E190" s="8" t="s">
        <v>132</v>
      </c>
      <c r="F190" s="5" t="s">
        <v>128</v>
      </c>
      <c r="I190" s="5" t="s">
        <v>3394</v>
      </c>
      <c r="J190" s="5" t="s">
        <v>3402</v>
      </c>
      <c r="L190" s="6">
        <v>46254</v>
      </c>
    </row>
    <row r="191" spans="1:12" ht="32" x14ac:dyDescent="0.2">
      <c r="A191" s="5" t="s">
        <v>133</v>
      </c>
      <c r="B191" s="5" t="s">
        <v>8</v>
      </c>
      <c r="C191" s="5" t="s">
        <v>3386</v>
      </c>
      <c r="E191" s="8" t="s">
        <v>134</v>
      </c>
      <c r="F191" s="5" t="s">
        <v>128</v>
      </c>
      <c r="I191" s="5" t="s">
        <v>3394</v>
      </c>
      <c r="J191" s="5" t="s">
        <v>3402</v>
      </c>
      <c r="L191" s="6">
        <v>46254</v>
      </c>
    </row>
    <row r="192" spans="1:12" ht="32" x14ac:dyDescent="0.2">
      <c r="A192" s="5" t="s">
        <v>138</v>
      </c>
      <c r="B192" s="5" t="s">
        <v>8</v>
      </c>
      <c r="C192" s="5" t="s">
        <v>3386</v>
      </c>
      <c r="E192" s="8" t="s">
        <v>139</v>
      </c>
      <c r="F192" s="5" t="s">
        <v>86</v>
      </c>
      <c r="I192" s="5" t="s">
        <v>3394</v>
      </c>
      <c r="J192" s="5" t="s">
        <v>3402</v>
      </c>
      <c r="L192" s="6">
        <v>46254</v>
      </c>
    </row>
    <row r="193" spans="1:12" ht="32" x14ac:dyDescent="0.2">
      <c r="A193" s="5" t="s">
        <v>440</v>
      </c>
      <c r="B193" s="5" t="s">
        <v>8</v>
      </c>
      <c r="C193" s="5" t="s">
        <v>3386</v>
      </c>
      <c r="E193" s="8" t="s">
        <v>441</v>
      </c>
      <c r="F193" s="5" t="s">
        <v>113</v>
      </c>
      <c r="G193" s="5" t="s">
        <v>73</v>
      </c>
      <c r="H193" s="5" t="s">
        <v>73</v>
      </c>
      <c r="I193" s="5" t="s">
        <v>3394</v>
      </c>
      <c r="J193" s="5" t="s">
        <v>3394</v>
      </c>
      <c r="K193" s="6">
        <v>46226</v>
      </c>
      <c r="L193" s="6">
        <v>46254</v>
      </c>
    </row>
    <row r="194" spans="1:12" ht="32" x14ac:dyDescent="0.2">
      <c r="A194" s="5" t="s">
        <v>140</v>
      </c>
      <c r="B194" s="5" t="s">
        <v>8</v>
      </c>
      <c r="C194" s="5" t="s">
        <v>3386</v>
      </c>
      <c r="E194" s="8" t="s">
        <v>141</v>
      </c>
      <c r="F194" s="5" t="s">
        <v>86</v>
      </c>
      <c r="I194" s="5" t="s">
        <v>3394</v>
      </c>
      <c r="J194" s="5" t="s">
        <v>3402</v>
      </c>
      <c r="L194" s="6">
        <v>46254</v>
      </c>
    </row>
    <row r="195" spans="1:12" ht="48" x14ac:dyDescent="0.2">
      <c r="A195" s="5" t="s">
        <v>142</v>
      </c>
      <c r="B195" s="5" t="s">
        <v>8</v>
      </c>
      <c r="C195" s="5" t="s">
        <v>3386</v>
      </c>
      <c r="E195" s="8" t="s">
        <v>143</v>
      </c>
      <c r="F195" s="5" t="s">
        <v>86</v>
      </c>
      <c r="I195" s="5" t="s">
        <v>3393</v>
      </c>
      <c r="J195" s="5" t="s">
        <v>3393</v>
      </c>
      <c r="L195" s="6">
        <v>46254</v>
      </c>
    </row>
    <row r="196" spans="1:12" ht="32" x14ac:dyDescent="0.2">
      <c r="A196" s="5" t="s">
        <v>1250</v>
      </c>
      <c r="B196" s="5" t="s">
        <v>8</v>
      </c>
      <c r="C196" s="5" t="s">
        <v>3387</v>
      </c>
      <c r="E196" s="8" t="s">
        <v>1251</v>
      </c>
      <c r="F196" s="5" t="s">
        <v>43</v>
      </c>
      <c r="I196" s="5" t="s">
        <v>3393</v>
      </c>
      <c r="J196" s="5" t="s">
        <v>3393</v>
      </c>
      <c r="L196" s="6">
        <v>46254</v>
      </c>
    </row>
    <row r="197" spans="1:12" ht="16" x14ac:dyDescent="0.2">
      <c r="A197" s="5" t="s">
        <v>450</v>
      </c>
      <c r="B197" s="5" t="s">
        <v>8</v>
      </c>
      <c r="C197" s="5" t="s">
        <v>3386</v>
      </c>
      <c r="E197" s="8" t="s">
        <v>451</v>
      </c>
      <c r="F197" s="5" t="s">
        <v>108</v>
      </c>
      <c r="I197" s="5" t="s">
        <v>3394</v>
      </c>
      <c r="J197" s="5" t="s">
        <v>3394</v>
      </c>
      <c r="L197" s="6">
        <v>46254</v>
      </c>
    </row>
    <row r="198" spans="1:12" ht="16" x14ac:dyDescent="0.2">
      <c r="A198" s="5" t="s">
        <v>1190</v>
      </c>
      <c r="B198" s="5" t="s">
        <v>8</v>
      </c>
      <c r="C198" s="5" t="s">
        <v>3387</v>
      </c>
      <c r="E198" s="8" t="s">
        <v>1191</v>
      </c>
      <c r="F198" s="5" t="s">
        <v>43</v>
      </c>
      <c r="I198" s="5" t="s">
        <v>3393</v>
      </c>
      <c r="J198" s="5" t="s">
        <v>3393</v>
      </c>
      <c r="L198" s="6">
        <v>46254</v>
      </c>
    </row>
    <row r="199" spans="1:12" ht="16" x14ac:dyDescent="0.2">
      <c r="A199" s="5" t="s">
        <v>1192</v>
      </c>
      <c r="B199" s="5" t="s">
        <v>8</v>
      </c>
      <c r="C199" s="5" t="s">
        <v>3388</v>
      </c>
      <c r="E199" s="8" t="s">
        <v>1193</v>
      </c>
      <c r="F199" s="5" t="s">
        <v>43</v>
      </c>
      <c r="I199" s="5" t="s">
        <v>3393</v>
      </c>
      <c r="J199" s="5" t="s">
        <v>3393</v>
      </c>
      <c r="L199" s="6">
        <v>46254</v>
      </c>
    </row>
    <row r="200" spans="1:12" ht="16" x14ac:dyDescent="0.2">
      <c r="A200" s="5" t="s">
        <v>456</v>
      </c>
      <c r="B200" s="5" t="s">
        <v>8</v>
      </c>
      <c r="C200" s="5" t="s">
        <v>3386</v>
      </c>
      <c r="E200" s="8" t="s">
        <v>457</v>
      </c>
      <c r="F200" s="5" t="s">
        <v>86</v>
      </c>
      <c r="G200" s="5" t="s">
        <v>163</v>
      </c>
      <c r="H200" s="5" t="s">
        <v>163</v>
      </c>
      <c r="I200" s="5" t="s">
        <v>3394</v>
      </c>
      <c r="J200" s="5" t="s">
        <v>3394</v>
      </c>
      <c r="K200" s="5" t="s">
        <v>162</v>
      </c>
      <c r="L200" s="6">
        <v>46254</v>
      </c>
    </row>
    <row r="201" spans="1:12" ht="16" x14ac:dyDescent="0.2">
      <c r="A201" s="5" t="s">
        <v>1194</v>
      </c>
      <c r="B201" s="5" t="s">
        <v>8</v>
      </c>
      <c r="C201" s="5" t="s">
        <v>3386</v>
      </c>
      <c r="E201" s="8" t="s">
        <v>1195</v>
      </c>
      <c r="F201" s="5" t="s">
        <v>43</v>
      </c>
      <c r="I201" s="5" t="s">
        <v>3393</v>
      </c>
      <c r="J201" s="5" t="s">
        <v>3393</v>
      </c>
      <c r="L201" s="6">
        <v>46254</v>
      </c>
    </row>
    <row r="202" spans="1:12" ht="16" x14ac:dyDescent="0.2">
      <c r="A202" s="5" t="s">
        <v>1214</v>
      </c>
      <c r="B202" s="5" t="s">
        <v>8</v>
      </c>
      <c r="C202" s="5" t="s">
        <v>3387</v>
      </c>
      <c r="E202" s="8" t="s">
        <v>1215</v>
      </c>
      <c r="F202" s="5" t="s">
        <v>43</v>
      </c>
      <c r="I202" s="5" t="s">
        <v>3393</v>
      </c>
      <c r="J202" s="5" t="s">
        <v>3393</v>
      </c>
      <c r="L202" s="6">
        <v>46254</v>
      </c>
    </row>
    <row r="203" spans="1:12" ht="16" x14ac:dyDescent="0.2">
      <c r="A203" s="5" t="s">
        <v>1238</v>
      </c>
      <c r="B203" s="5" t="s">
        <v>8</v>
      </c>
      <c r="C203" s="5" t="s">
        <v>3389</v>
      </c>
      <c r="E203" s="8" t="s">
        <v>1239</v>
      </c>
      <c r="F203" s="5" t="s">
        <v>43</v>
      </c>
      <c r="I203" s="5" t="s">
        <v>3393</v>
      </c>
      <c r="J203" s="5" t="s">
        <v>3393</v>
      </c>
      <c r="L203" s="6">
        <v>46254</v>
      </c>
    </row>
  </sheetData>
  <pageMargins left="3.937007874015748E-2" right="3.937007874015748E-2" top="0.19685039370078741" bottom="0.19685039370078741" header="0.31496062992125984" footer="0.31496062992125984"/>
  <pageSetup paperSize="9" scale="56"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12575-3361-489A-859D-96D1A0E1E583}">
  <sheetPr>
    <pageSetUpPr fitToPage="1"/>
  </sheetPr>
  <dimension ref="A1:L249"/>
  <sheetViews>
    <sheetView topLeftCell="A88" zoomScaleNormal="100" zoomScaleSheetLayoutView="115" workbookViewId="0">
      <selection activeCell="E110" sqref="E110"/>
    </sheetView>
  </sheetViews>
  <sheetFormatPr baseColWidth="10" defaultColWidth="8.83203125" defaultRowHeight="15" outlineLevelCol="1" x14ac:dyDescent="0.2"/>
  <cols>
    <col min="1" max="1" width="9.5" style="1" customWidth="1"/>
    <col min="2" max="3" width="8.83203125" style="1"/>
    <col min="4" max="4" width="19.5" style="1" customWidth="1"/>
    <col min="5" max="5" width="80.83203125" style="1" customWidth="1"/>
    <col min="6" max="6" width="17" style="1" customWidth="1"/>
    <col min="7" max="7" width="17.1640625" style="1" customWidth="1" outlineLevel="1"/>
    <col min="8" max="8" width="16.6640625" style="1" customWidth="1" outlineLevel="1"/>
    <col min="9" max="9" width="17.6640625" style="1" customWidth="1"/>
    <col min="10" max="10" width="15" style="1" customWidth="1"/>
    <col min="11" max="11" width="20" style="3" customWidth="1" outlineLevel="1"/>
    <col min="12" max="12" width="24.83203125" style="1" customWidth="1" outlineLevel="1"/>
    <col min="13" max="16384" width="8.83203125" style="1"/>
  </cols>
  <sheetData>
    <row r="1" spans="1:12" x14ac:dyDescent="0.2">
      <c r="A1" s="2" t="s">
        <v>0</v>
      </c>
      <c r="B1" s="2" t="s">
        <v>1</v>
      </c>
      <c r="C1" s="2" t="s">
        <v>3374</v>
      </c>
      <c r="D1" s="2" t="s">
        <v>5</v>
      </c>
      <c r="E1" s="2" t="s">
        <v>2</v>
      </c>
      <c r="F1" s="2" t="s">
        <v>4</v>
      </c>
      <c r="G1" s="2" t="s">
        <v>3</v>
      </c>
      <c r="H1" s="2" t="s">
        <v>6</v>
      </c>
      <c r="I1" s="2" t="s">
        <v>3371</v>
      </c>
      <c r="J1" s="2" t="s">
        <v>3370</v>
      </c>
      <c r="K1" s="9" t="s">
        <v>3373</v>
      </c>
      <c r="L1" s="2" t="s">
        <v>3372</v>
      </c>
    </row>
    <row r="2" spans="1:12" x14ac:dyDescent="0.2">
      <c r="A2" s="1" t="s">
        <v>498</v>
      </c>
      <c r="B2" s="1" t="s">
        <v>8</v>
      </c>
      <c r="C2" s="1" t="s">
        <v>3376</v>
      </c>
      <c r="E2" s="1" t="s">
        <v>499</v>
      </c>
      <c r="F2" s="1" t="s">
        <v>113</v>
      </c>
      <c r="I2" s="1" t="s">
        <v>3394</v>
      </c>
      <c r="J2" s="1" t="s">
        <v>3402</v>
      </c>
      <c r="K2" s="1"/>
      <c r="L2" s="3">
        <v>46247</v>
      </c>
    </row>
    <row r="3" spans="1:12" x14ac:dyDescent="0.2">
      <c r="A3" s="1" t="s">
        <v>841</v>
      </c>
      <c r="B3" s="1" t="s">
        <v>8</v>
      </c>
      <c r="C3" s="1" t="s">
        <v>3376</v>
      </c>
      <c r="E3" s="12" t="s">
        <v>842</v>
      </c>
      <c r="F3" s="1" t="s">
        <v>86</v>
      </c>
      <c r="I3" s="1" t="s">
        <v>3394</v>
      </c>
      <c r="J3" s="1" t="s">
        <v>3402</v>
      </c>
      <c r="L3" s="3">
        <v>46247</v>
      </c>
    </row>
    <row r="4" spans="1:12" x14ac:dyDescent="0.2">
      <c r="A4" s="1" t="s">
        <v>534</v>
      </c>
      <c r="B4" s="1" t="s">
        <v>8</v>
      </c>
      <c r="C4" s="1" t="s">
        <v>3376</v>
      </c>
      <c r="E4" s="1" t="s">
        <v>535</v>
      </c>
      <c r="F4" s="1" t="s">
        <v>113</v>
      </c>
      <c r="I4" s="1" t="s">
        <v>3394</v>
      </c>
      <c r="J4" s="1" t="s">
        <v>3402</v>
      </c>
      <c r="K4" s="1"/>
      <c r="L4" s="3">
        <v>46247</v>
      </c>
    </row>
    <row r="5" spans="1:12" x14ac:dyDescent="0.2">
      <c r="A5" s="1" t="s">
        <v>538</v>
      </c>
      <c r="B5" s="1" t="s">
        <v>8</v>
      </c>
      <c r="C5" s="1" t="s">
        <v>3376</v>
      </c>
      <c r="E5" s="1" t="s">
        <v>539</v>
      </c>
      <c r="F5" s="1" t="s">
        <v>113</v>
      </c>
      <c r="I5" s="1" t="s">
        <v>3394</v>
      </c>
      <c r="J5" s="1" t="s">
        <v>3402</v>
      </c>
      <c r="K5" s="1"/>
      <c r="L5" s="3">
        <v>46247</v>
      </c>
    </row>
    <row r="6" spans="1:12" x14ac:dyDescent="0.2">
      <c r="A6" s="1" t="s">
        <v>598</v>
      </c>
      <c r="B6" s="1" t="s">
        <v>8</v>
      </c>
      <c r="C6" s="1" t="s">
        <v>3376</v>
      </c>
      <c r="E6" s="1" t="s">
        <v>599</v>
      </c>
      <c r="F6" s="1" t="s">
        <v>113</v>
      </c>
      <c r="I6" s="1" t="s">
        <v>3394</v>
      </c>
      <c r="J6" s="1" t="s">
        <v>3402</v>
      </c>
      <c r="K6" s="1"/>
      <c r="L6" s="3">
        <v>46247</v>
      </c>
    </row>
    <row r="7" spans="1:12" x14ac:dyDescent="0.2">
      <c r="A7" s="1" t="s">
        <v>602</v>
      </c>
      <c r="B7" s="1" t="s">
        <v>8</v>
      </c>
      <c r="C7" s="1" t="s">
        <v>3376</v>
      </c>
      <c r="E7" s="1" t="s">
        <v>603</v>
      </c>
      <c r="F7" s="1" t="s">
        <v>113</v>
      </c>
      <c r="I7" s="1" t="s">
        <v>3394</v>
      </c>
      <c r="J7" s="1" t="s">
        <v>3402</v>
      </c>
      <c r="K7" s="1"/>
      <c r="L7" s="3">
        <v>46247</v>
      </c>
    </row>
    <row r="8" spans="1:12" x14ac:dyDescent="0.2">
      <c r="A8" s="1" t="s">
        <v>839</v>
      </c>
      <c r="B8" s="1" t="s">
        <v>8</v>
      </c>
      <c r="C8" s="1" t="s">
        <v>3376</v>
      </c>
      <c r="E8" s="1" t="s">
        <v>840</v>
      </c>
      <c r="F8" s="1" t="s">
        <v>113</v>
      </c>
      <c r="I8" s="1" t="s">
        <v>3394</v>
      </c>
      <c r="J8" s="1" t="s">
        <v>3402</v>
      </c>
      <c r="K8" s="1"/>
      <c r="L8" s="3">
        <v>46247</v>
      </c>
    </row>
    <row r="9" spans="1:12" x14ac:dyDescent="0.2">
      <c r="A9" s="1" t="s">
        <v>855</v>
      </c>
      <c r="B9" s="1" t="s">
        <v>8</v>
      </c>
      <c r="C9" s="1" t="s">
        <v>3376</v>
      </c>
      <c r="E9" s="1" t="s">
        <v>856</v>
      </c>
      <c r="F9" s="1" t="s">
        <v>113</v>
      </c>
      <c r="I9" s="1" t="s">
        <v>3394</v>
      </c>
      <c r="J9" s="1" t="s">
        <v>3402</v>
      </c>
      <c r="K9" s="1"/>
      <c r="L9" s="3">
        <v>46247</v>
      </c>
    </row>
    <row r="10" spans="1:12" x14ac:dyDescent="0.2">
      <c r="A10" s="1" t="s">
        <v>859</v>
      </c>
      <c r="B10" s="1" t="s">
        <v>8</v>
      </c>
      <c r="C10" s="1" t="s">
        <v>3376</v>
      </c>
      <c r="E10" s="12" t="s">
        <v>860</v>
      </c>
      <c r="F10" s="1" t="s">
        <v>113</v>
      </c>
      <c r="I10" s="1" t="s">
        <v>3394</v>
      </c>
      <c r="J10" s="1" t="s">
        <v>3402</v>
      </c>
      <c r="K10" s="1"/>
      <c r="L10" s="3">
        <v>46247</v>
      </c>
    </row>
    <row r="11" spans="1:12" x14ac:dyDescent="0.2">
      <c r="A11" s="1" t="s">
        <v>881</v>
      </c>
      <c r="B11" s="1" t="s">
        <v>8</v>
      </c>
      <c r="C11" s="1" t="s">
        <v>3376</v>
      </c>
      <c r="E11" s="1" t="s">
        <v>882</v>
      </c>
      <c r="F11" s="1" t="s">
        <v>113</v>
      </c>
      <c r="I11" s="1" t="s">
        <v>3394</v>
      </c>
      <c r="J11" s="1" t="s">
        <v>3402</v>
      </c>
      <c r="K11" s="1"/>
      <c r="L11" s="3">
        <v>46247</v>
      </c>
    </row>
    <row r="12" spans="1:12" x14ac:dyDescent="0.2">
      <c r="A12" s="1" t="s">
        <v>885</v>
      </c>
      <c r="B12" s="1" t="s">
        <v>8</v>
      </c>
      <c r="C12" s="1" t="s">
        <v>3376</v>
      </c>
      <c r="E12" s="1" t="s">
        <v>886</v>
      </c>
      <c r="F12" s="1" t="s">
        <v>113</v>
      </c>
      <c r="I12" s="1" t="s">
        <v>3394</v>
      </c>
      <c r="J12" s="1" t="s">
        <v>3402</v>
      </c>
      <c r="K12" s="1"/>
      <c r="L12" s="3">
        <v>46247</v>
      </c>
    </row>
    <row r="13" spans="1:12" x14ac:dyDescent="0.2">
      <c r="A13" s="1" t="s">
        <v>887</v>
      </c>
      <c r="B13" s="1" t="s">
        <v>8</v>
      </c>
      <c r="C13" s="1" t="s">
        <v>3376</v>
      </c>
      <c r="E13" s="1" t="s">
        <v>888</v>
      </c>
      <c r="F13" s="1" t="s">
        <v>113</v>
      </c>
      <c r="I13" s="1" t="s">
        <v>3394</v>
      </c>
      <c r="J13" s="1" t="s">
        <v>3402</v>
      </c>
      <c r="K13" s="1"/>
      <c r="L13" s="3">
        <v>46247</v>
      </c>
    </row>
    <row r="14" spans="1:12" x14ac:dyDescent="0.2">
      <c r="A14" s="1" t="s">
        <v>891</v>
      </c>
      <c r="B14" s="1" t="s">
        <v>8</v>
      </c>
      <c r="C14" s="1" t="s">
        <v>3376</v>
      </c>
      <c r="E14" s="1" t="s">
        <v>892</v>
      </c>
      <c r="F14" s="1" t="s">
        <v>113</v>
      </c>
      <c r="I14" s="1" t="s">
        <v>3394</v>
      </c>
      <c r="J14" s="1" t="s">
        <v>3402</v>
      </c>
      <c r="K14" s="1"/>
      <c r="L14" s="3">
        <v>46247</v>
      </c>
    </row>
    <row r="15" spans="1:12" x14ac:dyDescent="0.2">
      <c r="A15" s="1" t="s">
        <v>893</v>
      </c>
      <c r="B15" s="1" t="s">
        <v>8</v>
      </c>
      <c r="C15" s="1" t="s">
        <v>3376</v>
      </c>
      <c r="E15" s="1" t="s">
        <v>894</v>
      </c>
      <c r="F15" s="1" t="s">
        <v>113</v>
      </c>
      <c r="I15" s="1" t="s">
        <v>3393</v>
      </c>
      <c r="J15" s="1" t="s">
        <v>3393</v>
      </c>
      <c r="K15" s="1"/>
      <c r="L15" s="3">
        <v>46247</v>
      </c>
    </row>
    <row r="16" spans="1:12" x14ac:dyDescent="0.2">
      <c r="A16" s="1" t="s">
        <v>639</v>
      </c>
      <c r="B16" s="1" t="s">
        <v>8</v>
      </c>
      <c r="C16" s="1" t="s">
        <v>3377</v>
      </c>
      <c r="E16" s="1" t="s">
        <v>640</v>
      </c>
      <c r="F16" s="1" t="s">
        <v>113</v>
      </c>
      <c r="I16" s="1" t="s">
        <v>3394</v>
      </c>
      <c r="J16" s="1" t="s">
        <v>3402</v>
      </c>
      <c r="K16" s="1"/>
      <c r="L16" s="3">
        <v>46247</v>
      </c>
    </row>
    <row r="17" spans="1:12" x14ac:dyDescent="0.2">
      <c r="A17" s="1" t="s">
        <v>643</v>
      </c>
      <c r="B17" s="1" t="s">
        <v>8</v>
      </c>
      <c r="C17" s="1" t="s">
        <v>3377</v>
      </c>
      <c r="E17" s="1" t="s">
        <v>644</v>
      </c>
      <c r="F17" s="1" t="s">
        <v>113</v>
      </c>
      <c r="I17" s="1" t="s">
        <v>3394</v>
      </c>
      <c r="J17" s="1" t="s">
        <v>3393</v>
      </c>
      <c r="K17" s="1"/>
      <c r="L17" s="3">
        <v>46247</v>
      </c>
    </row>
    <row r="18" spans="1:12" x14ac:dyDescent="0.2">
      <c r="A18" s="1" t="s">
        <v>651</v>
      </c>
      <c r="B18" s="1" t="s">
        <v>8</v>
      </c>
      <c r="C18" s="1" t="s">
        <v>3377</v>
      </c>
      <c r="E18" s="1" t="s">
        <v>652</v>
      </c>
      <c r="F18" s="1" t="s">
        <v>113</v>
      </c>
      <c r="I18" s="1" t="s">
        <v>3394</v>
      </c>
      <c r="J18" s="1" t="s">
        <v>3393</v>
      </c>
      <c r="K18" s="1"/>
      <c r="L18" s="3">
        <v>46247</v>
      </c>
    </row>
    <row r="19" spans="1:12" x14ac:dyDescent="0.2">
      <c r="A19" s="1" t="s">
        <v>653</v>
      </c>
      <c r="B19" s="1" t="s">
        <v>8</v>
      </c>
      <c r="C19" s="1" t="s">
        <v>3377</v>
      </c>
      <c r="E19" s="1" t="s">
        <v>654</v>
      </c>
      <c r="F19" s="1" t="s">
        <v>113</v>
      </c>
      <c r="I19" s="1" t="s">
        <v>3394</v>
      </c>
      <c r="J19" s="1" t="s">
        <v>3393</v>
      </c>
      <c r="K19" s="1"/>
      <c r="L19" s="3">
        <v>46247</v>
      </c>
    </row>
    <row r="20" spans="1:12" x14ac:dyDescent="0.2">
      <c r="A20" s="1" t="s">
        <v>857</v>
      </c>
      <c r="B20" s="1" t="s">
        <v>8</v>
      </c>
      <c r="C20" s="1" t="s">
        <v>3376</v>
      </c>
      <c r="E20" s="1" t="s">
        <v>858</v>
      </c>
      <c r="F20" s="1" t="s">
        <v>43</v>
      </c>
      <c r="G20" s="1" t="s">
        <v>73</v>
      </c>
      <c r="H20" s="1" t="s">
        <v>73</v>
      </c>
      <c r="I20" s="1" t="s">
        <v>3394</v>
      </c>
      <c r="J20" s="1" t="s">
        <v>3394</v>
      </c>
      <c r="K20" s="3">
        <v>46226</v>
      </c>
      <c r="L20" s="3">
        <v>46247</v>
      </c>
    </row>
    <row r="21" spans="1:12" x14ac:dyDescent="0.2">
      <c r="A21" s="1" t="s">
        <v>488</v>
      </c>
      <c r="B21" s="1" t="s">
        <v>8</v>
      </c>
      <c r="C21" s="1" t="s">
        <v>3376</v>
      </c>
      <c r="E21" s="18" t="s">
        <v>489</v>
      </c>
      <c r="F21" s="1" t="s">
        <v>86</v>
      </c>
      <c r="I21" s="1" t="s">
        <v>3394</v>
      </c>
      <c r="J21" s="1" t="s">
        <v>3402</v>
      </c>
      <c r="L21" s="3">
        <v>46247</v>
      </c>
    </row>
    <row r="22" spans="1:12" x14ac:dyDescent="0.2">
      <c r="A22" s="1" t="s">
        <v>498</v>
      </c>
      <c r="B22" s="1" t="s">
        <v>8</v>
      </c>
      <c r="C22" s="1" t="s">
        <v>3376</v>
      </c>
      <c r="E22" s="1" t="s">
        <v>499</v>
      </c>
      <c r="F22" s="1" t="s">
        <v>113</v>
      </c>
      <c r="I22" s="1" t="s">
        <v>3394</v>
      </c>
      <c r="J22" s="1" t="s">
        <v>3402</v>
      </c>
      <c r="L22" s="3">
        <v>46247</v>
      </c>
    </row>
    <row r="23" spans="1:12" x14ac:dyDescent="0.2">
      <c r="A23" s="1" t="s">
        <v>544</v>
      </c>
      <c r="B23" s="1" t="s">
        <v>8</v>
      </c>
      <c r="C23" s="1" t="s">
        <v>3376</v>
      </c>
      <c r="E23" s="1" t="s">
        <v>545</v>
      </c>
      <c r="F23" s="1" t="s">
        <v>128</v>
      </c>
      <c r="G23" s="1" t="s">
        <v>163</v>
      </c>
      <c r="H23" s="1" t="s">
        <v>163</v>
      </c>
      <c r="I23" s="1" t="s">
        <v>3394</v>
      </c>
      <c r="J23" s="1" t="s">
        <v>3394</v>
      </c>
      <c r="K23" s="3">
        <v>46219</v>
      </c>
      <c r="L23" s="3">
        <v>46247</v>
      </c>
    </row>
    <row r="24" spans="1:12" x14ac:dyDescent="0.2">
      <c r="A24" s="1" t="s">
        <v>546</v>
      </c>
      <c r="B24" s="1" t="s">
        <v>8</v>
      </c>
      <c r="C24" s="1" t="s">
        <v>3376</v>
      </c>
      <c r="E24" s="1" t="s">
        <v>547</v>
      </c>
      <c r="F24" s="1" t="s">
        <v>86</v>
      </c>
      <c r="I24" s="1" t="s">
        <v>3394</v>
      </c>
      <c r="J24" s="1" t="s">
        <v>3402</v>
      </c>
      <c r="L24" s="3">
        <v>46247</v>
      </c>
    </row>
    <row r="25" spans="1:12" x14ac:dyDescent="0.2">
      <c r="A25" s="1" t="s">
        <v>548</v>
      </c>
      <c r="B25" s="1" t="s">
        <v>8</v>
      </c>
      <c r="C25" s="1" t="s">
        <v>3376</v>
      </c>
      <c r="E25" s="1" t="s">
        <v>549</v>
      </c>
      <c r="F25" s="1" t="s">
        <v>86</v>
      </c>
      <c r="I25" s="1" t="s">
        <v>3394</v>
      </c>
      <c r="J25" s="1" t="s">
        <v>3402</v>
      </c>
      <c r="L25" s="3">
        <v>46247</v>
      </c>
    </row>
    <row r="26" spans="1:12" x14ac:dyDescent="0.2">
      <c r="A26" s="1" t="s">
        <v>550</v>
      </c>
      <c r="B26" s="1" t="s">
        <v>8</v>
      </c>
      <c r="C26" s="1" t="s">
        <v>3376</v>
      </c>
      <c r="E26" s="1" t="s">
        <v>551</v>
      </c>
      <c r="F26" s="1" t="s">
        <v>86</v>
      </c>
      <c r="I26" s="1" t="s">
        <v>3394</v>
      </c>
      <c r="J26" s="1" t="s">
        <v>3402</v>
      </c>
      <c r="L26" s="3">
        <v>46247</v>
      </c>
    </row>
    <row r="27" spans="1:12" x14ac:dyDescent="0.2">
      <c r="A27" s="1" t="s">
        <v>552</v>
      </c>
      <c r="B27" s="1" t="s">
        <v>8</v>
      </c>
      <c r="C27" s="1" t="s">
        <v>3376</v>
      </c>
      <c r="E27" s="1" t="s">
        <v>553</v>
      </c>
      <c r="F27" s="1" t="s">
        <v>113</v>
      </c>
      <c r="I27" s="1" t="s">
        <v>3394</v>
      </c>
      <c r="J27" s="1" t="s">
        <v>3402</v>
      </c>
      <c r="L27" s="3">
        <v>46247</v>
      </c>
    </row>
    <row r="28" spans="1:12" x14ac:dyDescent="0.2">
      <c r="A28" s="1" t="s">
        <v>554</v>
      </c>
      <c r="B28" s="1" t="s">
        <v>8</v>
      </c>
      <c r="C28" s="1" t="s">
        <v>3376</v>
      </c>
      <c r="E28" s="1" t="s">
        <v>555</v>
      </c>
      <c r="F28" s="1" t="s">
        <v>86</v>
      </c>
      <c r="I28" s="1" t="s">
        <v>3394</v>
      </c>
      <c r="J28" s="1" t="s">
        <v>3402</v>
      </c>
      <c r="L28" s="3">
        <v>46247</v>
      </c>
    </row>
    <row r="29" spans="1:12" x14ac:dyDescent="0.2">
      <c r="A29" s="1" t="s">
        <v>556</v>
      </c>
      <c r="B29" s="1" t="s">
        <v>8</v>
      </c>
      <c r="C29" s="1" t="s">
        <v>3376</v>
      </c>
      <c r="E29" s="1" t="s">
        <v>557</v>
      </c>
      <c r="F29" s="1" t="s">
        <v>86</v>
      </c>
      <c r="I29" s="1" t="s">
        <v>3394</v>
      </c>
      <c r="J29" s="1" t="s">
        <v>3402</v>
      </c>
      <c r="L29" s="3">
        <v>46247</v>
      </c>
    </row>
    <row r="30" spans="1:12" x14ac:dyDescent="0.2">
      <c r="A30" s="1" t="s">
        <v>580</v>
      </c>
      <c r="B30" s="1" t="s">
        <v>8</v>
      </c>
      <c r="C30" s="1" t="s">
        <v>3376</v>
      </c>
      <c r="E30" s="1" t="s">
        <v>581</v>
      </c>
      <c r="F30" s="1" t="s">
        <v>113</v>
      </c>
      <c r="I30" s="1" t="s">
        <v>3394</v>
      </c>
      <c r="J30" s="1" t="s">
        <v>3402</v>
      </c>
      <c r="L30" s="3">
        <v>46247</v>
      </c>
    </row>
    <row r="31" spans="1:12" x14ac:dyDescent="0.2">
      <c r="A31" s="1" t="s">
        <v>582</v>
      </c>
      <c r="B31" s="1" t="s">
        <v>8</v>
      </c>
      <c r="C31" s="1" t="s">
        <v>3376</v>
      </c>
      <c r="E31" s="12" t="s">
        <v>583</v>
      </c>
      <c r="F31" s="1" t="s">
        <v>113</v>
      </c>
      <c r="I31" s="1" t="s">
        <v>3394</v>
      </c>
      <c r="J31" s="1" t="s">
        <v>3402</v>
      </c>
      <c r="L31" s="3">
        <v>46247</v>
      </c>
    </row>
    <row r="32" spans="1:12" x14ac:dyDescent="0.2">
      <c r="A32" s="1" t="s">
        <v>584</v>
      </c>
      <c r="B32" s="1" t="s">
        <v>8</v>
      </c>
      <c r="C32" s="1" t="s">
        <v>3376</v>
      </c>
      <c r="E32" s="1" t="s">
        <v>585</v>
      </c>
      <c r="F32" s="1" t="s">
        <v>86</v>
      </c>
      <c r="I32" s="1" t="s">
        <v>3394</v>
      </c>
      <c r="J32" s="1" t="s">
        <v>3402</v>
      </c>
      <c r="L32" s="3">
        <v>46247</v>
      </c>
    </row>
    <row r="33" spans="1:12" x14ac:dyDescent="0.2">
      <c r="A33" s="1" t="s">
        <v>586</v>
      </c>
      <c r="B33" s="1" t="s">
        <v>8</v>
      </c>
      <c r="C33" s="1" t="s">
        <v>3376</v>
      </c>
      <c r="E33" s="12" t="s">
        <v>587</v>
      </c>
      <c r="F33" s="1" t="s">
        <v>86</v>
      </c>
      <c r="I33" s="1" t="s">
        <v>3394</v>
      </c>
      <c r="J33" s="1" t="s">
        <v>3402</v>
      </c>
      <c r="L33" s="3">
        <v>46247</v>
      </c>
    </row>
    <row r="34" spans="1:12" x14ac:dyDescent="0.2">
      <c r="A34" s="1" t="s">
        <v>588</v>
      </c>
      <c r="B34" s="1" t="s">
        <v>8</v>
      </c>
      <c r="C34" s="1" t="s">
        <v>3376</v>
      </c>
      <c r="E34" s="1" t="s">
        <v>589</v>
      </c>
      <c r="F34" s="1" t="s">
        <v>113</v>
      </c>
      <c r="I34" s="1" t="s">
        <v>3394</v>
      </c>
      <c r="J34" s="121" t="s">
        <v>3394</v>
      </c>
      <c r="K34" s="3">
        <v>46294</v>
      </c>
      <c r="L34" s="3">
        <v>46247</v>
      </c>
    </row>
    <row r="35" spans="1:12" x14ac:dyDescent="0.2">
      <c r="A35" s="1" t="s">
        <v>655</v>
      </c>
      <c r="B35" s="1" t="s">
        <v>8</v>
      </c>
      <c r="C35" s="1" t="s">
        <v>3377</v>
      </c>
      <c r="E35" s="1" t="s">
        <v>656</v>
      </c>
      <c r="F35" s="1" t="s">
        <v>113</v>
      </c>
      <c r="I35" s="1" t="s">
        <v>3394</v>
      </c>
      <c r="J35" s="1" t="s">
        <v>3393</v>
      </c>
      <c r="K35" s="1"/>
      <c r="L35" s="3">
        <v>46247</v>
      </c>
    </row>
    <row r="36" spans="1:12" x14ac:dyDescent="0.2">
      <c r="A36" s="1" t="s">
        <v>657</v>
      </c>
      <c r="B36" s="1" t="s">
        <v>8</v>
      </c>
      <c r="C36" s="1" t="s">
        <v>3377</v>
      </c>
      <c r="E36" s="1" t="s">
        <v>658</v>
      </c>
      <c r="F36" s="1" t="s">
        <v>113</v>
      </c>
      <c r="I36" s="1" t="s">
        <v>3394</v>
      </c>
      <c r="J36" s="1" t="s">
        <v>3393</v>
      </c>
      <c r="K36" s="1"/>
      <c r="L36" s="3">
        <v>46247</v>
      </c>
    </row>
    <row r="37" spans="1:12" x14ac:dyDescent="0.2">
      <c r="A37" s="1" t="s">
        <v>590</v>
      </c>
      <c r="B37" s="1" t="s">
        <v>8</v>
      </c>
      <c r="C37" s="1" t="s">
        <v>3376</v>
      </c>
      <c r="E37" s="1" t="s">
        <v>591</v>
      </c>
      <c r="F37" s="1" t="s">
        <v>113</v>
      </c>
      <c r="I37" s="1" t="s">
        <v>3394</v>
      </c>
      <c r="J37" s="1" t="s">
        <v>3402</v>
      </c>
      <c r="L37" s="3">
        <v>46247</v>
      </c>
    </row>
    <row r="38" spans="1:12" x14ac:dyDescent="0.2">
      <c r="A38" s="1" t="s">
        <v>659</v>
      </c>
      <c r="B38" s="1" t="s">
        <v>8</v>
      </c>
      <c r="C38" s="1" t="s">
        <v>3377</v>
      </c>
      <c r="E38" s="1" t="s">
        <v>660</v>
      </c>
      <c r="F38" s="1" t="s">
        <v>113</v>
      </c>
      <c r="I38" s="1" t="s">
        <v>3394</v>
      </c>
      <c r="J38" s="1" t="s">
        <v>3393</v>
      </c>
      <c r="K38" s="1"/>
      <c r="L38" s="3">
        <v>46247</v>
      </c>
    </row>
    <row r="39" spans="1:12" x14ac:dyDescent="0.2">
      <c r="A39" s="1" t="s">
        <v>661</v>
      </c>
      <c r="B39" s="1" t="s">
        <v>8</v>
      </c>
      <c r="C39" s="1" t="s">
        <v>3377</v>
      </c>
      <c r="E39" s="12" t="s">
        <v>662</v>
      </c>
      <c r="F39" s="1" t="s">
        <v>113</v>
      </c>
      <c r="I39" s="1" t="s">
        <v>3394</v>
      </c>
      <c r="J39" s="1" t="s">
        <v>3402</v>
      </c>
      <c r="K39" s="1"/>
      <c r="L39" s="3">
        <v>46247</v>
      </c>
    </row>
    <row r="40" spans="1:12" x14ac:dyDescent="0.2">
      <c r="A40" s="1" t="s">
        <v>592</v>
      </c>
      <c r="B40" s="1" t="s">
        <v>8</v>
      </c>
      <c r="C40" s="1" t="s">
        <v>3376</v>
      </c>
      <c r="E40" s="1" t="s">
        <v>593</v>
      </c>
      <c r="F40" s="1" t="s">
        <v>113</v>
      </c>
      <c r="I40" s="1" t="s">
        <v>3394</v>
      </c>
      <c r="J40" s="1" t="s">
        <v>3402</v>
      </c>
      <c r="L40" s="3">
        <v>46247</v>
      </c>
    </row>
    <row r="41" spans="1:12" x14ac:dyDescent="0.2">
      <c r="A41" s="1" t="s">
        <v>671</v>
      </c>
      <c r="B41" s="1" t="s">
        <v>8</v>
      </c>
      <c r="C41" s="1" t="s">
        <v>3377</v>
      </c>
      <c r="E41" s="12" t="s">
        <v>672</v>
      </c>
      <c r="F41" s="1" t="s">
        <v>113</v>
      </c>
      <c r="I41" s="1" t="s">
        <v>3394</v>
      </c>
      <c r="J41" s="121" t="s">
        <v>3394</v>
      </c>
      <c r="K41" s="3">
        <v>46293</v>
      </c>
      <c r="L41" s="3">
        <v>46247</v>
      </c>
    </row>
    <row r="42" spans="1:12" x14ac:dyDescent="0.2">
      <c r="A42" s="1" t="s">
        <v>594</v>
      </c>
      <c r="B42" s="1" t="s">
        <v>8</v>
      </c>
      <c r="C42" s="1" t="s">
        <v>3376</v>
      </c>
      <c r="E42" s="1" t="s">
        <v>595</v>
      </c>
      <c r="F42" s="1" t="s">
        <v>113</v>
      </c>
      <c r="G42" s="1" t="s">
        <v>163</v>
      </c>
      <c r="H42" s="1" t="s">
        <v>163</v>
      </c>
      <c r="I42" s="1" t="s">
        <v>3394</v>
      </c>
      <c r="J42" s="1" t="s">
        <v>3394</v>
      </c>
      <c r="K42" s="3">
        <v>46219</v>
      </c>
      <c r="L42" s="3">
        <v>46247</v>
      </c>
    </row>
    <row r="43" spans="1:12" x14ac:dyDescent="0.2">
      <c r="A43" s="1" t="s">
        <v>673</v>
      </c>
      <c r="B43" s="1" t="s">
        <v>8</v>
      </c>
      <c r="C43" s="1" t="s">
        <v>3377</v>
      </c>
      <c r="E43" s="18" t="s">
        <v>674</v>
      </c>
      <c r="F43" s="1" t="s">
        <v>113</v>
      </c>
      <c r="I43" s="1" t="s">
        <v>3394</v>
      </c>
      <c r="J43" s="1" t="s">
        <v>3402</v>
      </c>
      <c r="K43" s="1"/>
      <c r="L43" s="3">
        <v>46247</v>
      </c>
    </row>
    <row r="44" spans="1:12" x14ac:dyDescent="0.2">
      <c r="A44" s="1" t="s">
        <v>681</v>
      </c>
      <c r="B44" s="1" t="s">
        <v>8</v>
      </c>
      <c r="C44" s="1" t="s">
        <v>3377</v>
      </c>
      <c r="E44" s="1" t="s">
        <v>682</v>
      </c>
      <c r="F44" s="1" t="s">
        <v>113</v>
      </c>
      <c r="I44" s="1" t="s">
        <v>3394</v>
      </c>
      <c r="J44" s="1" t="s">
        <v>3393</v>
      </c>
      <c r="K44" s="1"/>
      <c r="L44" s="3">
        <v>46247</v>
      </c>
    </row>
    <row r="45" spans="1:12" x14ac:dyDescent="0.2">
      <c r="A45" s="1" t="s">
        <v>724</v>
      </c>
      <c r="B45" s="1" t="s">
        <v>8</v>
      </c>
      <c r="C45" s="1" t="s">
        <v>3378</v>
      </c>
      <c r="E45" s="1" t="s">
        <v>725</v>
      </c>
      <c r="F45" s="1" t="s">
        <v>113</v>
      </c>
      <c r="I45" s="1" t="s">
        <v>3394</v>
      </c>
      <c r="J45" s="1" t="s">
        <v>3393</v>
      </c>
      <c r="K45" s="1"/>
      <c r="L45" s="3">
        <v>46247</v>
      </c>
    </row>
    <row r="46" spans="1:12" x14ac:dyDescent="0.2">
      <c r="A46" s="1" t="s">
        <v>732</v>
      </c>
      <c r="B46" s="1" t="s">
        <v>8</v>
      </c>
      <c r="C46" s="1" t="s">
        <v>3378</v>
      </c>
      <c r="E46" s="1" t="s">
        <v>733</v>
      </c>
      <c r="F46" s="1" t="s">
        <v>113</v>
      </c>
      <c r="I46" s="1" t="s">
        <v>3394</v>
      </c>
      <c r="J46" s="1" t="s">
        <v>3393</v>
      </c>
      <c r="K46" s="1"/>
      <c r="L46" s="3">
        <v>46247</v>
      </c>
    </row>
    <row r="47" spans="1:12" x14ac:dyDescent="0.2">
      <c r="A47" s="1" t="s">
        <v>738</v>
      </c>
      <c r="B47" s="1" t="s">
        <v>8</v>
      </c>
      <c r="C47" s="1" t="s">
        <v>3378</v>
      </c>
      <c r="E47" s="1" t="s">
        <v>739</v>
      </c>
      <c r="F47" s="1" t="s">
        <v>113</v>
      </c>
      <c r="I47" s="1" t="s">
        <v>3394</v>
      </c>
      <c r="J47" s="1" t="s">
        <v>3393</v>
      </c>
      <c r="K47" s="1"/>
      <c r="L47" s="3">
        <v>46247</v>
      </c>
    </row>
    <row r="48" spans="1:12" x14ac:dyDescent="0.2">
      <c r="A48" s="1" t="s">
        <v>600</v>
      </c>
      <c r="B48" s="1" t="s">
        <v>8</v>
      </c>
      <c r="C48" s="1" t="s">
        <v>3376</v>
      </c>
      <c r="E48" s="1" t="s">
        <v>601</v>
      </c>
      <c r="F48" s="1" t="s">
        <v>128</v>
      </c>
      <c r="G48" s="1" t="s">
        <v>163</v>
      </c>
      <c r="H48" s="1" t="s">
        <v>163</v>
      </c>
      <c r="I48" s="1" t="s">
        <v>3394</v>
      </c>
      <c r="J48" s="1" t="s">
        <v>3394</v>
      </c>
      <c r="K48" s="3">
        <v>46219</v>
      </c>
      <c r="L48" s="3">
        <v>46247</v>
      </c>
    </row>
    <row r="49" spans="1:12" x14ac:dyDescent="0.2">
      <c r="A49" s="1" t="s">
        <v>744</v>
      </c>
      <c r="B49" s="1" t="s">
        <v>8</v>
      </c>
      <c r="C49" s="1" t="s">
        <v>3378</v>
      </c>
      <c r="E49" s="1" t="s">
        <v>745</v>
      </c>
      <c r="F49" s="1" t="s">
        <v>113</v>
      </c>
      <c r="I49" s="1" t="s">
        <v>3394</v>
      </c>
      <c r="J49" s="1" t="s">
        <v>3393</v>
      </c>
      <c r="K49" s="1"/>
      <c r="L49" s="3">
        <v>46247</v>
      </c>
    </row>
    <row r="50" spans="1:12" x14ac:dyDescent="0.2">
      <c r="A50" s="1" t="s">
        <v>746</v>
      </c>
      <c r="B50" s="1" t="s">
        <v>8</v>
      </c>
      <c r="C50" s="1" t="s">
        <v>3378</v>
      </c>
      <c r="E50" s="1" t="s">
        <v>747</v>
      </c>
      <c r="F50" s="1" t="s">
        <v>113</v>
      </c>
      <c r="I50" s="1" t="s">
        <v>3394</v>
      </c>
      <c r="J50" s="1" t="s">
        <v>3393</v>
      </c>
      <c r="K50" s="1"/>
      <c r="L50" s="3">
        <v>46247</v>
      </c>
    </row>
    <row r="51" spans="1:12" x14ac:dyDescent="0.2">
      <c r="A51" s="1" t="s">
        <v>748</v>
      </c>
      <c r="B51" s="1" t="s">
        <v>8</v>
      </c>
      <c r="C51" s="1" t="s">
        <v>3378</v>
      </c>
      <c r="E51" s="1" t="s">
        <v>749</v>
      </c>
      <c r="F51" s="1" t="s">
        <v>113</v>
      </c>
      <c r="I51" s="1" t="s">
        <v>3394</v>
      </c>
      <c r="J51" s="1" t="s">
        <v>3393</v>
      </c>
      <c r="K51" s="1"/>
      <c r="L51" s="3">
        <v>46247</v>
      </c>
    </row>
    <row r="52" spans="1:12" x14ac:dyDescent="0.2">
      <c r="A52" s="1" t="s">
        <v>756</v>
      </c>
      <c r="B52" s="1" t="s">
        <v>8</v>
      </c>
      <c r="C52" s="1" t="s">
        <v>3378</v>
      </c>
      <c r="E52" s="1" t="s">
        <v>757</v>
      </c>
      <c r="F52" s="1" t="s">
        <v>113</v>
      </c>
      <c r="I52" s="1" t="s">
        <v>3394</v>
      </c>
      <c r="J52" s="1" t="s">
        <v>3393</v>
      </c>
      <c r="K52" s="1"/>
      <c r="L52" s="3">
        <v>46247</v>
      </c>
    </row>
    <row r="53" spans="1:12" x14ac:dyDescent="0.2">
      <c r="A53" s="1" t="s">
        <v>758</v>
      </c>
      <c r="B53" s="1" t="s">
        <v>8</v>
      </c>
      <c r="C53" s="1" t="s">
        <v>3378</v>
      </c>
      <c r="E53" s="12" t="s">
        <v>759</v>
      </c>
      <c r="F53" s="1" t="s">
        <v>113</v>
      </c>
      <c r="I53" s="1" t="s">
        <v>3394</v>
      </c>
      <c r="J53" s="1" t="s">
        <v>3402</v>
      </c>
      <c r="K53" s="1"/>
      <c r="L53" s="3">
        <v>46247</v>
      </c>
    </row>
    <row r="54" spans="1:12" x14ac:dyDescent="0.2">
      <c r="A54" s="1" t="s">
        <v>760</v>
      </c>
      <c r="B54" s="1" t="s">
        <v>8</v>
      </c>
      <c r="C54" s="1" t="s">
        <v>3378</v>
      </c>
      <c r="E54" s="18" t="s">
        <v>761</v>
      </c>
      <c r="F54" s="1" t="s">
        <v>113</v>
      </c>
      <c r="I54" s="1" t="s">
        <v>3394</v>
      </c>
      <c r="J54" s="1" t="s">
        <v>3402</v>
      </c>
      <c r="K54" s="1"/>
      <c r="L54" s="3">
        <v>46247</v>
      </c>
    </row>
    <row r="55" spans="1:12" x14ac:dyDescent="0.2">
      <c r="A55" s="1" t="s">
        <v>762</v>
      </c>
      <c r="B55" s="1" t="s">
        <v>8</v>
      </c>
      <c r="C55" s="1" t="s">
        <v>3378</v>
      </c>
      <c r="E55" s="1" t="s">
        <v>763</v>
      </c>
      <c r="F55" s="1" t="s">
        <v>113</v>
      </c>
      <c r="I55" s="1" t="s">
        <v>3394</v>
      </c>
      <c r="J55" s="1" t="s">
        <v>3393</v>
      </c>
      <c r="K55" s="1"/>
      <c r="L55" s="3">
        <v>46247</v>
      </c>
    </row>
    <row r="56" spans="1:12" x14ac:dyDescent="0.2">
      <c r="A56" s="1" t="s">
        <v>606</v>
      </c>
      <c r="B56" s="1" t="s">
        <v>8</v>
      </c>
      <c r="C56" s="1" t="s">
        <v>3376</v>
      </c>
      <c r="E56" s="1" t="s">
        <v>607</v>
      </c>
      <c r="F56" s="1" t="s">
        <v>43</v>
      </c>
      <c r="G56" s="1" t="s">
        <v>73</v>
      </c>
      <c r="H56" s="1" t="s">
        <v>73</v>
      </c>
      <c r="I56" s="1" t="s">
        <v>3394</v>
      </c>
      <c r="J56" s="1" t="s">
        <v>3394</v>
      </c>
      <c r="K56" s="3">
        <v>46226</v>
      </c>
      <c r="L56" s="3">
        <v>46247</v>
      </c>
    </row>
    <row r="57" spans="1:12" x14ac:dyDescent="0.2">
      <c r="A57" s="1" t="s">
        <v>764</v>
      </c>
      <c r="B57" s="1" t="s">
        <v>8</v>
      </c>
      <c r="C57" s="1" t="s">
        <v>3378</v>
      </c>
      <c r="E57" s="12" t="s">
        <v>765</v>
      </c>
      <c r="F57" s="1" t="s">
        <v>113</v>
      </c>
      <c r="I57" s="1" t="s">
        <v>3394</v>
      </c>
      <c r="J57" s="121" t="s">
        <v>3394</v>
      </c>
      <c r="K57" s="3">
        <v>46294</v>
      </c>
      <c r="L57" s="3">
        <v>46247</v>
      </c>
    </row>
    <row r="58" spans="1:12" x14ac:dyDescent="0.2">
      <c r="A58" s="1" t="s">
        <v>766</v>
      </c>
      <c r="B58" s="1" t="s">
        <v>8</v>
      </c>
      <c r="C58" s="1" t="s">
        <v>3378</v>
      </c>
      <c r="E58" s="1" t="s">
        <v>767</v>
      </c>
      <c r="F58" s="1" t="s">
        <v>113</v>
      </c>
      <c r="I58" s="1" t="s">
        <v>3393</v>
      </c>
      <c r="J58" s="1" t="s">
        <v>3393</v>
      </c>
      <c r="K58" s="1"/>
      <c r="L58" s="3">
        <v>46247</v>
      </c>
    </row>
    <row r="59" spans="1:12" x14ac:dyDescent="0.2">
      <c r="A59" s="1" t="s">
        <v>774</v>
      </c>
      <c r="B59" s="1" t="s">
        <v>8</v>
      </c>
      <c r="C59" s="1" t="s">
        <v>3378</v>
      </c>
      <c r="E59" s="1" t="s">
        <v>775</v>
      </c>
      <c r="F59" s="1" t="s">
        <v>113</v>
      </c>
      <c r="I59" s="1" t="s">
        <v>3393</v>
      </c>
      <c r="J59" s="1" t="s">
        <v>3393</v>
      </c>
      <c r="K59" s="1"/>
      <c r="L59" s="3">
        <v>46247</v>
      </c>
    </row>
    <row r="60" spans="1:12" x14ac:dyDescent="0.2">
      <c r="A60" s="1" t="s">
        <v>776</v>
      </c>
      <c r="B60" s="1" t="s">
        <v>8</v>
      </c>
      <c r="C60" s="1" t="s">
        <v>3378</v>
      </c>
      <c r="E60" s="1" t="s">
        <v>777</v>
      </c>
      <c r="F60" s="1" t="s">
        <v>113</v>
      </c>
      <c r="I60" s="1" t="s">
        <v>3393</v>
      </c>
      <c r="J60" s="1" t="s">
        <v>3393</v>
      </c>
      <c r="K60" s="1"/>
      <c r="L60" s="3">
        <v>46247</v>
      </c>
    </row>
    <row r="61" spans="1:12" x14ac:dyDescent="0.2">
      <c r="A61" s="1" t="s">
        <v>780</v>
      </c>
      <c r="B61" s="1" t="s">
        <v>8</v>
      </c>
      <c r="C61" s="1" t="s">
        <v>3378</v>
      </c>
      <c r="E61" s="1" t="s">
        <v>781</v>
      </c>
      <c r="F61" s="1" t="s">
        <v>113</v>
      </c>
      <c r="I61" s="1" t="s">
        <v>3394</v>
      </c>
      <c r="J61" s="1" t="s">
        <v>3393</v>
      </c>
      <c r="K61" s="1"/>
      <c r="L61" s="3">
        <v>46247</v>
      </c>
    </row>
    <row r="62" spans="1:12" x14ac:dyDescent="0.2">
      <c r="A62" s="1" t="s">
        <v>782</v>
      </c>
      <c r="B62" s="1" t="s">
        <v>8</v>
      </c>
      <c r="C62" s="1" t="s">
        <v>3378</v>
      </c>
      <c r="E62" s="1" t="s">
        <v>783</v>
      </c>
      <c r="F62" s="1" t="s">
        <v>113</v>
      </c>
      <c r="I62" s="1" t="s">
        <v>3394</v>
      </c>
      <c r="J62" s="1" t="s">
        <v>3393</v>
      </c>
      <c r="K62" s="1"/>
      <c r="L62" s="3">
        <v>46247</v>
      </c>
    </row>
    <row r="63" spans="1:12" x14ac:dyDescent="0.2">
      <c r="A63" s="1" t="s">
        <v>512</v>
      </c>
      <c r="B63" s="1" t="s">
        <v>8</v>
      </c>
      <c r="C63" s="1" t="s">
        <v>3379</v>
      </c>
      <c r="E63" s="1" t="s">
        <v>513</v>
      </c>
      <c r="F63" s="1" t="s">
        <v>113</v>
      </c>
      <c r="I63" s="1" t="s">
        <v>3394</v>
      </c>
      <c r="J63" s="1" t="s">
        <v>3393</v>
      </c>
      <c r="K63" s="1"/>
      <c r="L63" s="3">
        <v>46247</v>
      </c>
    </row>
    <row r="64" spans="1:12" x14ac:dyDescent="0.2">
      <c r="A64" s="1" t="s">
        <v>514</v>
      </c>
      <c r="B64" s="1" t="s">
        <v>8</v>
      </c>
      <c r="C64" s="1" t="s">
        <v>3379</v>
      </c>
      <c r="E64" s="1" t="s">
        <v>515</v>
      </c>
      <c r="F64" s="1" t="s">
        <v>113</v>
      </c>
      <c r="I64" s="1" t="s">
        <v>3394</v>
      </c>
      <c r="J64" s="1" t="s">
        <v>3393</v>
      </c>
      <c r="K64" s="1"/>
      <c r="L64" s="3">
        <v>46247</v>
      </c>
    </row>
    <row r="65" spans="1:12" x14ac:dyDescent="0.2">
      <c r="A65" s="1" t="s">
        <v>520</v>
      </c>
      <c r="B65" s="1" t="s">
        <v>8</v>
      </c>
      <c r="C65" s="1" t="s">
        <v>3379</v>
      </c>
      <c r="E65" s="1" t="s">
        <v>521</v>
      </c>
      <c r="F65" s="1" t="s">
        <v>113</v>
      </c>
      <c r="I65" s="1" t="s">
        <v>3393</v>
      </c>
      <c r="J65" s="1" t="s">
        <v>3393</v>
      </c>
      <c r="K65" s="1"/>
      <c r="L65" s="3">
        <v>46247</v>
      </c>
    </row>
    <row r="66" spans="1:12" x14ac:dyDescent="0.2">
      <c r="A66" s="1" t="s">
        <v>522</v>
      </c>
      <c r="B66" s="1" t="s">
        <v>8</v>
      </c>
      <c r="C66" s="1" t="s">
        <v>3379</v>
      </c>
      <c r="E66" s="1" t="s">
        <v>523</v>
      </c>
      <c r="F66" s="1" t="s">
        <v>113</v>
      </c>
      <c r="I66" s="1" t="s">
        <v>3394</v>
      </c>
      <c r="J66" s="1" t="s">
        <v>3393</v>
      </c>
      <c r="K66" s="1"/>
      <c r="L66" s="3">
        <v>46247</v>
      </c>
    </row>
    <row r="67" spans="1:12" x14ac:dyDescent="0.2">
      <c r="A67" s="1" t="s">
        <v>526</v>
      </c>
      <c r="B67" s="1" t="s">
        <v>8</v>
      </c>
      <c r="C67" s="1" t="s">
        <v>3379</v>
      </c>
      <c r="E67" s="1" t="s">
        <v>527</v>
      </c>
      <c r="F67" s="1" t="s">
        <v>113</v>
      </c>
      <c r="I67" s="1" t="s">
        <v>3394</v>
      </c>
      <c r="J67" s="1" t="s">
        <v>3393</v>
      </c>
      <c r="K67" s="1"/>
      <c r="L67" s="3">
        <v>46247</v>
      </c>
    </row>
    <row r="68" spans="1:12" x14ac:dyDescent="0.2">
      <c r="A68" s="1" t="s">
        <v>528</v>
      </c>
      <c r="B68" s="1" t="s">
        <v>8</v>
      </c>
      <c r="C68" s="1" t="s">
        <v>3379</v>
      </c>
      <c r="E68" s="1" t="s">
        <v>529</v>
      </c>
      <c r="F68" s="1" t="s">
        <v>113</v>
      </c>
      <c r="I68" s="1" t="s">
        <v>3394</v>
      </c>
      <c r="J68" s="1" t="s">
        <v>3402</v>
      </c>
      <c r="K68" s="1"/>
      <c r="L68" s="3">
        <v>46247</v>
      </c>
    </row>
    <row r="69" spans="1:12" x14ac:dyDescent="0.2">
      <c r="A69" s="1" t="s">
        <v>558</v>
      </c>
      <c r="B69" s="1" t="s">
        <v>8</v>
      </c>
      <c r="C69" s="1" t="s">
        <v>3379</v>
      </c>
      <c r="E69" s="1" t="s">
        <v>559</v>
      </c>
      <c r="F69" s="1" t="s">
        <v>113</v>
      </c>
      <c r="I69" s="1" t="s">
        <v>3394</v>
      </c>
      <c r="J69" s="1" t="s">
        <v>3402</v>
      </c>
      <c r="K69" s="1"/>
      <c r="L69" s="3">
        <v>46247</v>
      </c>
    </row>
    <row r="70" spans="1:12" x14ac:dyDescent="0.2">
      <c r="A70" s="1" t="s">
        <v>798</v>
      </c>
      <c r="B70" s="1" t="s">
        <v>8</v>
      </c>
      <c r="C70" s="1" t="s">
        <v>3379</v>
      </c>
      <c r="E70" s="1" t="s">
        <v>799</v>
      </c>
      <c r="F70" s="1" t="s">
        <v>113</v>
      </c>
      <c r="I70" s="1" t="s">
        <v>3394</v>
      </c>
      <c r="J70" s="1" t="s">
        <v>3402</v>
      </c>
      <c r="K70" s="1"/>
      <c r="L70" s="3">
        <v>46247</v>
      </c>
    </row>
    <row r="71" spans="1:12" x14ac:dyDescent="0.2">
      <c r="A71" s="1" t="s">
        <v>804</v>
      </c>
      <c r="B71" s="1" t="s">
        <v>8</v>
      </c>
      <c r="C71" s="1" t="s">
        <v>3379</v>
      </c>
      <c r="E71" s="1" t="s">
        <v>805</v>
      </c>
      <c r="F71" s="1" t="s">
        <v>113</v>
      </c>
      <c r="I71" s="1" t="s">
        <v>3394</v>
      </c>
      <c r="J71" s="1" t="s">
        <v>3393</v>
      </c>
      <c r="K71" s="1"/>
      <c r="L71" s="3">
        <v>46247</v>
      </c>
    </row>
    <row r="72" spans="1:12" x14ac:dyDescent="0.2">
      <c r="A72" s="1" t="s">
        <v>806</v>
      </c>
      <c r="B72" s="1" t="s">
        <v>8</v>
      </c>
      <c r="C72" s="1" t="s">
        <v>3379</v>
      </c>
      <c r="E72" s="1" t="s">
        <v>807</v>
      </c>
      <c r="F72" s="1" t="s">
        <v>113</v>
      </c>
      <c r="I72" s="1" t="s">
        <v>3394</v>
      </c>
      <c r="J72" s="1" t="s">
        <v>3402</v>
      </c>
      <c r="K72" s="1"/>
      <c r="L72" s="3">
        <v>46247</v>
      </c>
    </row>
    <row r="73" spans="1:12" x14ac:dyDescent="0.2">
      <c r="A73" s="1" t="s">
        <v>817</v>
      </c>
      <c r="B73" s="1" t="s">
        <v>8</v>
      </c>
      <c r="C73" s="1" t="s">
        <v>3379</v>
      </c>
      <c r="E73" s="1" t="s">
        <v>818</v>
      </c>
      <c r="F73" s="1" t="s">
        <v>113</v>
      </c>
      <c r="I73" s="1" t="s">
        <v>3394</v>
      </c>
      <c r="J73" s="1" t="s">
        <v>3402</v>
      </c>
      <c r="K73" s="1"/>
      <c r="L73" s="3">
        <v>46247</v>
      </c>
    </row>
    <row r="74" spans="1:12" x14ac:dyDescent="0.2">
      <c r="A74" s="1" t="s">
        <v>863</v>
      </c>
      <c r="B74" s="1" t="s">
        <v>8</v>
      </c>
      <c r="C74" s="1" t="s">
        <v>3379</v>
      </c>
      <c r="E74" s="1" t="s">
        <v>864</v>
      </c>
      <c r="F74" s="1" t="s">
        <v>113</v>
      </c>
      <c r="I74" s="1" t="s">
        <v>3394</v>
      </c>
      <c r="J74" s="1" t="s">
        <v>3402</v>
      </c>
      <c r="K74" s="1"/>
      <c r="L74" s="3">
        <v>46247</v>
      </c>
    </row>
    <row r="75" spans="1:12" x14ac:dyDescent="0.2">
      <c r="A75" s="1" t="s">
        <v>865</v>
      </c>
      <c r="B75" s="1" t="s">
        <v>8</v>
      </c>
      <c r="C75" s="1" t="s">
        <v>3379</v>
      </c>
      <c r="E75" s="1" t="s">
        <v>866</v>
      </c>
      <c r="F75" s="1" t="s">
        <v>113</v>
      </c>
      <c r="I75" s="1" t="s">
        <v>3393</v>
      </c>
      <c r="J75" s="1" t="s">
        <v>3393</v>
      </c>
      <c r="K75" s="1"/>
      <c r="L75" s="3">
        <v>46247</v>
      </c>
    </row>
    <row r="76" spans="1:12" x14ac:dyDescent="0.2">
      <c r="A76" s="1" t="s">
        <v>909</v>
      </c>
      <c r="B76" s="1" t="s">
        <v>8</v>
      </c>
      <c r="C76" s="1" t="s">
        <v>3379</v>
      </c>
      <c r="E76" s="12" t="s">
        <v>910</v>
      </c>
      <c r="F76" s="1" t="s">
        <v>113</v>
      </c>
      <c r="I76" s="1" t="s">
        <v>3394</v>
      </c>
      <c r="J76" s="1" t="s">
        <v>3402</v>
      </c>
      <c r="K76" s="1"/>
      <c r="L76" s="3">
        <v>46247</v>
      </c>
    </row>
    <row r="77" spans="1:12" x14ac:dyDescent="0.2">
      <c r="A77" s="1" t="s">
        <v>923</v>
      </c>
      <c r="B77" s="1" t="s">
        <v>8</v>
      </c>
      <c r="C77" s="1" t="s">
        <v>3379</v>
      </c>
      <c r="E77" s="16" t="s">
        <v>924</v>
      </c>
      <c r="F77" s="1" t="s">
        <v>113</v>
      </c>
      <c r="I77" s="1" t="s">
        <v>3394</v>
      </c>
      <c r="J77" s="1" t="s">
        <v>3402</v>
      </c>
      <c r="K77" s="1"/>
      <c r="L77" s="3">
        <v>46247</v>
      </c>
    </row>
    <row r="78" spans="1:12" x14ac:dyDescent="0.2">
      <c r="A78" s="1" t="s">
        <v>925</v>
      </c>
      <c r="B78" s="1" t="s">
        <v>8</v>
      </c>
      <c r="C78" s="1" t="s">
        <v>3379</v>
      </c>
      <c r="E78" s="16" t="s">
        <v>926</v>
      </c>
      <c r="F78" s="1" t="s">
        <v>113</v>
      </c>
      <c r="I78" s="1" t="s">
        <v>3394</v>
      </c>
      <c r="J78" s="1" t="s">
        <v>3402</v>
      </c>
      <c r="K78" s="1"/>
      <c r="L78" s="3">
        <v>46247</v>
      </c>
    </row>
    <row r="79" spans="1:12" x14ac:dyDescent="0.2">
      <c r="A79" s="1" t="s">
        <v>1360</v>
      </c>
      <c r="B79" s="1" t="s">
        <v>1295</v>
      </c>
      <c r="C79" s="1" t="s">
        <v>3376</v>
      </c>
      <c r="D79" s="1" t="s">
        <v>1361</v>
      </c>
      <c r="E79" s="1" t="s">
        <v>1362</v>
      </c>
      <c r="F79" s="1" t="s">
        <v>1289</v>
      </c>
      <c r="I79" s="1" t="s">
        <v>3394</v>
      </c>
      <c r="J79" s="1" t="s">
        <v>3393</v>
      </c>
      <c r="K79" s="1"/>
      <c r="L79" s="3">
        <v>46247</v>
      </c>
    </row>
    <row r="80" spans="1:12" x14ac:dyDescent="0.2">
      <c r="A80" s="1" t="s">
        <v>1404</v>
      </c>
      <c r="B80" s="1" t="s">
        <v>929</v>
      </c>
      <c r="C80" s="1" t="s">
        <v>3376</v>
      </c>
      <c r="D80" s="1" t="s">
        <v>1405</v>
      </c>
      <c r="E80" s="1" t="s">
        <v>1399</v>
      </c>
      <c r="F80" s="1" t="s">
        <v>1289</v>
      </c>
      <c r="I80" s="1" t="s">
        <v>3394</v>
      </c>
      <c r="J80" s="1" t="s">
        <v>3393</v>
      </c>
      <c r="K80" s="1"/>
      <c r="L80" s="3">
        <v>46247</v>
      </c>
    </row>
    <row r="81" spans="1:12" x14ac:dyDescent="0.2">
      <c r="A81" s="1" t="s">
        <v>1475</v>
      </c>
      <c r="B81" s="1" t="s">
        <v>929</v>
      </c>
      <c r="C81" s="1" t="s">
        <v>3376</v>
      </c>
      <c r="D81" s="1" t="s">
        <v>1476</v>
      </c>
      <c r="E81" s="1" t="s">
        <v>1399</v>
      </c>
      <c r="F81" s="1" t="s">
        <v>1289</v>
      </c>
      <c r="I81" s="1" t="s">
        <v>3394</v>
      </c>
      <c r="J81" s="1" t="s">
        <v>3393</v>
      </c>
      <c r="K81" s="1"/>
      <c r="L81" s="3">
        <v>46247</v>
      </c>
    </row>
    <row r="82" spans="1:12" x14ac:dyDescent="0.2">
      <c r="A82" s="1" t="s">
        <v>46</v>
      </c>
      <c r="B82" s="1" t="s">
        <v>47</v>
      </c>
      <c r="C82" s="1" t="s">
        <v>3376</v>
      </c>
      <c r="E82" s="1" t="s">
        <v>48</v>
      </c>
      <c r="F82" s="1" t="s">
        <v>49</v>
      </c>
      <c r="I82" s="1" t="s">
        <v>3394</v>
      </c>
      <c r="J82" s="1" t="s">
        <v>3393</v>
      </c>
      <c r="K82" s="1"/>
      <c r="L82" s="3">
        <v>46247</v>
      </c>
    </row>
    <row r="83" spans="1:12" x14ac:dyDescent="0.2">
      <c r="A83" s="1" t="s">
        <v>50</v>
      </c>
      <c r="B83" s="1" t="s">
        <v>47</v>
      </c>
      <c r="C83" s="1" t="s">
        <v>3377</v>
      </c>
      <c r="E83" s="1" t="s">
        <v>51</v>
      </c>
      <c r="F83" s="1" t="s">
        <v>49</v>
      </c>
      <c r="I83" s="1" t="s">
        <v>3394</v>
      </c>
      <c r="J83" s="1" t="s">
        <v>3393</v>
      </c>
      <c r="K83" s="1"/>
      <c r="L83" s="3">
        <v>46247</v>
      </c>
    </row>
    <row r="84" spans="1:12" x14ac:dyDescent="0.2">
      <c r="A84" s="1" t="s">
        <v>52</v>
      </c>
      <c r="B84" s="1" t="s">
        <v>47</v>
      </c>
      <c r="C84" s="1" t="s">
        <v>3378</v>
      </c>
      <c r="E84" s="1" t="s">
        <v>53</v>
      </c>
      <c r="F84" s="1" t="s">
        <v>49</v>
      </c>
      <c r="I84" s="1" t="s">
        <v>3394</v>
      </c>
      <c r="J84" s="1" t="s">
        <v>3393</v>
      </c>
      <c r="K84" s="1"/>
      <c r="L84" s="3">
        <v>46247</v>
      </c>
    </row>
    <row r="85" spans="1:12" x14ac:dyDescent="0.2">
      <c r="A85" s="1" t="s">
        <v>54</v>
      </c>
      <c r="B85" s="1" t="s">
        <v>47</v>
      </c>
      <c r="C85" s="1" t="s">
        <v>3379</v>
      </c>
      <c r="E85" s="1" t="s">
        <v>55</v>
      </c>
      <c r="F85" s="1" t="s">
        <v>49</v>
      </c>
      <c r="I85" s="1" t="s">
        <v>3394</v>
      </c>
      <c r="J85" s="1" t="s">
        <v>3393</v>
      </c>
      <c r="K85" s="1"/>
      <c r="L85" s="3">
        <v>46247</v>
      </c>
    </row>
    <row r="86" spans="1:12" x14ac:dyDescent="0.2">
      <c r="A86" s="1" t="s">
        <v>620</v>
      </c>
      <c r="B86" s="1" t="s">
        <v>8</v>
      </c>
      <c r="C86" s="1" t="s">
        <v>3377</v>
      </c>
      <c r="E86" s="17" t="s">
        <v>621</v>
      </c>
      <c r="F86" s="1" t="s">
        <v>108</v>
      </c>
      <c r="I86" s="1" t="s">
        <v>3393</v>
      </c>
      <c r="J86" s="1" t="s">
        <v>3393</v>
      </c>
      <c r="K86" s="1"/>
      <c r="L86" s="3">
        <v>46247</v>
      </c>
    </row>
    <row r="87" spans="1:12" x14ac:dyDescent="0.2">
      <c r="A87" s="1" t="s">
        <v>610</v>
      </c>
      <c r="B87" s="1" t="s">
        <v>8</v>
      </c>
      <c r="C87" s="1" t="s">
        <v>3376</v>
      </c>
      <c r="E87" s="1" t="s">
        <v>611</v>
      </c>
      <c r="F87" s="1" t="s">
        <v>43</v>
      </c>
      <c r="G87" s="1" t="s">
        <v>73</v>
      </c>
      <c r="H87" s="1" t="s">
        <v>73</v>
      </c>
      <c r="I87" s="1" t="s">
        <v>3394</v>
      </c>
      <c r="J87" s="1" t="s">
        <v>3394</v>
      </c>
      <c r="K87" s="3">
        <v>46226</v>
      </c>
      <c r="L87" s="3">
        <v>46247</v>
      </c>
    </row>
    <row r="88" spans="1:12" x14ac:dyDescent="0.2">
      <c r="A88" s="1" t="s">
        <v>623</v>
      </c>
      <c r="B88" s="1" t="s">
        <v>8</v>
      </c>
      <c r="C88" s="1" t="s">
        <v>3377</v>
      </c>
      <c r="E88" s="1" t="s">
        <v>624</v>
      </c>
      <c r="F88" s="1" t="s">
        <v>113</v>
      </c>
      <c r="I88" s="1" t="s">
        <v>3394</v>
      </c>
      <c r="J88" s="1" t="s">
        <v>3402</v>
      </c>
      <c r="L88" s="3">
        <v>46247</v>
      </c>
    </row>
    <row r="89" spans="1:12" x14ac:dyDescent="0.2">
      <c r="A89" s="1" t="s">
        <v>490</v>
      </c>
      <c r="B89" s="1" t="s">
        <v>8</v>
      </c>
      <c r="C89" s="1" t="s">
        <v>3376</v>
      </c>
      <c r="E89" s="12" t="s">
        <v>491</v>
      </c>
      <c r="F89" s="1" t="s">
        <v>86</v>
      </c>
      <c r="I89" s="1" t="s">
        <v>3394</v>
      </c>
      <c r="J89" s="1" t="s">
        <v>3402</v>
      </c>
      <c r="K89" s="1"/>
      <c r="L89" s="3">
        <v>46247</v>
      </c>
    </row>
    <row r="90" spans="1:12" x14ac:dyDescent="0.2">
      <c r="A90" s="1" t="s">
        <v>492</v>
      </c>
      <c r="B90" s="1" t="s">
        <v>8</v>
      </c>
      <c r="C90" s="1" t="s">
        <v>3376</v>
      </c>
      <c r="E90" s="12" t="s">
        <v>493</v>
      </c>
      <c r="F90" s="1" t="s">
        <v>86</v>
      </c>
      <c r="I90" s="1" t="s">
        <v>3394</v>
      </c>
      <c r="J90" s="1" t="s">
        <v>3402</v>
      </c>
      <c r="K90" s="1"/>
      <c r="L90" s="3">
        <v>46247</v>
      </c>
    </row>
    <row r="91" spans="1:12" x14ac:dyDescent="0.2">
      <c r="A91" s="1" t="s">
        <v>494</v>
      </c>
      <c r="B91" s="1" t="s">
        <v>8</v>
      </c>
      <c r="C91" s="1" t="s">
        <v>3376</v>
      </c>
      <c r="E91" s="1" t="s">
        <v>495</v>
      </c>
      <c r="F91" s="1" t="s">
        <v>86</v>
      </c>
      <c r="I91" s="1" t="s">
        <v>3394</v>
      </c>
      <c r="J91" s="1" t="s">
        <v>3393</v>
      </c>
      <c r="K91" s="1"/>
      <c r="L91" s="3">
        <v>46247</v>
      </c>
    </row>
    <row r="92" spans="1:12" x14ac:dyDescent="0.2">
      <c r="A92" s="1" t="s">
        <v>500</v>
      </c>
      <c r="B92" s="1" t="s">
        <v>8</v>
      </c>
      <c r="C92" s="1" t="s">
        <v>3376</v>
      </c>
      <c r="E92" s="1" t="s">
        <v>501</v>
      </c>
      <c r="F92" s="1" t="s">
        <v>86</v>
      </c>
      <c r="I92" s="1" t="s">
        <v>3394</v>
      </c>
      <c r="J92" s="1" t="s">
        <v>3393</v>
      </c>
      <c r="K92" s="1"/>
      <c r="L92" s="3">
        <v>46247</v>
      </c>
    </row>
    <row r="93" spans="1:12" x14ac:dyDescent="0.2">
      <c r="A93" s="1" t="s">
        <v>502</v>
      </c>
      <c r="B93" s="1" t="s">
        <v>8</v>
      </c>
      <c r="C93" s="1" t="s">
        <v>3376</v>
      </c>
      <c r="E93" s="1" t="s">
        <v>503</v>
      </c>
      <c r="F93" s="1" t="s">
        <v>86</v>
      </c>
      <c r="I93" s="1" t="s">
        <v>3393</v>
      </c>
      <c r="J93" s="1" t="s">
        <v>3393</v>
      </c>
      <c r="K93" s="1"/>
      <c r="L93" s="3">
        <v>46247</v>
      </c>
    </row>
    <row r="94" spans="1:12" x14ac:dyDescent="0.2">
      <c r="A94" s="1" t="s">
        <v>506</v>
      </c>
      <c r="B94" s="1" t="s">
        <v>8</v>
      </c>
      <c r="C94" s="1" t="s">
        <v>3376</v>
      </c>
      <c r="E94" s="1" t="s">
        <v>507</v>
      </c>
      <c r="F94" s="1" t="s">
        <v>86</v>
      </c>
      <c r="I94" s="121" t="s">
        <v>3394</v>
      </c>
      <c r="J94" s="121" t="s">
        <v>3394</v>
      </c>
      <c r="K94" s="3">
        <v>46293</v>
      </c>
      <c r="L94" s="3">
        <v>46247</v>
      </c>
    </row>
    <row r="95" spans="1:12" x14ac:dyDescent="0.2">
      <c r="A95" s="1" t="s">
        <v>508</v>
      </c>
      <c r="B95" s="1" t="s">
        <v>8</v>
      </c>
      <c r="C95" s="1" t="s">
        <v>3376</v>
      </c>
      <c r="E95" s="1" t="s">
        <v>509</v>
      </c>
      <c r="F95" s="1" t="s">
        <v>86</v>
      </c>
      <c r="I95" s="1" t="s">
        <v>3394</v>
      </c>
      <c r="J95" s="1" t="s">
        <v>3393</v>
      </c>
      <c r="K95" s="1"/>
      <c r="L95" s="3">
        <v>46247</v>
      </c>
    </row>
    <row r="96" spans="1:12" x14ac:dyDescent="0.2">
      <c r="A96" s="1" t="s">
        <v>510</v>
      </c>
      <c r="B96" s="1" t="s">
        <v>8</v>
      </c>
      <c r="C96" s="1" t="s">
        <v>3376</v>
      </c>
      <c r="E96" s="1" t="s">
        <v>511</v>
      </c>
      <c r="F96" s="1" t="s">
        <v>86</v>
      </c>
      <c r="I96" s="1" t="s">
        <v>3394</v>
      </c>
      <c r="J96" s="1" t="s">
        <v>3393</v>
      </c>
      <c r="K96" s="1"/>
      <c r="L96" s="3">
        <v>46247</v>
      </c>
    </row>
    <row r="97" spans="1:12" x14ac:dyDescent="0.2">
      <c r="A97" s="1" t="s">
        <v>536</v>
      </c>
      <c r="B97" s="1" t="s">
        <v>8</v>
      </c>
      <c r="C97" s="1" t="s">
        <v>3376</v>
      </c>
      <c r="E97" s="1" t="s">
        <v>537</v>
      </c>
      <c r="F97" s="1" t="s">
        <v>86</v>
      </c>
      <c r="I97" s="1" t="s">
        <v>3394</v>
      </c>
      <c r="J97" s="1" t="s">
        <v>3393</v>
      </c>
      <c r="K97" s="1"/>
      <c r="L97" s="3">
        <v>46247</v>
      </c>
    </row>
    <row r="98" spans="1:12" x14ac:dyDescent="0.2">
      <c r="A98" s="1" t="s">
        <v>627</v>
      </c>
      <c r="B98" s="1" t="s">
        <v>8</v>
      </c>
      <c r="C98" s="1" t="s">
        <v>3377</v>
      </c>
      <c r="E98" s="1" t="s">
        <v>628</v>
      </c>
      <c r="F98" s="1" t="s">
        <v>43</v>
      </c>
      <c r="I98" s="1" t="s">
        <v>3394</v>
      </c>
      <c r="J98" s="1" t="s">
        <v>3402</v>
      </c>
      <c r="L98" s="3">
        <v>46247</v>
      </c>
    </row>
    <row r="99" spans="1:12" x14ac:dyDescent="0.2">
      <c r="A99" s="1" t="s">
        <v>647</v>
      </c>
      <c r="B99" s="1" t="s">
        <v>8</v>
      </c>
      <c r="C99" s="1" t="s">
        <v>3377</v>
      </c>
      <c r="E99" s="1" t="s">
        <v>648</v>
      </c>
      <c r="F99" s="1" t="s">
        <v>113</v>
      </c>
      <c r="I99" s="1" t="s">
        <v>3394</v>
      </c>
      <c r="J99" s="1" t="s">
        <v>3394</v>
      </c>
      <c r="K99" s="3">
        <v>46226</v>
      </c>
      <c r="L99" s="3">
        <v>46247</v>
      </c>
    </row>
    <row r="100" spans="1:12" x14ac:dyDescent="0.2">
      <c r="A100" s="1" t="s">
        <v>540</v>
      </c>
      <c r="B100" s="1" t="s">
        <v>8</v>
      </c>
      <c r="C100" s="1" t="s">
        <v>3376</v>
      </c>
      <c r="E100" s="1" t="s">
        <v>541</v>
      </c>
      <c r="F100" s="1" t="s">
        <v>86</v>
      </c>
      <c r="I100" s="1" t="s">
        <v>3394</v>
      </c>
      <c r="J100" s="1" t="s">
        <v>3393</v>
      </c>
      <c r="K100" s="1"/>
      <c r="L100" s="3">
        <v>46247</v>
      </c>
    </row>
    <row r="101" spans="1:12" x14ac:dyDescent="0.2">
      <c r="A101" s="1" t="s">
        <v>542</v>
      </c>
      <c r="B101" s="1" t="s">
        <v>8</v>
      </c>
      <c r="C101" s="1" t="s">
        <v>3376</v>
      </c>
      <c r="E101" s="1" t="s">
        <v>543</v>
      </c>
      <c r="F101" s="1" t="s">
        <v>86</v>
      </c>
      <c r="I101" s="1" t="s">
        <v>3394</v>
      </c>
      <c r="J101" s="1" t="s">
        <v>3393</v>
      </c>
      <c r="K101" s="1"/>
      <c r="L101" s="3">
        <v>46247</v>
      </c>
    </row>
    <row r="102" spans="1:12" x14ac:dyDescent="0.2">
      <c r="A102" s="1" t="s">
        <v>596</v>
      </c>
      <c r="B102" s="1" t="s">
        <v>8</v>
      </c>
      <c r="C102" s="1" t="s">
        <v>3376</v>
      </c>
      <c r="E102" s="12" t="s">
        <v>597</v>
      </c>
      <c r="F102" s="1" t="s">
        <v>86</v>
      </c>
      <c r="I102" s="1" t="s">
        <v>3394</v>
      </c>
      <c r="J102" s="1" t="s">
        <v>3402</v>
      </c>
      <c r="K102" s="1"/>
      <c r="L102" s="3">
        <v>46247</v>
      </c>
    </row>
    <row r="103" spans="1:12" x14ac:dyDescent="0.2">
      <c r="A103" s="1" t="s">
        <v>608</v>
      </c>
      <c r="B103" s="1" t="s">
        <v>8</v>
      </c>
      <c r="C103" s="1" t="s">
        <v>3376</v>
      </c>
      <c r="E103" s="1" t="s">
        <v>609</v>
      </c>
      <c r="F103" s="1" t="s">
        <v>86</v>
      </c>
      <c r="I103" s="1" t="s">
        <v>3394</v>
      </c>
      <c r="J103" s="1" t="s">
        <v>3393</v>
      </c>
      <c r="K103" s="1"/>
      <c r="L103" s="3">
        <v>46247</v>
      </c>
    </row>
    <row r="104" spans="1:12" x14ac:dyDescent="0.2">
      <c r="A104" s="1" t="s">
        <v>612</v>
      </c>
      <c r="B104" s="1" t="s">
        <v>8</v>
      </c>
      <c r="C104" s="1" t="s">
        <v>3376</v>
      </c>
      <c r="E104" s="18" t="s">
        <v>613</v>
      </c>
      <c r="F104" s="1" t="s">
        <v>86</v>
      </c>
      <c r="I104" s="1" t="s">
        <v>3394</v>
      </c>
      <c r="J104" s="1" t="s">
        <v>3402</v>
      </c>
      <c r="K104" s="1"/>
      <c r="L104" s="3">
        <v>46247</v>
      </c>
    </row>
    <row r="105" spans="1:12" x14ac:dyDescent="0.2">
      <c r="A105" s="1" t="s">
        <v>843</v>
      </c>
      <c r="B105" s="1" t="s">
        <v>8</v>
      </c>
      <c r="C105" s="1" t="s">
        <v>3376</v>
      </c>
      <c r="E105" s="1" t="s">
        <v>844</v>
      </c>
      <c r="F105" s="1" t="s">
        <v>86</v>
      </c>
      <c r="I105" s="1" t="s">
        <v>3394</v>
      </c>
      <c r="J105" s="1" t="s">
        <v>3393</v>
      </c>
      <c r="K105" s="1"/>
      <c r="L105" s="3">
        <v>46247</v>
      </c>
    </row>
    <row r="106" spans="1:12" x14ac:dyDescent="0.2">
      <c r="A106" s="1" t="s">
        <v>845</v>
      </c>
      <c r="B106" s="1" t="s">
        <v>8</v>
      </c>
      <c r="C106" s="1" t="s">
        <v>3376</v>
      </c>
      <c r="E106" s="1" t="s">
        <v>846</v>
      </c>
      <c r="F106" s="1" t="s">
        <v>86</v>
      </c>
      <c r="I106" s="1" t="s">
        <v>3394</v>
      </c>
      <c r="J106" s="1" t="s">
        <v>3393</v>
      </c>
      <c r="K106" s="1"/>
      <c r="L106" s="3">
        <v>46247</v>
      </c>
    </row>
    <row r="107" spans="1:12" x14ac:dyDescent="0.2">
      <c r="A107" s="1" t="s">
        <v>847</v>
      </c>
      <c r="B107" s="1" t="s">
        <v>8</v>
      </c>
      <c r="C107" s="1" t="s">
        <v>3376</v>
      </c>
      <c r="E107" s="1" t="s">
        <v>848</v>
      </c>
      <c r="F107" s="1" t="s">
        <v>86</v>
      </c>
      <c r="I107" s="1" t="s">
        <v>3394</v>
      </c>
      <c r="J107" s="1" t="s">
        <v>3393</v>
      </c>
      <c r="K107" s="1"/>
      <c r="L107" s="3">
        <v>46247</v>
      </c>
    </row>
    <row r="108" spans="1:12" x14ac:dyDescent="0.2">
      <c r="A108" s="1" t="s">
        <v>851</v>
      </c>
      <c r="B108" s="1" t="s">
        <v>8</v>
      </c>
      <c r="C108" s="1" t="s">
        <v>3376</v>
      </c>
      <c r="E108" s="1" t="s">
        <v>852</v>
      </c>
      <c r="F108" s="1" t="s">
        <v>86</v>
      </c>
      <c r="I108" s="1" t="s">
        <v>3394</v>
      </c>
      <c r="J108" s="1" t="s">
        <v>3393</v>
      </c>
      <c r="K108" s="1"/>
      <c r="L108" s="3">
        <v>46247</v>
      </c>
    </row>
    <row r="109" spans="1:12" x14ac:dyDescent="0.2">
      <c r="A109" s="1" t="s">
        <v>861</v>
      </c>
      <c r="B109" s="1" t="s">
        <v>8</v>
      </c>
      <c r="C109" s="1" t="s">
        <v>3376</v>
      </c>
      <c r="E109" s="12" t="s">
        <v>862</v>
      </c>
      <c r="F109" s="1" t="s">
        <v>86</v>
      </c>
      <c r="I109" s="1" t="s">
        <v>3394</v>
      </c>
      <c r="J109" s="1" t="s">
        <v>3402</v>
      </c>
      <c r="K109" s="1"/>
      <c r="L109" s="3">
        <v>46247</v>
      </c>
    </row>
    <row r="110" spans="1:12" x14ac:dyDescent="0.2">
      <c r="A110" s="1" t="s">
        <v>877</v>
      </c>
      <c r="B110" s="1" t="s">
        <v>8</v>
      </c>
      <c r="C110" s="1" t="s">
        <v>3376</v>
      </c>
      <c r="E110" s="12" t="s">
        <v>878</v>
      </c>
      <c r="F110" s="1" t="s">
        <v>86</v>
      </c>
      <c r="I110" s="1" t="s">
        <v>3394</v>
      </c>
      <c r="J110" s="1" t="s">
        <v>3402</v>
      </c>
      <c r="K110" s="1"/>
      <c r="L110" s="3">
        <v>46247</v>
      </c>
    </row>
    <row r="111" spans="1:12" x14ac:dyDescent="0.2">
      <c r="A111" s="1" t="s">
        <v>883</v>
      </c>
      <c r="B111" s="1" t="s">
        <v>8</v>
      </c>
      <c r="C111" s="1" t="s">
        <v>3376</v>
      </c>
      <c r="E111" s="1" t="s">
        <v>884</v>
      </c>
      <c r="F111" s="1" t="s">
        <v>86</v>
      </c>
      <c r="I111" s="1" t="s">
        <v>3394</v>
      </c>
      <c r="J111" s="1" t="s">
        <v>3393</v>
      </c>
      <c r="K111" s="1"/>
      <c r="L111" s="3">
        <v>46247</v>
      </c>
    </row>
    <row r="112" spans="1:12" x14ac:dyDescent="0.2">
      <c r="A112" s="1" t="s">
        <v>889</v>
      </c>
      <c r="B112" s="1" t="s">
        <v>8</v>
      </c>
      <c r="C112" s="1" t="s">
        <v>3376</v>
      </c>
      <c r="E112" s="1" t="s">
        <v>890</v>
      </c>
      <c r="F112" s="1" t="s">
        <v>86</v>
      </c>
      <c r="I112" s="1" t="s">
        <v>3394</v>
      </c>
      <c r="J112" s="1" t="s">
        <v>3393</v>
      </c>
      <c r="K112" s="1"/>
      <c r="L112" s="3">
        <v>46247</v>
      </c>
    </row>
    <row r="113" spans="1:12" x14ac:dyDescent="0.2">
      <c r="A113" s="1" t="s">
        <v>895</v>
      </c>
      <c r="B113" s="1" t="s">
        <v>8</v>
      </c>
      <c r="C113" s="1" t="s">
        <v>3376</v>
      </c>
      <c r="E113" s="1" t="s">
        <v>896</v>
      </c>
      <c r="F113" s="1" t="s">
        <v>86</v>
      </c>
      <c r="I113" s="1" t="s">
        <v>3394</v>
      </c>
      <c r="J113" s="1" t="s">
        <v>3393</v>
      </c>
      <c r="K113" s="1"/>
      <c r="L113" s="3">
        <v>46247</v>
      </c>
    </row>
    <row r="114" spans="1:12" x14ac:dyDescent="0.2">
      <c r="A114" s="1" t="s">
        <v>899</v>
      </c>
      <c r="B114" s="1" t="s">
        <v>8</v>
      </c>
      <c r="C114" s="1" t="s">
        <v>3376</v>
      </c>
      <c r="E114" s="1" t="s">
        <v>900</v>
      </c>
      <c r="F114" s="1" t="s">
        <v>86</v>
      </c>
      <c r="I114" s="1" t="s">
        <v>3394</v>
      </c>
      <c r="J114" s="1" t="s">
        <v>3393</v>
      </c>
      <c r="K114" s="1"/>
      <c r="L114" s="3">
        <v>46247</v>
      </c>
    </row>
    <row r="115" spans="1:12" x14ac:dyDescent="0.2">
      <c r="A115" s="1" t="s">
        <v>901</v>
      </c>
      <c r="B115" s="1" t="s">
        <v>8</v>
      </c>
      <c r="C115" s="1" t="s">
        <v>3376</v>
      </c>
      <c r="E115" s="1" t="s">
        <v>902</v>
      </c>
      <c r="F115" s="1" t="s">
        <v>86</v>
      </c>
      <c r="I115" s="1" t="s">
        <v>3393</v>
      </c>
      <c r="J115" s="1" t="s">
        <v>3393</v>
      </c>
      <c r="K115" s="1"/>
      <c r="L115" s="3">
        <v>46247</v>
      </c>
    </row>
    <row r="116" spans="1:12" x14ac:dyDescent="0.2">
      <c r="A116" s="1" t="s">
        <v>637</v>
      </c>
      <c r="B116" s="1" t="s">
        <v>8</v>
      </c>
      <c r="C116" s="1" t="s">
        <v>3377</v>
      </c>
      <c r="E116" s="12" t="s">
        <v>638</v>
      </c>
      <c r="F116" s="1" t="s">
        <v>86</v>
      </c>
      <c r="I116" s="1" t="s">
        <v>3394</v>
      </c>
      <c r="J116" s="1" t="s">
        <v>3402</v>
      </c>
      <c r="K116" s="1"/>
      <c r="L116" s="3">
        <v>46247</v>
      </c>
    </row>
    <row r="117" spans="1:12" x14ac:dyDescent="0.2">
      <c r="A117" s="1" t="s">
        <v>645</v>
      </c>
      <c r="B117" s="1" t="s">
        <v>8</v>
      </c>
      <c r="C117" s="1" t="s">
        <v>3377</v>
      </c>
      <c r="E117" s="1" t="s">
        <v>646</v>
      </c>
      <c r="F117" s="1" t="s">
        <v>86</v>
      </c>
      <c r="I117" s="1" t="s">
        <v>3394</v>
      </c>
      <c r="J117" s="1" t="s">
        <v>3393</v>
      </c>
      <c r="K117" s="1"/>
      <c r="L117" s="3">
        <v>46247</v>
      </c>
    </row>
    <row r="118" spans="1:12" x14ac:dyDescent="0.2">
      <c r="A118" s="1" t="s">
        <v>663</v>
      </c>
      <c r="B118" s="1" t="s">
        <v>8</v>
      </c>
      <c r="C118" s="1" t="s">
        <v>3377</v>
      </c>
      <c r="E118" s="1" t="s">
        <v>664</v>
      </c>
      <c r="F118" s="1" t="s">
        <v>86</v>
      </c>
      <c r="I118" s="1" t="s">
        <v>3394</v>
      </c>
      <c r="J118" s="1" t="s">
        <v>3393</v>
      </c>
      <c r="K118" s="1"/>
      <c r="L118" s="3">
        <v>46247</v>
      </c>
    </row>
    <row r="119" spans="1:12" x14ac:dyDescent="0.2">
      <c r="A119" s="1" t="s">
        <v>675</v>
      </c>
      <c r="B119" s="1" t="s">
        <v>8</v>
      </c>
      <c r="C119" s="1" t="s">
        <v>3377</v>
      </c>
      <c r="E119" s="1" t="s">
        <v>676</v>
      </c>
      <c r="F119" s="1" t="s">
        <v>86</v>
      </c>
      <c r="I119" s="1" t="s">
        <v>3394</v>
      </c>
      <c r="J119" s="1" t="s">
        <v>3393</v>
      </c>
      <c r="K119" s="1"/>
      <c r="L119" s="3">
        <v>46247</v>
      </c>
    </row>
    <row r="120" spans="1:12" x14ac:dyDescent="0.2">
      <c r="A120" s="1" t="s">
        <v>677</v>
      </c>
      <c r="B120" s="1" t="s">
        <v>8</v>
      </c>
      <c r="C120" s="1" t="s">
        <v>3377</v>
      </c>
      <c r="E120" s="1" t="s">
        <v>678</v>
      </c>
      <c r="F120" s="1" t="s">
        <v>86</v>
      </c>
      <c r="I120" s="1" t="s">
        <v>3394</v>
      </c>
      <c r="J120" s="1" t="s">
        <v>3393</v>
      </c>
      <c r="K120" s="1"/>
      <c r="L120" s="3">
        <v>46247</v>
      </c>
    </row>
    <row r="121" spans="1:12" x14ac:dyDescent="0.2">
      <c r="A121" s="1" t="s">
        <v>679</v>
      </c>
      <c r="B121" s="1" t="s">
        <v>8</v>
      </c>
      <c r="C121" s="1" t="s">
        <v>3377</v>
      </c>
      <c r="E121" s="1" t="s">
        <v>680</v>
      </c>
      <c r="F121" s="1" t="s">
        <v>86</v>
      </c>
      <c r="I121" s="1" t="s">
        <v>3394</v>
      </c>
      <c r="J121" s="1" t="s">
        <v>3393</v>
      </c>
      <c r="K121" s="1"/>
      <c r="L121" s="3">
        <v>46247</v>
      </c>
    </row>
    <row r="122" spans="1:12" x14ac:dyDescent="0.2">
      <c r="A122" s="1" t="s">
        <v>684</v>
      </c>
      <c r="B122" s="1" t="s">
        <v>8</v>
      </c>
      <c r="C122" s="1" t="s">
        <v>3377</v>
      </c>
      <c r="E122" s="1" t="s">
        <v>685</v>
      </c>
      <c r="F122" s="1" t="s">
        <v>86</v>
      </c>
      <c r="I122" s="1" t="s">
        <v>3394</v>
      </c>
      <c r="J122" s="1" t="s">
        <v>3393</v>
      </c>
      <c r="K122" s="1"/>
      <c r="L122" s="3">
        <v>46247</v>
      </c>
    </row>
    <row r="123" spans="1:12" x14ac:dyDescent="0.2">
      <c r="A123" s="1" t="s">
        <v>708</v>
      </c>
      <c r="B123" s="1" t="s">
        <v>8</v>
      </c>
      <c r="C123" s="1" t="s">
        <v>3378</v>
      </c>
      <c r="E123" s="1" t="s">
        <v>709</v>
      </c>
      <c r="F123" s="1" t="s">
        <v>86</v>
      </c>
      <c r="I123" s="1" t="s">
        <v>3394</v>
      </c>
      <c r="J123" s="1" t="s">
        <v>3393</v>
      </c>
      <c r="K123" s="1"/>
      <c r="L123" s="3">
        <v>46247</v>
      </c>
    </row>
    <row r="124" spans="1:12" x14ac:dyDescent="0.2">
      <c r="A124" s="1" t="s">
        <v>649</v>
      </c>
      <c r="B124" s="1" t="s">
        <v>8</v>
      </c>
      <c r="C124" s="1" t="s">
        <v>3377</v>
      </c>
      <c r="E124" s="1" t="s">
        <v>650</v>
      </c>
      <c r="F124" s="1" t="s">
        <v>86</v>
      </c>
      <c r="G124" s="1" t="s">
        <v>73</v>
      </c>
      <c r="H124" s="1" t="s">
        <v>73</v>
      </c>
      <c r="I124" s="1" t="s">
        <v>3394</v>
      </c>
      <c r="J124" s="1" t="s">
        <v>3394</v>
      </c>
      <c r="K124" s="3">
        <v>46231</v>
      </c>
      <c r="L124" s="3">
        <v>46247</v>
      </c>
    </row>
    <row r="125" spans="1:12" x14ac:dyDescent="0.2">
      <c r="A125" s="1" t="s">
        <v>714</v>
      </c>
      <c r="B125" s="1" t="s">
        <v>8</v>
      </c>
      <c r="C125" s="1" t="s">
        <v>3378</v>
      </c>
      <c r="E125" s="1" t="s">
        <v>715</v>
      </c>
      <c r="F125" s="1" t="s">
        <v>86</v>
      </c>
      <c r="I125" s="1" t="s">
        <v>3394</v>
      </c>
      <c r="J125" s="1" t="s">
        <v>3393</v>
      </c>
      <c r="K125" s="1"/>
      <c r="L125" s="3">
        <v>46247</v>
      </c>
    </row>
    <row r="126" spans="1:12" x14ac:dyDescent="0.2">
      <c r="A126" s="1" t="s">
        <v>716</v>
      </c>
      <c r="B126" s="1" t="s">
        <v>8</v>
      </c>
      <c r="C126" s="1" t="s">
        <v>3378</v>
      </c>
      <c r="E126" s="1" t="s">
        <v>717</v>
      </c>
      <c r="F126" s="1" t="s">
        <v>86</v>
      </c>
      <c r="I126" s="1" t="s">
        <v>3394</v>
      </c>
      <c r="J126" s="1" t="s">
        <v>3393</v>
      </c>
      <c r="K126" s="1"/>
      <c r="L126" s="3">
        <v>46247</v>
      </c>
    </row>
    <row r="127" spans="1:12" x14ac:dyDescent="0.2">
      <c r="A127" s="1" t="s">
        <v>718</v>
      </c>
      <c r="B127" s="1" t="s">
        <v>8</v>
      </c>
      <c r="C127" s="1" t="s">
        <v>3378</v>
      </c>
      <c r="E127" s="1" t="s">
        <v>719</v>
      </c>
      <c r="F127" s="1" t="s">
        <v>86</v>
      </c>
      <c r="I127" s="1" t="s">
        <v>3394</v>
      </c>
      <c r="J127" s="1" t="s">
        <v>3393</v>
      </c>
      <c r="K127" s="1"/>
      <c r="L127" s="3">
        <v>46247</v>
      </c>
    </row>
    <row r="128" spans="1:12" x14ac:dyDescent="0.2">
      <c r="A128" s="1" t="s">
        <v>700</v>
      </c>
      <c r="B128" s="1" t="s">
        <v>8</v>
      </c>
      <c r="C128" s="1" t="s">
        <v>3378</v>
      </c>
      <c r="E128" s="1" t="s">
        <v>701</v>
      </c>
      <c r="F128" s="1" t="s">
        <v>113</v>
      </c>
      <c r="I128" s="1" t="s">
        <v>3394</v>
      </c>
      <c r="J128" s="1" t="s">
        <v>3394</v>
      </c>
      <c r="K128" s="3">
        <v>46257</v>
      </c>
      <c r="L128" s="3">
        <v>46247</v>
      </c>
    </row>
    <row r="129" spans="1:12" x14ac:dyDescent="0.2">
      <c r="A129" s="1" t="s">
        <v>720</v>
      </c>
      <c r="B129" s="1" t="s">
        <v>8</v>
      </c>
      <c r="C129" s="1" t="s">
        <v>3378</v>
      </c>
      <c r="E129" s="1" t="s">
        <v>721</v>
      </c>
      <c r="F129" s="1" t="s">
        <v>86</v>
      </c>
      <c r="I129" s="1" t="s">
        <v>3393</v>
      </c>
      <c r="J129" s="1" t="s">
        <v>3393</v>
      </c>
      <c r="K129" s="1"/>
      <c r="L129" s="3">
        <v>46247</v>
      </c>
    </row>
    <row r="130" spans="1:12" x14ac:dyDescent="0.2">
      <c r="A130" s="1" t="s">
        <v>722</v>
      </c>
      <c r="B130" s="1" t="s">
        <v>8</v>
      </c>
      <c r="C130" s="1" t="s">
        <v>3378</v>
      </c>
      <c r="E130" s="1" t="s">
        <v>723</v>
      </c>
      <c r="F130" s="1" t="s">
        <v>86</v>
      </c>
      <c r="I130" s="1" t="s">
        <v>3394</v>
      </c>
      <c r="J130" s="1" t="s">
        <v>3393</v>
      </c>
      <c r="K130" s="1"/>
      <c r="L130" s="3">
        <v>46247</v>
      </c>
    </row>
    <row r="131" spans="1:12" x14ac:dyDescent="0.2">
      <c r="A131" s="1" t="s">
        <v>728</v>
      </c>
      <c r="B131" s="1" t="s">
        <v>8</v>
      </c>
      <c r="C131" s="1" t="s">
        <v>3378</v>
      </c>
      <c r="E131" s="1" t="s">
        <v>729</v>
      </c>
      <c r="F131" s="1" t="s">
        <v>86</v>
      </c>
      <c r="I131" s="1" t="s">
        <v>3394</v>
      </c>
      <c r="J131" s="1" t="s">
        <v>3393</v>
      </c>
      <c r="K131" s="1"/>
      <c r="L131" s="3">
        <v>46247</v>
      </c>
    </row>
    <row r="132" spans="1:12" x14ac:dyDescent="0.2">
      <c r="A132" s="1" t="s">
        <v>736</v>
      </c>
      <c r="B132" s="1" t="s">
        <v>8</v>
      </c>
      <c r="C132" s="1" t="s">
        <v>3378</v>
      </c>
      <c r="E132" s="16" t="s">
        <v>737</v>
      </c>
      <c r="F132" s="1" t="s">
        <v>86</v>
      </c>
      <c r="I132" s="1" t="s">
        <v>3394</v>
      </c>
      <c r="J132" s="1" t="s">
        <v>3402</v>
      </c>
      <c r="K132" s="1"/>
      <c r="L132" s="3">
        <v>46247</v>
      </c>
    </row>
    <row r="133" spans="1:12" x14ac:dyDescent="0.2">
      <c r="A133" s="1" t="s">
        <v>710</v>
      </c>
      <c r="B133" s="1" t="s">
        <v>8</v>
      </c>
      <c r="C133" s="1" t="s">
        <v>3378</v>
      </c>
      <c r="E133" s="1" t="s">
        <v>711</v>
      </c>
      <c r="F133" s="1" t="s">
        <v>86</v>
      </c>
      <c r="G133" s="1" t="s">
        <v>73</v>
      </c>
      <c r="H133" s="1" t="s">
        <v>73</v>
      </c>
      <c r="I133" s="1" t="s">
        <v>3394</v>
      </c>
      <c r="J133" s="1" t="s">
        <v>3394</v>
      </c>
      <c r="K133" s="3">
        <v>46231</v>
      </c>
      <c r="L133" s="3">
        <v>46247</v>
      </c>
    </row>
    <row r="134" spans="1:12" x14ac:dyDescent="0.2">
      <c r="A134" s="1" t="s">
        <v>740</v>
      </c>
      <c r="B134" s="1" t="s">
        <v>8</v>
      </c>
      <c r="C134" s="1" t="s">
        <v>3378</v>
      </c>
      <c r="E134" s="1" t="s">
        <v>741</v>
      </c>
      <c r="F134" s="1" t="s">
        <v>86</v>
      </c>
      <c r="I134" s="1" t="s">
        <v>3394</v>
      </c>
      <c r="J134" s="1" t="s">
        <v>3393</v>
      </c>
      <c r="K134" s="1"/>
      <c r="L134" s="3">
        <v>46247</v>
      </c>
    </row>
    <row r="135" spans="1:12" x14ac:dyDescent="0.2">
      <c r="A135" s="1" t="s">
        <v>750</v>
      </c>
      <c r="B135" s="1" t="s">
        <v>8</v>
      </c>
      <c r="C135" s="1" t="s">
        <v>3378</v>
      </c>
      <c r="E135" s="18" t="s">
        <v>751</v>
      </c>
      <c r="F135" s="1" t="s">
        <v>86</v>
      </c>
      <c r="I135" s="1" t="s">
        <v>3394</v>
      </c>
      <c r="J135" s="1" t="s">
        <v>3402</v>
      </c>
      <c r="K135" s="1"/>
      <c r="L135" s="3">
        <v>46247</v>
      </c>
    </row>
    <row r="136" spans="1:12" x14ac:dyDescent="0.2">
      <c r="A136" s="1" t="s">
        <v>768</v>
      </c>
      <c r="B136" s="1" t="s">
        <v>8</v>
      </c>
      <c r="C136" s="1" t="s">
        <v>3378</v>
      </c>
      <c r="E136" s="1" t="s">
        <v>769</v>
      </c>
      <c r="F136" s="1" t="s">
        <v>86</v>
      </c>
      <c r="I136" s="1" t="s">
        <v>3394</v>
      </c>
      <c r="J136" s="1" t="s">
        <v>3393</v>
      </c>
      <c r="K136" s="1"/>
      <c r="L136" s="3">
        <v>46247</v>
      </c>
    </row>
    <row r="137" spans="1:12" x14ac:dyDescent="0.2">
      <c r="A137" s="1" t="s">
        <v>770</v>
      </c>
      <c r="B137" s="1" t="s">
        <v>8</v>
      </c>
      <c r="C137" s="1" t="s">
        <v>3378</v>
      </c>
      <c r="E137" s="1" t="s">
        <v>771</v>
      </c>
      <c r="F137" s="1" t="s">
        <v>86</v>
      </c>
      <c r="I137" s="1" t="s">
        <v>3394</v>
      </c>
      <c r="J137" s="1" t="s">
        <v>3393</v>
      </c>
      <c r="K137" s="1"/>
      <c r="L137" s="3">
        <v>46247</v>
      </c>
    </row>
    <row r="138" spans="1:12" x14ac:dyDescent="0.2">
      <c r="A138" s="1" t="s">
        <v>772</v>
      </c>
      <c r="B138" s="1" t="s">
        <v>8</v>
      </c>
      <c r="C138" s="1" t="s">
        <v>3378</v>
      </c>
      <c r="E138" s="1" t="s">
        <v>773</v>
      </c>
      <c r="F138" s="1" t="s">
        <v>86</v>
      </c>
      <c r="I138" s="1" t="s">
        <v>3394</v>
      </c>
      <c r="J138" s="1" t="s">
        <v>3393</v>
      </c>
      <c r="K138" s="1"/>
      <c r="L138" s="3">
        <v>46247</v>
      </c>
    </row>
    <row r="139" spans="1:12" x14ac:dyDescent="0.2">
      <c r="A139" s="1" t="s">
        <v>778</v>
      </c>
      <c r="B139" s="1" t="s">
        <v>8</v>
      </c>
      <c r="C139" s="1" t="s">
        <v>3378</v>
      </c>
      <c r="E139" s="1" t="s">
        <v>779</v>
      </c>
      <c r="F139" s="1" t="s">
        <v>86</v>
      </c>
      <c r="I139" s="1" t="s">
        <v>3394</v>
      </c>
      <c r="J139" s="1" t="s">
        <v>3393</v>
      </c>
      <c r="K139" s="1"/>
      <c r="L139" s="3">
        <v>46247</v>
      </c>
    </row>
    <row r="140" spans="1:12" x14ac:dyDescent="0.2">
      <c r="A140" s="1" t="s">
        <v>784</v>
      </c>
      <c r="B140" s="1" t="s">
        <v>8</v>
      </c>
      <c r="C140" s="1" t="s">
        <v>3378</v>
      </c>
      <c r="E140" s="1" t="s">
        <v>785</v>
      </c>
      <c r="F140" s="1" t="s">
        <v>86</v>
      </c>
      <c r="I140" s="1" t="s">
        <v>3394</v>
      </c>
      <c r="J140" s="1" t="s">
        <v>3393</v>
      </c>
      <c r="K140" s="1"/>
      <c r="L140" s="3">
        <v>46247</v>
      </c>
    </row>
    <row r="141" spans="1:12" x14ac:dyDescent="0.2">
      <c r="A141" s="1" t="s">
        <v>792</v>
      </c>
      <c r="B141" s="1" t="s">
        <v>8</v>
      </c>
      <c r="C141" s="1" t="s">
        <v>3378</v>
      </c>
      <c r="E141" s="16" t="s">
        <v>793</v>
      </c>
      <c r="F141" s="1" t="s">
        <v>86</v>
      </c>
      <c r="I141" s="1" t="s">
        <v>3394</v>
      </c>
      <c r="J141" s="1" t="s">
        <v>3402</v>
      </c>
      <c r="K141" s="1"/>
      <c r="L141" s="3">
        <v>46247</v>
      </c>
    </row>
    <row r="142" spans="1:12" x14ac:dyDescent="0.2">
      <c r="A142" s="1" t="s">
        <v>794</v>
      </c>
      <c r="B142" s="1" t="s">
        <v>8</v>
      </c>
      <c r="C142" s="1" t="s">
        <v>3378</v>
      </c>
      <c r="E142" s="16" t="s">
        <v>795</v>
      </c>
      <c r="F142" s="1" t="s">
        <v>86</v>
      </c>
      <c r="I142" s="1" t="s">
        <v>3394</v>
      </c>
      <c r="J142" s="1" t="s">
        <v>3402</v>
      </c>
      <c r="K142" s="1"/>
      <c r="L142" s="3">
        <v>46247</v>
      </c>
    </row>
    <row r="143" spans="1:12" x14ac:dyDescent="0.2">
      <c r="A143" s="1" t="s">
        <v>516</v>
      </c>
      <c r="B143" s="1" t="s">
        <v>8</v>
      </c>
      <c r="C143" s="1" t="s">
        <v>3379</v>
      </c>
      <c r="E143" s="1" t="s">
        <v>517</v>
      </c>
      <c r="F143" s="1" t="s">
        <v>86</v>
      </c>
      <c r="I143" s="1" t="s">
        <v>3393</v>
      </c>
      <c r="J143" s="1" t="s">
        <v>3393</v>
      </c>
      <c r="K143" s="1"/>
      <c r="L143" s="3">
        <v>46247</v>
      </c>
    </row>
    <row r="144" spans="1:12" x14ac:dyDescent="0.2">
      <c r="A144" s="1" t="s">
        <v>518</v>
      </c>
      <c r="B144" s="1" t="s">
        <v>8</v>
      </c>
      <c r="C144" s="1" t="s">
        <v>3379</v>
      </c>
      <c r="E144" s="1" t="s">
        <v>519</v>
      </c>
      <c r="F144" s="1" t="s">
        <v>86</v>
      </c>
      <c r="I144" s="1" t="s">
        <v>3393</v>
      </c>
      <c r="J144" s="1" t="s">
        <v>3393</v>
      </c>
      <c r="K144" s="1"/>
      <c r="L144" s="3">
        <v>46247</v>
      </c>
    </row>
    <row r="145" spans="1:12" x14ac:dyDescent="0.2">
      <c r="A145" s="1" t="s">
        <v>530</v>
      </c>
      <c r="B145" s="1" t="s">
        <v>8</v>
      </c>
      <c r="C145" s="1" t="s">
        <v>3379</v>
      </c>
      <c r="E145" s="1" t="s">
        <v>531</v>
      </c>
      <c r="F145" s="1" t="s">
        <v>86</v>
      </c>
      <c r="I145" s="1" t="s">
        <v>3394</v>
      </c>
      <c r="J145" s="121" t="s">
        <v>3394</v>
      </c>
      <c r="K145" s="3">
        <v>46293</v>
      </c>
      <c r="L145" s="3">
        <v>46247</v>
      </c>
    </row>
    <row r="146" spans="1:12" x14ac:dyDescent="0.2">
      <c r="A146" s="1" t="s">
        <v>566</v>
      </c>
      <c r="B146" s="1" t="s">
        <v>8</v>
      </c>
      <c r="C146" s="1" t="s">
        <v>3379</v>
      </c>
      <c r="E146" s="16" t="s">
        <v>567</v>
      </c>
      <c r="F146" s="1" t="s">
        <v>86</v>
      </c>
      <c r="I146" s="1" t="s">
        <v>3394</v>
      </c>
      <c r="J146" s="1" t="s">
        <v>3402</v>
      </c>
      <c r="K146" s="1"/>
      <c r="L146" s="3">
        <v>46247</v>
      </c>
    </row>
    <row r="147" spans="1:12" x14ac:dyDescent="0.2">
      <c r="A147" s="1" t="s">
        <v>796</v>
      </c>
      <c r="B147" s="1" t="s">
        <v>8</v>
      </c>
      <c r="C147" s="1" t="s">
        <v>3379</v>
      </c>
      <c r="E147" s="1" t="s">
        <v>797</v>
      </c>
      <c r="F147" s="1" t="s">
        <v>86</v>
      </c>
      <c r="I147" s="1" t="s">
        <v>3394</v>
      </c>
      <c r="J147" s="1" t="s">
        <v>3393</v>
      </c>
      <c r="K147" s="1"/>
      <c r="L147" s="3">
        <v>46247</v>
      </c>
    </row>
    <row r="148" spans="1:12" x14ac:dyDescent="0.2">
      <c r="A148" s="1" t="s">
        <v>800</v>
      </c>
      <c r="B148" s="1" t="s">
        <v>8</v>
      </c>
      <c r="C148" s="1" t="s">
        <v>3379</v>
      </c>
      <c r="E148" s="1" t="s">
        <v>801</v>
      </c>
      <c r="F148" s="1" t="s">
        <v>86</v>
      </c>
      <c r="I148" s="1" t="s">
        <v>3394</v>
      </c>
      <c r="J148" s="1" t="s">
        <v>3393</v>
      </c>
      <c r="K148" s="1"/>
      <c r="L148" s="3">
        <v>46247</v>
      </c>
    </row>
    <row r="149" spans="1:12" x14ac:dyDescent="0.2">
      <c r="A149" s="1" t="s">
        <v>802</v>
      </c>
      <c r="B149" s="1" t="s">
        <v>8</v>
      </c>
      <c r="C149" s="1" t="s">
        <v>3379</v>
      </c>
      <c r="E149" s="1" t="s">
        <v>803</v>
      </c>
      <c r="F149" s="1" t="s">
        <v>86</v>
      </c>
      <c r="I149" s="1" t="s">
        <v>3394</v>
      </c>
      <c r="J149" s="1" t="s">
        <v>3393</v>
      </c>
      <c r="K149" s="1"/>
      <c r="L149" s="3">
        <v>46247</v>
      </c>
    </row>
    <row r="150" spans="1:12" x14ac:dyDescent="0.2">
      <c r="A150" s="1" t="s">
        <v>809</v>
      </c>
      <c r="B150" s="1" t="s">
        <v>8</v>
      </c>
      <c r="C150" s="1" t="s">
        <v>3379</v>
      </c>
      <c r="E150" s="1" t="s">
        <v>810</v>
      </c>
      <c r="F150" s="1" t="s">
        <v>86</v>
      </c>
      <c r="I150" s="1" t="s">
        <v>3394</v>
      </c>
      <c r="J150" s="1" t="s">
        <v>3393</v>
      </c>
      <c r="K150" s="1"/>
      <c r="L150" s="3">
        <v>46247</v>
      </c>
    </row>
    <row r="151" spans="1:12" x14ac:dyDescent="0.2">
      <c r="A151" s="1" t="s">
        <v>815</v>
      </c>
      <c r="B151" s="1" t="s">
        <v>8</v>
      </c>
      <c r="C151" s="1" t="s">
        <v>3379</v>
      </c>
      <c r="E151" s="1" t="s">
        <v>816</v>
      </c>
      <c r="F151" s="1" t="s">
        <v>86</v>
      </c>
      <c r="I151" s="1" t="s">
        <v>3393</v>
      </c>
      <c r="J151" s="1" t="s">
        <v>3393</v>
      </c>
      <c r="K151" s="1"/>
      <c r="L151" s="3">
        <v>46247</v>
      </c>
    </row>
    <row r="152" spans="1:12" x14ac:dyDescent="0.2">
      <c r="A152" s="1" t="s">
        <v>819</v>
      </c>
      <c r="B152" s="1" t="s">
        <v>8</v>
      </c>
      <c r="C152" s="1" t="s">
        <v>3379</v>
      </c>
      <c r="E152" s="1" t="s">
        <v>820</v>
      </c>
      <c r="F152" s="1" t="s">
        <v>86</v>
      </c>
      <c r="I152" s="1" t="s">
        <v>3394</v>
      </c>
      <c r="J152" s="1" t="s">
        <v>3393</v>
      </c>
      <c r="K152" s="1"/>
      <c r="L152" s="3">
        <v>46247</v>
      </c>
    </row>
    <row r="153" spans="1:12" x14ac:dyDescent="0.2">
      <c r="A153" s="1" t="s">
        <v>825</v>
      </c>
      <c r="B153" s="1" t="s">
        <v>8</v>
      </c>
      <c r="C153" s="1" t="s">
        <v>3379</v>
      </c>
      <c r="E153" s="12" t="s">
        <v>826</v>
      </c>
      <c r="F153" s="1" t="s">
        <v>86</v>
      </c>
      <c r="I153" s="1" t="s">
        <v>3394</v>
      </c>
      <c r="J153" s="1" t="s">
        <v>3402</v>
      </c>
      <c r="K153" s="1"/>
      <c r="L153" s="3">
        <v>46247</v>
      </c>
    </row>
    <row r="154" spans="1:12" x14ac:dyDescent="0.2">
      <c r="A154" s="1" t="s">
        <v>827</v>
      </c>
      <c r="B154" s="1" t="s">
        <v>8</v>
      </c>
      <c r="C154" s="1" t="s">
        <v>3379</v>
      </c>
      <c r="E154" s="1" t="s">
        <v>828</v>
      </c>
      <c r="F154" s="1" t="s">
        <v>86</v>
      </c>
      <c r="I154" s="1" t="s">
        <v>3394</v>
      </c>
      <c r="J154" s="1" t="s">
        <v>3393</v>
      </c>
      <c r="K154" s="1"/>
      <c r="L154" s="3">
        <v>46247</v>
      </c>
    </row>
    <row r="155" spans="1:12" x14ac:dyDescent="0.2">
      <c r="A155" s="1" t="s">
        <v>754</v>
      </c>
      <c r="B155" s="1" t="s">
        <v>8</v>
      </c>
      <c r="C155" s="1" t="s">
        <v>3378</v>
      </c>
      <c r="E155" s="1" t="s">
        <v>755</v>
      </c>
      <c r="F155" s="1" t="s">
        <v>113</v>
      </c>
      <c r="I155" s="1" t="s">
        <v>3394</v>
      </c>
      <c r="J155" s="1" t="s">
        <v>3394</v>
      </c>
      <c r="K155" s="3">
        <v>46257</v>
      </c>
      <c r="L155" s="3">
        <v>46247</v>
      </c>
    </row>
    <row r="156" spans="1:12" x14ac:dyDescent="0.2">
      <c r="A156" s="1" t="s">
        <v>829</v>
      </c>
      <c r="B156" s="1" t="s">
        <v>8</v>
      </c>
      <c r="C156" s="1" t="s">
        <v>3379</v>
      </c>
      <c r="E156" s="1" t="s">
        <v>830</v>
      </c>
      <c r="F156" s="1" t="s">
        <v>86</v>
      </c>
      <c r="I156" s="1" t="s">
        <v>3394</v>
      </c>
      <c r="J156" s="1" t="s">
        <v>3393</v>
      </c>
      <c r="K156" s="1"/>
      <c r="L156" s="3">
        <v>46247</v>
      </c>
    </row>
    <row r="157" spans="1:12" x14ac:dyDescent="0.2">
      <c r="A157" s="1" t="s">
        <v>831</v>
      </c>
      <c r="B157" s="1" t="s">
        <v>8</v>
      </c>
      <c r="C157" s="1" t="s">
        <v>3379</v>
      </c>
      <c r="E157" s="12" t="s">
        <v>832</v>
      </c>
      <c r="F157" s="1" t="s">
        <v>86</v>
      </c>
      <c r="I157" s="1" t="s">
        <v>3394</v>
      </c>
      <c r="J157" s="1" t="s">
        <v>3402</v>
      </c>
      <c r="K157" s="1"/>
      <c r="L157" s="3">
        <v>46247</v>
      </c>
    </row>
    <row r="158" spans="1:12" x14ac:dyDescent="0.2">
      <c r="A158" s="1" t="s">
        <v>833</v>
      </c>
      <c r="B158" s="1" t="s">
        <v>8</v>
      </c>
      <c r="C158" s="1" t="s">
        <v>3379</v>
      </c>
      <c r="E158" s="1" t="s">
        <v>834</v>
      </c>
      <c r="F158" s="1" t="s">
        <v>86</v>
      </c>
      <c r="I158" s="1" t="s">
        <v>3394</v>
      </c>
      <c r="J158" s="1" t="s">
        <v>3393</v>
      </c>
      <c r="K158" s="1"/>
      <c r="L158" s="3">
        <v>46247</v>
      </c>
    </row>
    <row r="159" spans="1:12" x14ac:dyDescent="0.2">
      <c r="A159" s="1" t="s">
        <v>835</v>
      </c>
      <c r="B159" s="1" t="s">
        <v>8</v>
      </c>
      <c r="C159" s="1" t="s">
        <v>3379</v>
      </c>
      <c r="E159" s="12" t="s">
        <v>836</v>
      </c>
      <c r="F159" s="1" t="s">
        <v>86</v>
      </c>
      <c r="I159" s="1" t="s">
        <v>3394</v>
      </c>
      <c r="J159" s="1" t="s">
        <v>3402</v>
      </c>
      <c r="K159" s="1"/>
      <c r="L159" s="3">
        <v>46247</v>
      </c>
    </row>
    <row r="160" spans="1:12" x14ac:dyDescent="0.2">
      <c r="A160" s="1" t="s">
        <v>837</v>
      </c>
      <c r="B160" s="1" t="s">
        <v>8</v>
      </c>
      <c r="C160" s="1" t="s">
        <v>3379</v>
      </c>
      <c r="E160" s="1" t="s">
        <v>838</v>
      </c>
      <c r="F160" s="1" t="s">
        <v>86</v>
      </c>
      <c r="I160" s="1" t="s">
        <v>3394</v>
      </c>
      <c r="J160" s="1" t="s">
        <v>3393</v>
      </c>
      <c r="K160" s="1"/>
      <c r="L160" s="3">
        <v>46247</v>
      </c>
    </row>
    <row r="161" spans="1:12" x14ac:dyDescent="0.2">
      <c r="A161" s="1" t="s">
        <v>869</v>
      </c>
      <c r="B161" s="1" t="s">
        <v>8</v>
      </c>
      <c r="C161" s="1" t="s">
        <v>3379</v>
      </c>
      <c r="E161" s="1" t="s">
        <v>870</v>
      </c>
      <c r="F161" s="1" t="s">
        <v>86</v>
      </c>
      <c r="I161" s="1" t="s">
        <v>3394</v>
      </c>
      <c r="J161" s="1" t="s">
        <v>3393</v>
      </c>
      <c r="K161" s="1"/>
      <c r="L161" s="3">
        <v>46247</v>
      </c>
    </row>
    <row r="162" spans="1:12" x14ac:dyDescent="0.2">
      <c r="A162" s="1" t="s">
        <v>871</v>
      </c>
      <c r="B162" s="1" t="s">
        <v>8</v>
      </c>
      <c r="C162" s="1" t="s">
        <v>3379</v>
      </c>
      <c r="E162" s="1" t="s">
        <v>872</v>
      </c>
      <c r="F162" s="1" t="s">
        <v>86</v>
      </c>
      <c r="I162" s="1" t="s">
        <v>3394</v>
      </c>
      <c r="J162" s="1" t="s">
        <v>3393</v>
      </c>
      <c r="K162" s="1"/>
      <c r="L162" s="3">
        <v>46247</v>
      </c>
    </row>
    <row r="163" spans="1:12" x14ac:dyDescent="0.2">
      <c r="A163" s="1" t="s">
        <v>873</v>
      </c>
      <c r="B163" s="1" t="s">
        <v>8</v>
      </c>
      <c r="C163" s="1" t="s">
        <v>3379</v>
      </c>
      <c r="E163" s="1" t="s">
        <v>874</v>
      </c>
      <c r="F163" s="1" t="s">
        <v>86</v>
      </c>
      <c r="I163" s="1" t="s">
        <v>3394</v>
      </c>
      <c r="J163" s="121" t="s">
        <v>3394</v>
      </c>
      <c r="K163" s="3">
        <v>46293</v>
      </c>
      <c r="L163" s="3">
        <v>46247</v>
      </c>
    </row>
    <row r="164" spans="1:12" x14ac:dyDescent="0.2">
      <c r="A164" s="1" t="s">
        <v>903</v>
      </c>
      <c r="B164" s="1" t="s">
        <v>8</v>
      </c>
      <c r="C164" s="1" t="s">
        <v>3379</v>
      </c>
      <c r="E164" s="12" t="s">
        <v>904</v>
      </c>
      <c r="F164" s="1" t="s">
        <v>86</v>
      </c>
      <c r="I164" s="1" t="s">
        <v>3394</v>
      </c>
      <c r="J164" s="1" t="s">
        <v>3402</v>
      </c>
      <c r="K164" s="1"/>
      <c r="L164" s="3">
        <v>46247</v>
      </c>
    </row>
    <row r="165" spans="1:12" x14ac:dyDescent="0.2">
      <c r="A165" s="1" t="s">
        <v>905</v>
      </c>
      <c r="B165" s="1" t="s">
        <v>8</v>
      </c>
      <c r="C165" s="1" t="s">
        <v>3379</v>
      </c>
      <c r="E165" s="16" t="s">
        <v>906</v>
      </c>
      <c r="F165" s="1" t="s">
        <v>86</v>
      </c>
      <c r="I165" s="1" t="s">
        <v>3394</v>
      </c>
      <c r="J165" s="1" t="s">
        <v>3402</v>
      </c>
      <c r="K165" s="1"/>
      <c r="L165" s="3">
        <v>46247</v>
      </c>
    </row>
    <row r="166" spans="1:12" x14ac:dyDescent="0.2">
      <c r="A166" s="1" t="s">
        <v>907</v>
      </c>
      <c r="B166" s="1" t="s">
        <v>8</v>
      </c>
      <c r="C166" s="1" t="s">
        <v>3379</v>
      </c>
      <c r="E166" s="1" t="s">
        <v>908</v>
      </c>
      <c r="F166" s="1" t="s">
        <v>86</v>
      </c>
      <c r="I166" s="1" t="s">
        <v>3394</v>
      </c>
      <c r="J166" s="1" t="s">
        <v>3393</v>
      </c>
      <c r="K166" s="1"/>
      <c r="L166" s="3">
        <v>46247</v>
      </c>
    </row>
    <row r="167" spans="1:12" x14ac:dyDescent="0.2">
      <c r="A167" s="1" t="s">
        <v>911</v>
      </c>
      <c r="B167" s="1" t="s">
        <v>8</v>
      </c>
      <c r="C167" s="1" t="s">
        <v>3379</v>
      </c>
      <c r="E167" s="1" t="s">
        <v>912</v>
      </c>
      <c r="F167" s="1" t="s">
        <v>86</v>
      </c>
      <c r="I167" s="1" t="s">
        <v>3394</v>
      </c>
      <c r="J167" s="1" t="s">
        <v>3393</v>
      </c>
      <c r="K167" s="1"/>
      <c r="L167" s="3">
        <v>46247</v>
      </c>
    </row>
    <row r="168" spans="1:12" x14ac:dyDescent="0.2">
      <c r="A168" s="1" t="s">
        <v>913</v>
      </c>
      <c r="B168" s="1" t="s">
        <v>8</v>
      </c>
      <c r="C168" s="1" t="s">
        <v>3379</v>
      </c>
      <c r="E168" s="12" t="s">
        <v>914</v>
      </c>
      <c r="F168" s="1" t="s">
        <v>86</v>
      </c>
      <c r="I168" s="1" t="s">
        <v>3394</v>
      </c>
      <c r="J168" s="1" t="s">
        <v>3402</v>
      </c>
      <c r="K168" s="1"/>
      <c r="L168" s="3">
        <v>46247</v>
      </c>
    </row>
    <row r="169" spans="1:12" x14ac:dyDescent="0.2">
      <c r="A169" s="1" t="s">
        <v>915</v>
      </c>
      <c r="B169" s="1" t="s">
        <v>8</v>
      </c>
      <c r="C169" s="1" t="s">
        <v>3379</v>
      </c>
      <c r="E169" s="12" t="s">
        <v>916</v>
      </c>
      <c r="F169" s="1" t="s">
        <v>86</v>
      </c>
      <c r="I169" s="1" t="s">
        <v>3394</v>
      </c>
      <c r="J169" s="1" t="s">
        <v>3402</v>
      </c>
      <c r="K169" s="1"/>
      <c r="L169" s="3">
        <v>46247</v>
      </c>
    </row>
    <row r="170" spans="1:12" x14ac:dyDescent="0.2">
      <c r="A170" s="1" t="s">
        <v>917</v>
      </c>
      <c r="B170" s="1" t="s">
        <v>8</v>
      </c>
      <c r="C170" s="1" t="s">
        <v>3379</v>
      </c>
      <c r="E170" s="16" t="s">
        <v>918</v>
      </c>
      <c r="F170" s="1" t="s">
        <v>86</v>
      </c>
      <c r="I170" s="1" t="s">
        <v>3394</v>
      </c>
      <c r="J170" s="1" t="s">
        <v>3402</v>
      </c>
      <c r="K170" s="1"/>
      <c r="L170" s="3">
        <v>46247</v>
      </c>
    </row>
    <row r="171" spans="1:12" x14ac:dyDescent="0.2">
      <c r="A171" s="1" t="s">
        <v>919</v>
      </c>
      <c r="B171" s="1" t="s">
        <v>8</v>
      </c>
      <c r="C171" s="1" t="s">
        <v>3379</v>
      </c>
      <c r="E171" s="1" t="s">
        <v>920</v>
      </c>
      <c r="F171" s="1" t="s">
        <v>86</v>
      </c>
      <c r="I171" s="1" t="s">
        <v>3394</v>
      </c>
      <c r="J171" s="1" t="s">
        <v>3393</v>
      </c>
      <c r="K171" s="1"/>
      <c r="L171" s="3">
        <v>46247</v>
      </c>
    </row>
    <row r="172" spans="1:12" x14ac:dyDescent="0.2">
      <c r="A172" s="1" t="s">
        <v>921</v>
      </c>
      <c r="B172" s="1" t="s">
        <v>8</v>
      </c>
      <c r="C172" s="1" t="s">
        <v>3379</v>
      </c>
      <c r="E172" s="1" t="s">
        <v>922</v>
      </c>
      <c r="F172" s="1" t="s">
        <v>86</v>
      </c>
      <c r="I172" s="1" t="s">
        <v>3394</v>
      </c>
      <c r="J172" s="1" t="s">
        <v>3393</v>
      </c>
      <c r="K172" s="1"/>
      <c r="L172" s="3">
        <v>46247</v>
      </c>
    </row>
    <row r="173" spans="1:12" x14ac:dyDescent="0.2">
      <c r="A173" s="1" t="s">
        <v>927</v>
      </c>
      <c r="B173" s="1" t="s">
        <v>8</v>
      </c>
      <c r="C173" s="1" t="s">
        <v>3379</v>
      </c>
      <c r="E173" s="1" t="s">
        <v>928</v>
      </c>
      <c r="F173" s="1" t="s">
        <v>86</v>
      </c>
      <c r="I173" s="1" t="s">
        <v>3394</v>
      </c>
      <c r="J173" s="1" t="s">
        <v>3393</v>
      </c>
      <c r="K173" s="1"/>
      <c r="L173" s="3">
        <v>46247</v>
      </c>
    </row>
    <row r="174" spans="1:12" x14ac:dyDescent="0.2">
      <c r="A174" s="1" t="s">
        <v>1398</v>
      </c>
      <c r="B174" s="1" t="s">
        <v>929</v>
      </c>
      <c r="C174" s="1" t="s">
        <v>3376</v>
      </c>
      <c r="D174" s="1" t="s">
        <v>1310</v>
      </c>
      <c r="E174" s="1" t="s">
        <v>1399</v>
      </c>
      <c r="F174" s="1" t="s">
        <v>1290</v>
      </c>
      <c r="I174" s="1" t="s">
        <v>3394</v>
      </c>
      <c r="J174" s="1" t="s">
        <v>3393</v>
      </c>
      <c r="K174" s="1"/>
      <c r="L174" s="3">
        <v>46247</v>
      </c>
    </row>
    <row r="175" spans="1:12" x14ac:dyDescent="0.2">
      <c r="A175" s="1" t="s">
        <v>1446</v>
      </c>
      <c r="B175" s="1" t="s">
        <v>929</v>
      </c>
      <c r="C175" s="1" t="s">
        <v>3376</v>
      </c>
      <c r="D175" s="1" t="s">
        <v>1402</v>
      </c>
      <c r="E175" s="1" t="s">
        <v>1399</v>
      </c>
      <c r="F175" s="1" t="s">
        <v>1290</v>
      </c>
      <c r="I175" s="1" t="s">
        <v>3394</v>
      </c>
      <c r="J175" s="1" t="s">
        <v>3393</v>
      </c>
      <c r="K175" s="1"/>
      <c r="L175" s="3">
        <v>46247</v>
      </c>
    </row>
    <row r="176" spans="1:12" x14ac:dyDescent="0.2">
      <c r="A176" s="1" t="s">
        <v>504</v>
      </c>
      <c r="B176" s="1" t="s">
        <v>8</v>
      </c>
      <c r="C176" s="1" t="s">
        <v>3376</v>
      </c>
      <c r="E176" s="1" t="s">
        <v>505</v>
      </c>
      <c r="F176" s="1" t="s">
        <v>128</v>
      </c>
      <c r="I176" s="1" t="s">
        <v>3394</v>
      </c>
      <c r="J176" s="1" t="s">
        <v>3402</v>
      </c>
      <c r="K176" s="1"/>
      <c r="L176" s="3">
        <v>46247</v>
      </c>
    </row>
    <row r="177" spans="1:12" x14ac:dyDescent="0.2">
      <c r="A177" s="1" t="s">
        <v>604</v>
      </c>
      <c r="B177" s="1" t="s">
        <v>8</v>
      </c>
      <c r="C177" s="1" t="s">
        <v>3376</v>
      </c>
      <c r="E177" s="1" t="s">
        <v>605</v>
      </c>
      <c r="F177" s="1" t="s">
        <v>128</v>
      </c>
      <c r="I177" s="1" t="s">
        <v>3394</v>
      </c>
      <c r="J177" s="1" t="s">
        <v>3402</v>
      </c>
      <c r="K177" s="1"/>
      <c r="L177" s="3">
        <v>46247</v>
      </c>
    </row>
    <row r="178" spans="1:12" x14ac:dyDescent="0.2">
      <c r="A178" s="1" t="s">
        <v>853</v>
      </c>
      <c r="B178" s="1" t="s">
        <v>8</v>
      </c>
      <c r="C178" s="1" t="s">
        <v>3376</v>
      </c>
      <c r="E178" s="1" t="s">
        <v>854</v>
      </c>
      <c r="F178" s="1" t="s">
        <v>128</v>
      </c>
      <c r="I178" s="1" t="s">
        <v>3394</v>
      </c>
      <c r="J178" s="1" t="s">
        <v>3402</v>
      </c>
      <c r="K178" s="1"/>
      <c r="L178" s="3">
        <v>46247</v>
      </c>
    </row>
    <row r="179" spans="1:12" x14ac:dyDescent="0.2">
      <c r="A179" s="1" t="s">
        <v>686</v>
      </c>
      <c r="B179" s="1" t="s">
        <v>8</v>
      </c>
      <c r="C179" s="1" t="s">
        <v>3377</v>
      </c>
      <c r="E179" s="1" t="s">
        <v>687</v>
      </c>
      <c r="F179" s="1" t="s">
        <v>128</v>
      </c>
      <c r="I179" s="1" t="s">
        <v>3394</v>
      </c>
      <c r="J179" s="1" t="s">
        <v>3402</v>
      </c>
      <c r="K179" s="1"/>
      <c r="L179" s="3">
        <v>46247</v>
      </c>
    </row>
    <row r="180" spans="1:12" x14ac:dyDescent="0.2">
      <c r="A180" s="1" t="s">
        <v>688</v>
      </c>
      <c r="B180" s="1" t="s">
        <v>8</v>
      </c>
      <c r="C180" s="1" t="s">
        <v>3377</v>
      </c>
      <c r="E180" s="1" t="s">
        <v>689</v>
      </c>
      <c r="F180" s="1" t="s">
        <v>128</v>
      </c>
      <c r="I180" s="1" t="s">
        <v>3394</v>
      </c>
      <c r="J180" s="1" t="s">
        <v>3402</v>
      </c>
      <c r="K180" s="1"/>
      <c r="L180" s="3">
        <v>46247</v>
      </c>
    </row>
    <row r="181" spans="1:12" x14ac:dyDescent="0.2">
      <c r="A181" s="1" t="s">
        <v>690</v>
      </c>
      <c r="B181" s="1" t="s">
        <v>8</v>
      </c>
      <c r="C181" s="1" t="s">
        <v>3377</v>
      </c>
      <c r="E181" s="1" t="s">
        <v>691</v>
      </c>
      <c r="F181" s="1" t="s">
        <v>128</v>
      </c>
      <c r="I181" s="1" t="s">
        <v>3394</v>
      </c>
      <c r="J181" s="1" t="s">
        <v>3402</v>
      </c>
      <c r="K181" s="1"/>
      <c r="L181" s="3">
        <v>46247</v>
      </c>
    </row>
    <row r="182" spans="1:12" x14ac:dyDescent="0.2">
      <c r="A182" s="1" t="s">
        <v>867</v>
      </c>
      <c r="B182" s="1" t="s">
        <v>8</v>
      </c>
      <c r="C182" s="1" t="s">
        <v>3379</v>
      </c>
      <c r="E182" s="1" t="s">
        <v>868</v>
      </c>
      <c r="F182" s="1" t="s">
        <v>128</v>
      </c>
      <c r="I182" s="1" t="s">
        <v>3394</v>
      </c>
      <c r="J182" s="1" t="s">
        <v>3402</v>
      </c>
      <c r="K182" s="1"/>
      <c r="L182" s="3">
        <v>46247</v>
      </c>
    </row>
    <row r="183" spans="1:12" x14ac:dyDescent="0.2">
      <c r="A183" s="1" t="s">
        <v>1461</v>
      </c>
      <c r="B183" s="1" t="s">
        <v>1295</v>
      </c>
      <c r="C183" s="1" t="s">
        <v>3378</v>
      </c>
      <c r="D183" s="1" t="s">
        <v>1462</v>
      </c>
      <c r="E183" s="1" t="s">
        <v>1365</v>
      </c>
      <c r="F183" s="1" t="s">
        <v>1293</v>
      </c>
      <c r="I183" s="1" t="s">
        <v>3394</v>
      </c>
      <c r="J183" s="1" t="s">
        <v>3402</v>
      </c>
      <c r="K183" s="1"/>
      <c r="L183" s="3">
        <v>46247</v>
      </c>
    </row>
    <row r="184" spans="1:12" x14ac:dyDescent="0.2">
      <c r="A184" s="1" t="s">
        <v>496</v>
      </c>
      <c r="B184" s="1" t="s">
        <v>8</v>
      </c>
      <c r="C184" s="1" t="s">
        <v>3376</v>
      </c>
      <c r="E184" s="1" t="s">
        <v>497</v>
      </c>
      <c r="F184" s="1" t="s">
        <v>108</v>
      </c>
      <c r="I184" s="1" t="s">
        <v>3393</v>
      </c>
      <c r="J184" s="1" t="s">
        <v>3393</v>
      </c>
      <c r="K184" s="1"/>
      <c r="L184" s="3">
        <v>46247</v>
      </c>
    </row>
    <row r="185" spans="1:12" x14ac:dyDescent="0.2">
      <c r="A185" s="1" t="s">
        <v>849</v>
      </c>
      <c r="B185" s="1" t="s">
        <v>8</v>
      </c>
      <c r="C185" s="1" t="s">
        <v>3376</v>
      </c>
      <c r="E185" s="1" t="s">
        <v>850</v>
      </c>
      <c r="F185" s="1" t="s">
        <v>108</v>
      </c>
      <c r="I185" s="1" t="s">
        <v>3393</v>
      </c>
      <c r="J185" s="1" t="s">
        <v>3393</v>
      </c>
      <c r="K185" s="1"/>
      <c r="L185" s="3">
        <v>46247</v>
      </c>
    </row>
    <row r="186" spans="1:12" x14ac:dyDescent="0.2">
      <c r="A186" s="1" t="s">
        <v>879</v>
      </c>
      <c r="B186" s="1" t="s">
        <v>8</v>
      </c>
      <c r="C186" s="1" t="s">
        <v>3376</v>
      </c>
      <c r="E186" s="1" t="s">
        <v>880</v>
      </c>
      <c r="F186" s="1" t="s">
        <v>108</v>
      </c>
      <c r="I186" s="1" t="s">
        <v>3393</v>
      </c>
      <c r="J186" s="1" t="s">
        <v>3393</v>
      </c>
      <c r="K186" s="1"/>
      <c r="L186" s="3">
        <v>46247</v>
      </c>
    </row>
    <row r="187" spans="1:12" x14ac:dyDescent="0.2">
      <c r="A187" s="1" t="s">
        <v>897</v>
      </c>
      <c r="B187" s="1" t="s">
        <v>8</v>
      </c>
      <c r="C187" s="1" t="s">
        <v>3376</v>
      </c>
      <c r="E187" s="1" t="s">
        <v>898</v>
      </c>
      <c r="F187" s="1" t="s">
        <v>108</v>
      </c>
      <c r="I187" s="1" t="s">
        <v>3393</v>
      </c>
      <c r="J187" s="1" t="s">
        <v>3393</v>
      </c>
      <c r="K187" s="1"/>
      <c r="L187" s="3">
        <v>46247</v>
      </c>
    </row>
    <row r="188" spans="1:12" x14ac:dyDescent="0.2">
      <c r="A188" s="1" t="s">
        <v>629</v>
      </c>
      <c r="B188" s="1" t="s">
        <v>8</v>
      </c>
      <c r="C188" s="1" t="s">
        <v>3377</v>
      </c>
      <c r="E188" s="1" t="s">
        <v>630</v>
      </c>
      <c r="F188" s="1" t="s">
        <v>108</v>
      </c>
      <c r="I188" s="1" t="s">
        <v>3393</v>
      </c>
      <c r="J188" s="1" t="s">
        <v>3393</v>
      </c>
      <c r="K188" s="1"/>
      <c r="L188" s="3">
        <v>46247</v>
      </c>
    </row>
    <row r="189" spans="1:12" x14ac:dyDescent="0.2">
      <c r="A189" s="1" t="s">
        <v>875</v>
      </c>
      <c r="B189" s="1" t="s">
        <v>8</v>
      </c>
      <c r="C189" s="1" t="s">
        <v>3379</v>
      </c>
      <c r="E189" s="1" t="s">
        <v>876</v>
      </c>
      <c r="F189" s="1" t="s">
        <v>113</v>
      </c>
      <c r="I189" s="1" t="s">
        <v>3394</v>
      </c>
      <c r="J189" s="1" t="s">
        <v>3394</v>
      </c>
      <c r="K189" s="3">
        <v>46226</v>
      </c>
      <c r="L189" s="3">
        <v>46247</v>
      </c>
    </row>
    <row r="190" spans="1:12" x14ac:dyDescent="0.2">
      <c r="A190" s="1" t="s">
        <v>631</v>
      </c>
      <c r="B190" s="1" t="s">
        <v>8</v>
      </c>
      <c r="C190" s="1" t="s">
        <v>3377</v>
      </c>
      <c r="E190" s="1" t="s">
        <v>632</v>
      </c>
      <c r="F190" s="1" t="s">
        <v>108</v>
      </c>
      <c r="I190" s="1" t="s">
        <v>3393</v>
      </c>
      <c r="J190" s="1" t="s">
        <v>3393</v>
      </c>
      <c r="K190" s="1"/>
      <c r="L190" s="3">
        <v>46247</v>
      </c>
    </row>
    <row r="191" spans="1:12" x14ac:dyDescent="0.2">
      <c r="A191" s="1" t="s">
        <v>633</v>
      </c>
      <c r="B191" s="1" t="s">
        <v>8</v>
      </c>
      <c r="C191" s="1" t="s">
        <v>3377</v>
      </c>
      <c r="E191" s="1" t="s">
        <v>634</v>
      </c>
      <c r="F191" s="1" t="s">
        <v>108</v>
      </c>
      <c r="I191" s="1" t="s">
        <v>3393</v>
      </c>
      <c r="J191" s="1" t="s">
        <v>3393</v>
      </c>
      <c r="K191" s="1"/>
      <c r="L191" s="3">
        <v>46247</v>
      </c>
    </row>
    <row r="192" spans="1:12" x14ac:dyDescent="0.2">
      <c r="A192" s="1" t="s">
        <v>641</v>
      </c>
      <c r="B192" s="1" t="s">
        <v>8</v>
      </c>
      <c r="C192" s="1" t="s">
        <v>3377</v>
      </c>
      <c r="E192" s="1" t="s">
        <v>642</v>
      </c>
      <c r="F192" s="1" t="s">
        <v>108</v>
      </c>
      <c r="I192" s="1" t="s">
        <v>3394</v>
      </c>
      <c r="J192" s="1" t="s">
        <v>3393</v>
      </c>
      <c r="K192" s="1"/>
      <c r="L192" s="3">
        <v>46247</v>
      </c>
    </row>
    <row r="193" spans="1:12" x14ac:dyDescent="0.2">
      <c r="A193" s="1" t="s">
        <v>524</v>
      </c>
      <c r="B193" s="1" t="s">
        <v>8</v>
      </c>
      <c r="C193" s="1" t="s">
        <v>3379</v>
      </c>
      <c r="E193" s="18" t="s">
        <v>525</v>
      </c>
      <c r="F193" s="1" t="s">
        <v>113</v>
      </c>
      <c r="I193" s="1" t="s">
        <v>3394</v>
      </c>
      <c r="J193" s="1" t="s">
        <v>3402</v>
      </c>
      <c r="L193" s="3">
        <v>46247</v>
      </c>
    </row>
    <row r="194" spans="1:12" x14ac:dyDescent="0.2">
      <c r="A194" s="1" t="s">
        <v>665</v>
      </c>
      <c r="B194" s="1" t="s">
        <v>8</v>
      </c>
      <c r="C194" s="1" t="s">
        <v>3377</v>
      </c>
      <c r="E194" s="1" t="s">
        <v>666</v>
      </c>
      <c r="F194" s="1" t="s">
        <v>108</v>
      </c>
      <c r="I194" s="1" t="s">
        <v>3393</v>
      </c>
      <c r="J194" s="1" t="s">
        <v>3393</v>
      </c>
      <c r="K194" s="1"/>
      <c r="L194" s="3">
        <v>46247</v>
      </c>
    </row>
    <row r="195" spans="1:12" x14ac:dyDescent="0.2">
      <c r="A195" s="1" t="s">
        <v>702</v>
      </c>
      <c r="B195" s="1" t="s">
        <v>8</v>
      </c>
      <c r="C195" s="1" t="s">
        <v>3378</v>
      </c>
      <c r="E195" s="1" t="s">
        <v>703</v>
      </c>
      <c r="F195" s="1" t="s">
        <v>108</v>
      </c>
      <c r="I195" s="1" t="s">
        <v>3393</v>
      </c>
      <c r="J195" s="1" t="s">
        <v>3393</v>
      </c>
      <c r="K195" s="1"/>
      <c r="L195" s="3">
        <v>46247</v>
      </c>
    </row>
    <row r="196" spans="1:12" x14ac:dyDescent="0.2">
      <c r="A196" s="1" t="s">
        <v>704</v>
      </c>
      <c r="B196" s="1" t="s">
        <v>8</v>
      </c>
      <c r="C196" s="1" t="s">
        <v>3378</v>
      </c>
      <c r="E196" s="1" t="s">
        <v>705</v>
      </c>
      <c r="F196" s="1" t="s">
        <v>108</v>
      </c>
      <c r="I196" s="1" t="s">
        <v>3393</v>
      </c>
      <c r="J196" s="1" t="s">
        <v>3393</v>
      </c>
      <c r="K196" s="1"/>
      <c r="L196" s="3">
        <v>46247</v>
      </c>
    </row>
    <row r="197" spans="1:12" x14ac:dyDescent="0.2">
      <c r="A197" s="1" t="s">
        <v>706</v>
      </c>
      <c r="B197" s="1" t="s">
        <v>8</v>
      </c>
      <c r="C197" s="1" t="s">
        <v>3378</v>
      </c>
      <c r="E197" s="1" t="s">
        <v>707</v>
      </c>
      <c r="F197" s="1" t="s">
        <v>108</v>
      </c>
      <c r="I197" s="1" t="s">
        <v>3393</v>
      </c>
      <c r="J197" s="1" t="s">
        <v>3393</v>
      </c>
      <c r="K197" s="1"/>
      <c r="L197" s="3">
        <v>46247</v>
      </c>
    </row>
    <row r="198" spans="1:12" x14ac:dyDescent="0.2">
      <c r="A198" s="1" t="s">
        <v>712</v>
      </c>
      <c r="B198" s="1" t="s">
        <v>8</v>
      </c>
      <c r="C198" s="1" t="s">
        <v>3378</v>
      </c>
      <c r="E198" s="1" t="s">
        <v>713</v>
      </c>
      <c r="F198" s="1" t="s">
        <v>108</v>
      </c>
      <c r="I198" s="1" t="s">
        <v>3393</v>
      </c>
      <c r="J198" s="1" t="s">
        <v>3393</v>
      </c>
      <c r="K198" s="1"/>
      <c r="L198" s="3">
        <v>46247</v>
      </c>
    </row>
    <row r="199" spans="1:12" x14ac:dyDescent="0.2">
      <c r="A199" s="1" t="s">
        <v>532</v>
      </c>
      <c r="B199" s="1" t="s">
        <v>8</v>
      </c>
      <c r="C199" s="1" t="s">
        <v>3379</v>
      </c>
      <c r="E199" s="1" t="s">
        <v>533</v>
      </c>
      <c r="F199" s="1" t="s">
        <v>86</v>
      </c>
      <c r="G199" s="1" t="s">
        <v>163</v>
      </c>
      <c r="H199" s="1" t="s">
        <v>163</v>
      </c>
      <c r="I199" s="1" t="s">
        <v>3394</v>
      </c>
      <c r="J199" s="1" t="s">
        <v>3394</v>
      </c>
      <c r="K199" s="3">
        <v>46226</v>
      </c>
      <c r="L199" s="3">
        <v>46247</v>
      </c>
    </row>
    <row r="200" spans="1:12" x14ac:dyDescent="0.2">
      <c r="A200" s="1" t="s">
        <v>568</v>
      </c>
      <c r="B200" s="1" t="s">
        <v>8</v>
      </c>
      <c r="C200" s="1" t="s">
        <v>3379</v>
      </c>
      <c r="E200" s="1" t="s">
        <v>569</v>
      </c>
      <c r="F200" s="1" t="s">
        <v>43</v>
      </c>
      <c r="G200" s="1" t="s">
        <v>163</v>
      </c>
      <c r="H200" s="1" t="s">
        <v>163</v>
      </c>
      <c r="I200" s="1" t="s">
        <v>3394</v>
      </c>
      <c r="J200" s="1" t="s">
        <v>3394</v>
      </c>
      <c r="K200" s="3">
        <v>46226</v>
      </c>
      <c r="L200" s="3">
        <v>46247</v>
      </c>
    </row>
    <row r="201" spans="1:12" x14ac:dyDescent="0.2">
      <c r="A201" s="1" t="s">
        <v>726</v>
      </c>
      <c r="B201" s="1" t="s">
        <v>8</v>
      </c>
      <c r="C201" s="1" t="s">
        <v>3378</v>
      </c>
      <c r="E201" s="1" t="s">
        <v>727</v>
      </c>
      <c r="F201" s="1" t="s">
        <v>108</v>
      </c>
      <c r="I201" s="1" t="s">
        <v>3393</v>
      </c>
      <c r="J201" s="1" t="s">
        <v>3393</v>
      </c>
      <c r="K201" s="1"/>
      <c r="L201" s="3">
        <v>46247</v>
      </c>
    </row>
    <row r="202" spans="1:12" x14ac:dyDescent="0.2">
      <c r="A202" s="1" t="s">
        <v>730</v>
      </c>
      <c r="B202" s="1" t="s">
        <v>8</v>
      </c>
      <c r="C202" s="1" t="s">
        <v>3378</v>
      </c>
      <c r="E202" s="17" t="s">
        <v>731</v>
      </c>
      <c r="F202" s="1" t="s">
        <v>108</v>
      </c>
      <c r="I202" s="1" t="s">
        <v>3393</v>
      </c>
      <c r="J202" s="1" t="s">
        <v>3393</v>
      </c>
      <c r="K202" s="1"/>
      <c r="L202" s="3">
        <v>46247</v>
      </c>
    </row>
    <row r="203" spans="1:12" x14ac:dyDescent="0.2">
      <c r="A203" s="1" t="s">
        <v>734</v>
      </c>
      <c r="B203" s="1" t="s">
        <v>8</v>
      </c>
      <c r="C203" s="1" t="s">
        <v>3378</v>
      </c>
      <c r="E203" s="16" t="s">
        <v>735</v>
      </c>
      <c r="F203" s="1" t="s">
        <v>108</v>
      </c>
      <c r="I203" s="1" t="s">
        <v>3394</v>
      </c>
      <c r="J203" s="1" t="s">
        <v>3402</v>
      </c>
      <c r="K203" s="1"/>
      <c r="L203" s="3">
        <v>46247</v>
      </c>
    </row>
    <row r="204" spans="1:12" x14ac:dyDescent="0.2">
      <c r="A204" s="1" t="s">
        <v>570</v>
      </c>
      <c r="B204" s="1" t="s">
        <v>8</v>
      </c>
      <c r="C204" s="1" t="s">
        <v>3379</v>
      </c>
      <c r="E204" s="1" t="s">
        <v>571</v>
      </c>
      <c r="F204" s="1" t="s">
        <v>43</v>
      </c>
      <c r="G204" s="1" t="s">
        <v>163</v>
      </c>
      <c r="H204" s="1" t="s">
        <v>163</v>
      </c>
      <c r="I204" s="1" t="s">
        <v>3394</v>
      </c>
      <c r="J204" s="1" t="s">
        <v>3394</v>
      </c>
      <c r="K204" s="3">
        <v>46226</v>
      </c>
      <c r="L204" s="3">
        <v>46247</v>
      </c>
    </row>
    <row r="205" spans="1:12" x14ac:dyDescent="0.2">
      <c r="A205" s="1" t="s">
        <v>578</v>
      </c>
      <c r="B205" s="1" t="s">
        <v>8</v>
      </c>
      <c r="C205" s="1" t="s">
        <v>3379</v>
      </c>
      <c r="E205" s="1" t="s">
        <v>579</v>
      </c>
      <c r="F205" s="1" t="s">
        <v>43</v>
      </c>
      <c r="G205" s="1" t="s">
        <v>163</v>
      </c>
      <c r="H205" s="1" t="s">
        <v>163</v>
      </c>
      <c r="I205" s="1" t="s">
        <v>3394</v>
      </c>
      <c r="J205" s="1" t="s">
        <v>3394</v>
      </c>
      <c r="K205" s="3">
        <v>46226</v>
      </c>
      <c r="L205" s="3">
        <v>46247</v>
      </c>
    </row>
    <row r="206" spans="1:12" x14ac:dyDescent="0.2">
      <c r="A206" s="1" t="s">
        <v>742</v>
      </c>
      <c r="B206" s="1" t="s">
        <v>8</v>
      </c>
      <c r="C206" s="1" t="s">
        <v>3378</v>
      </c>
      <c r="E206" s="12" t="s">
        <v>743</v>
      </c>
      <c r="F206" s="1" t="s">
        <v>108</v>
      </c>
      <c r="I206" s="1" t="s">
        <v>3394</v>
      </c>
      <c r="J206" s="1" t="s">
        <v>3402</v>
      </c>
      <c r="K206" s="1"/>
      <c r="L206" s="3">
        <v>46247</v>
      </c>
    </row>
    <row r="207" spans="1:12" x14ac:dyDescent="0.2">
      <c r="A207" s="1" t="s">
        <v>811</v>
      </c>
      <c r="B207" s="1" t="s">
        <v>8</v>
      </c>
      <c r="C207" s="1" t="s">
        <v>3379</v>
      </c>
      <c r="E207" s="1" t="s">
        <v>812</v>
      </c>
      <c r="F207" s="1" t="s">
        <v>108</v>
      </c>
      <c r="I207" s="1" t="s">
        <v>3393</v>
      </c>
      <c r="J207" s="1" t="s">
        <v>3393</v>
      </c>
      <c r="K207" s="1"/>
      <c r="L207" s="3">
        <v>46247</v>
      </c>
    </row>
    <row r="208" spans="1:12" x14ac:dyDescent="0.2">
      <c r="A208" s="1" t="s">
        <v>813</v>
      </c>
      <c r="B208" s="1" t="s">
        <v>8</v>
      </c>
      <c r="C208" s="1" t="s">
        <v>3379</v>
      </c>
      <c r="E208" s="1" t="s">
        <v>814</v>
      </c>
      <c r="F208" s="1" t="s">
        <v>108</v>
      </c>
      <c r="I208" s="1" t="s">
        <v>3393</v>
      </c>
      <c r="J208" s="1" t="s">
        <v>3393</v>
      </c>
      <c r="K208" s="1"/>
      <c r="L208" s="3">
        <v>46247</v>
      </c>
    </row>
    <row r="209" spans="1:12" x14ac:dyDescent="0.2">
      <c r="A209" s="1" t="s">
        <v>821</v>
      </c>
      <c r="B209" s="1" t="s">
        <v>8</v>
      </c>
      <c r="C209" s="1" t="s">
        <v>3379</v>
      </c>
      <c r="E209" s="1" t="s">
        <v>822</v>
      </c>
      <c r="F209" s="1" t="s">
        <v>108</v>
      </c>
      <c r="I209" s="1" t="s">
        <v>3393</v>
      </c>
      <c r="J209" s="1" t="s">
        <v>3393</v>
      </c>
      <c r="K209" s="1"/>
      <c r="L209" s="3">
        <v>46247</v>
      </c>
    </row>
    <row r="210" spans="1:12" x14ac:dyDescent="0.2">
      <c r="A210" s="1" t="s">
        <v>823</v>
      </c>
      <c r="B210" s="1" t="s">
        <v>8</v>
      </c>
      <c r="C210" s="1" t="s">
        <v>3379</v>
      </c>
      <c r="E210" s="1" t="s">
        <v>824</v>
      </c>
      <c r="F210" s="1" t="s">
        <v>108</v>
      </c>
      <c r="I210" s="1" t="s">
        <v>3393</v>
      </c>
      <c r="J210" s="1" t="s">
        <v>3393</v>
      </c>
      <c r="K210" s="1"/>
      <c r="L210" s="3">
        <v>46247</v>
      </c>
    </row>
    <row r="211" spans="1:12" x14ac:dyDescent="0.2">
      <c r="A211" s="1" t="s">
        <v>614</v>
      </c>
      <c r="B211" s="1" t="s">
        <v>8</v>
      </c>
      <c r="C211" s="1" t="s">
        <v>3376</v>
      </c>
      <c r="E211" s="12" t="s">
        <v>615</v>
      </c>
      <c r="F211" s="1" t="s">
        <v>43</v>
      </c>
      <c r="I211" s="1" t="s">
        <v>3394</v>
      </c>
      <c r="J211" s="1" t="s">
        <v>3402</v>
      </c>
      <c r="K211" s="1"/>
      <c r="L211" s="3">
        <v>46247</v>
      </c>
    </row>
    <row r="212" spans="1:12" x14ac:dyDescent="0.2">
      <c r="A212" s="1" t="s">
        <v>1107</v>
      </c>
      <c r="B212" s="1" t="s">
        <v>41</v>
      </c>
      <c r="C212" s="1" t="s">
        <v>3376</v>
      </c>
      <c r="E212" s="1" t="s">
        <v>1108</v>
      </c>
      <c r="F212" s="1" t="s">
        <v>43</v>
      </c>
      <c r="I212" s="1" t="s">
        <v>3393</v>
      </c>
      <c r="J212" s="1" t="s">
        <v>3393</v>
      </c>
      <c r="K212" s="1"/>
      <c r="L212" s="3">
        <v>46247</v>
      </c>
    </row>
    <row r="213" spans="1:12" x14ac:dyDescent="0.2">
      <c r="A213" s="1" t="s">
        <v>1109</v>
      </c>
      <c r="B213" s="1" t="s">
        <v>41</v>
      </c>
      <c r="C213" s="1" t="s">
        <v>3376</v>
      </c>
      <c r="E213" s="1" t="s">
        <v>1110</v>
      </c>
      <c r="F213" s="1" t="s">
        <v>43</v>
      </c>
      <c r="I213" s="1" t="s">
        <v>3393</v>
      </c>
      <c r="J213" s="1" t="s">
        <v>3393</v>
      </c>
      <c r="K213" s="1"/>
      <c r="L213" s="3">
        <v>46247</v>
      </c>
    </row>
    <row r="214" spans="1:12" x14ac:dyDescent="0.2">
      <c r="A214" s="1" t="s">
        <v>1111</v>
      </c>
      <c r="B214" s="1" t="s">
        <v>41</v>
      </c>
      <c r="C214" s="1" t="s">
        <v>3376</v>
      </c>
      <c r="E214" s="1" t="s">
        <v>1112</v>
      </c>
      <c r="F214" s="1" t="s">
        <v>43</v>
      </c>
      <c r="I214" s="1" t="s">
        <v>3393</v>
      </c>
      <c r="J214" s="1" t="s">
        <v>3393</v>
      </c>
      <c r="K214" s="1"/>
      <c r="L214" s="3">
        <v>46247</v>
      </c>
    </row>
    <row r="215" spans="1:12" x14ac:dyDescent="0.2">
      <c r="A215" s="1" t="s">
        <v>1196</v>
      </c>
      <c r="B215" s="1" t="s">
        <v>8</v>
      </c>
      <c r="C215" s="1" t="s">
        <v>3376</v>
      </c>
      <c r="E215" s="1" t="s">
        <v>1197</v>
      </c>
      <c r="F215" s="1" t="s">
        <v>43</v>
      </c>
      <c r="I215" s="1" t="s">
        <v>3393</v>
      </c>
      <c r="J215" s="1" t="s">
        <v>3393</v>
      </c>
      <c r="K215" s="1"/>
      <c r="L215" s="3">
        <v>46247</v>
      </c>
    </row>
    <row r="216" spans="1:12" x14ac:dyDescent="0.2">
      <c r="A216" s="1" t="s">
        <v>1226</v>
      </c>
      <c r="B216" s="1" t="s">
        <v>8</v>
      </c>
      <c r="C216" s="1" t="s">
        <v>3376</v>
      </c>
      <c r="E216" s="12" t="s">
        <v>1227</v>
      </c>
      <c r="F216" s="1" t="s">
        <v>43</v>
      </c>
      <c r="I216" s="1" t="s">
        <v>3394</v>
      </c>
      <c r="J216" s="1" t="s">
        <v>3402</v>
      </c>
      <c r="K216" s="1"/>
      <c r="L216" s="3">
        <v>46247</v>
      </c>
    </row>
    <row r="217" spans="1:12" x14ac:dyDescent="0.2">
      <c r="A217" s="1" t="s">
        <v>1228</v>
      </c>
      <c r="B217" s="1" t="s">
        <v>8</v>
      </c>
      <c r="C217" s="1" t="s">
        <v>3376</v>
      </c>
      <c r="E217" s="1" t="s">
        <v>1229</v>
      </c>
      <c r="F217" s="1" t="s">
        <v>43</v>
      </c>
      <c r="I217" s="1" t="s">
        <v>3394</v>
      </c>
      <c r="J217" s="1" t="s">
        <v>3402</v>
      </c>
      <c r="K217" s="1"/>
      <c r="L217" s="3">
        <v>46247</v>
      </c>
    </row>
    <row r="218" spans="1:12" x14ac:dyDescent="0.2">
      <c r="A218" s="1" t="s">
        <v>1252</v>
      </c>
      <c r="B218" s="1" t="s">
        <v>8</v>
      </c>
      <c r="C218" s="1" t="s">
        <v>3376</v>
      </c>
      <c r="E218" s="1" t="s">
        <v>1253</v>
      </c>
      <c r="F218" s="1" t="s">
        <v>43</v>
      </c>
      <c r="I218" s="1" t="s">
        <v>3393</v>
      </c>
      <c r="J218" s="1" t="s">
        <v>3393</v>
      </c>
      <c r="K218" s="1"/>
      <c r="L218" s="3">
        <v>46247</v>
      </c>
    </row>
    <row r="219" spans="1:12" x14ac:dyDescent="0.2">
      <c r="A219" s="1" t="s">
        <v>635</v>
      </c>
      <c r="B219" s="1" t="s">
        <v>8</v>
      </c>
      <c r="C219" s="1" t="s">
        <v>3377</v>
      </c>
      <c r="E219" s="1" t="s">
        <v>636</v>
      </c>
      <c r="F219" s="1" t="s">
        <v>43</v>
      </c>
      <c r="I219" s="1" t="s">
        <v>3394</v>
      </c>
      <c r="J219" s="1" t="s">
        <v>3402</v>
      </c>
      <c r="K219" s="1"/>
      <c r="L219" s="3">
        <v>46247</v>
      </c>
    </row>
    <row r="220" spans="1:12" x14ac:dyDescent="0.2">
      <c r="A220" s="1" t="s">
        <v>667</v>
      </c>
      <c r="B220" s="1" t="s">
        <v>8</v>
      </c>
      <c r="C220" s="1" t="s">
        <v>3377</v>
      </c>
      <c r="E220" s="1" t="s">
        <v>668</v>
      </c>
      <c r="F220" s="1" t="s">
        <v>43</v>
      </c>
      <c r="I220" s="1" t="s">
        <v>3394</v>
      </c>
      <c r="J220" s="1" t="s">
        <v>3402</v>
      </c>
      <c r="K220" s="1"/>
      <c r="L220" s="3">
        <v>46247</v>
      </c>
    </row>
    <row r="221" spans="1:12" x14ac:dyDescent="0.2">
      <c r="A221" s="1" t="s">
        <v>669</v>
      </c>
      <c r="B221" s="1" t="s">
        <v>8</v>
      </c>
      <c r="C221" s="1" t="s">
        <v>3377</v>
      </c>
      <c r="E221" s="1" t="s">
        <v>670</v>
      </c>
      <c r="F221" s="1" t="s">
        <v>43</v>
      </c>
      <c r="I221" s="1" t="s">
        <v>3393</v>
      </c>
      <c r="J221" s="1" t="s">
        <v>3393</v>
      </c>
      <c r="K221" s="1"/>
      <c r="L221" s="3">
        <v>46247</v>
      </c>
    </row>
    <row r="222" spans="1:12" x14ac:dyDescent="0.2">
      <c r="A222" s="1" t="s">
        <v>692</v>
      </c>
      <c r="B222" s="1" t="s">
        <v>8</v>
      </c>
      <c r="C222" s="1" t="s">
        <v>3377</v>
      </c>
      <c r="E222" s="1" t="s">
        <v>693</v>
      </c>
      <c r="F222" s="1" t="s">
        <v>43</v>
      </c>
      <c r="I222" s="1" t="s">
        <v>3394</v>
      </c>
      <c r="J222" s="1" t="s">
        <v>3402</v>
      </c>
      <c r="K222" s="1"/>
      <c r="L222" s="3">
        <v>46247</v>
      </c>
    </row>
    <row r="223" spans="1:12" x14ac:dyDescent="0.2">
      <c r="A223" s="1" t="s">
        <v>694</v>
      </c>
      <c r="B223" s="1" t="s">
        <v>8</v>
      </c>
      <c r="C223" s="1" t="s">
        <v>3377</v>
      </c>
      <c r="E223" s="1" t="s">
        <v>695</v>
      </c>
      <c r="F223" s="1" t="s">
        <v>43</v>
      </c>
      <c r="I223" s="1" t="s">
        <v>3394</v>
      </c>
      <c r="J223" s="1" t="s">
        <v>3402</v>
      </c>
      <c r="K223" s="1"/>
      <c r="L223" s="3">
        <v>46247</v>
      </c>
    </row>
    <row r="224" spans="1:12" x14ac:dyDescent="0.2">
      <c r="A224" s="1" t="s">
        <v>696</v>
      </c>
      <c r="B224" s="1" t="s">
        <v>8</v>
      </c>
      <c r="C224" s="1" t="s">
        <v>3377</v>
      </c>
      <c r="E224" s="12" t="s">
        <v>697</v>
      </c>
      <c r="F224" s="1" t="s">
        <v>43</v>
      </c>
      <c r="I224" s="1" t="s">
        <v>3394</v>
      </c>
      <c r="J224" s="1" t="s">
        <v>3402</v>
      </c>
      <c r="K224" s="1"/>
      <c r="L224" s="3">
        <v>46247</v>
      </c>
    </row>
    <row r="225" spans="1:12" x14ac:dyDescent="0.2">
      <c r="A225" s="1" t="s">
        <v>698</v>
      </c>
      <c r="B225" s="1" t="s">
        <v>8</v>
      </c>
      <c r="C225" s="1" t="s">
        <v>3377</v>
      </c>
      <c r="E225" s="1" t="s">
        <v>699</v>
      </c>
      <c r="F225" s="1" t="s">
        <v>43</v>
      </c>
      <c r="I225" s="1" t="s">
        <v>3394</v>
      </c>
      <c r="J225" s="1" t="s">
        <v>3402</v>
      </c>
      <c r="K225" s="1"/>
      <c r="L225" s="3">
        <v>46247</v>
      </c>
    </row>
    <row r="226" spans="1:12" x14ac:dyDescent="0.2">
      <c r="A226" s="1" t="s">
        <v>1236</v>
      </c>
      <c r="B226" s="1" t="s">
        <v>8</v>
      </c>
      <c r="C226" s="1" t="s">
        <v>3377</v>
      </c>
      <c r="E226" s="1" t="s">
        <v>1237</v>
      </c>
      <c r="F226" s="1" t="s">
        <v>43</v>
      </c>
      <c r="I226" s="1" t="s">
        <v>3394</v>
      </c>
      <c r="J226" s="1" t="s">
        <v>3402</v>
      </c>
      <c r="K226" s="1"/>
      <c r="L226" s="3">
        <v>46247</v>
      </c>
    </row>
    <row r="227" spans="1:12" x14ac:dyDescent="0.2">
      <c r="A227" s="1" t="s">
        <v>1254</v>
      </c>
      <c r="B227" s="1" t="s">
        <v>8</v>
      </c>
      <c r="C227" s="1" t="s">
        <v>3377</v>
      </c>
      <c r="E227" s="1" t="s">
        <v>1255</v>
      </c>
      <c r="F227" s="1" t="s">
        <v>43</v>
      </c>
      <c r="I227" s="1" t="s">
        <v>3393</v>
      </c>
      <c r="J227" s="1" t="s">
        <v>3393</v>
      </c>
      <c r="K227" s="1"/>
      <c r="L227" s="3">
        <v>46247</v>
      </c>
    </row>
    <row r="228" spans="1:12" x14ac:dyDescent="0.2">
      <c r="A228" s="1" t="s">
        <v>786</v>
      </c>
      <c r="B228" s="1" t="s">
        <v>8</v>
      </c>
      <c r="C228" s="1" t="s">
        <v>3378</v>
      </c>
      <c r="E228" s="12" t="s">
        <v>787</v>
      </c>
      <c r="F228" s="1" t="s">
        <v>43</v>
      </c>
      <c r="I228" s="1" t="s">
        <v>3394</v>
      </c>
      <c r="J228" s="1" t="s">
        <v>3402</v>
      </c>
      <c r="K228" s="1"/>
      <c r="L228" s="3">
        <v>46247</v>
      </c>
    </row>
    <row r="229" spans="1:12" x14ac:dyDescent="0.2">
      <c r="A229" s="1" t="s">
        <v>788</v>
      </c>
      <c r="B229" s="1" t="s">
        <v>8</v>
      </c>
      <c r="C229" s="1" t="s">
        <v>3378</v>
      </c>
      <c r="E229" s="1" t="s">
        <v>789</v>
      </c>
      <c r="F229" s="1" t="s">
        <v>43</v>
      </c>
      <c r="I229" s="1" t="s">
        <v>3394</v>
      </c>
      <c r="J229" s="1" t="s">
        <v>3402</v>
      </c>
      <c r="K229" s="1"/>
      <c r="L229" s="3">
        <v>46247</v>
      </c>
    </row>
    <row r="230" spans="1:12" x14ac:dyDescent="0.2">
      <c r="A230" s="1" t="s">
        <v>790</v>
      </c>
      <c r="B230" s="1" t="s">
        <v>8</v>
      </c>
      <c r="C230" s="1" t="s">
        <v>3378</v>
      </c>
      <c r="E230" s="12" t="s">
        <v>791</v>
      </c>
      <c r="F230" s="1" t="s">
        <v>43</v>
      </c>
      <c r="I230" s="1" t="s">
        <v>3394</v>
      </c>
      <c r="J230" s="1" t="s">
        <v>3402</v>
      </c>
      <c r="K230" s="1"/>
      <c r="L230" s="3">
        <v>46247</v>
      </c>
    </row>
    <row r="231" spans="1:12" x14ac:dyDescent="0.2">
      <c r="A231" s="1" t="s">
        <v>1198</v>
      </c>
      <c r="B231" s="1" t="s">
        <v>8</v>
      </c>
      <c r="C231" s="1" t="s">
        <v>3378</v>
      </c>
      <c r="E231" s="1" t="s">
        <v>1199</v>
      </c>
      <c r="F231" s="1" t="s">
        <v>43</v>
      </c>
      <c r="I231" s="1" t="s">
        <v>3393</v>
      </c>
      <c r="J231" s="1" t="s">
        <v>3393</v>
      </c>
      <c r="K231" s="1"/>
      <c r="L231" s="3">
        <v>46247</v>
      </c>
    </row>
    <row r="232" spans="1:12" x14ac:dyDescent="0.2">
      <c r="A232" s="1" t="s">
        <v>1222</v>
      </c>
      <c r="B232" s="1" t="s">
        <v>8</v>
      </c>
      <c r="C232" s="1" t="s">
        <v>3378</v>
      </c>
      <c r="E232" s="12" t="s">
        <v>1223</v>
      </c>
      <c r="F232" s="1" t="s">
        <v>43</v>
      </c>
      <c r="I232" s="1" t="s">
        <v>3394</v>
      </c>
      <c r="J232" s="1" t="s">
        <v>3402</v>
      </c>
      <c r="K232" s="1"/>
      <c r="L232" s="3">
        <v>46247</v>
      </c>
    </row>
    <row r="233" spans="1:12" x14ac:dyDescent="0.2">
      <c r="A233" s="1" t="s">
        <v>625</v>
      </c>
      <c r="B233" s="1" t="s">
        <v>8</v>
      </c>
      <c r="C233" s="1" t="s">
        <v>3379</v>
      </c>
      <c r="E233" s="1" t="s">
        <v>626</v>
      </c>
      <c r="F233" s="1" t="s">
        <v>43</v>
      </c>
      <c r="G233" s="1" t="s">
        <v>163</v>
      </c>
      <c r="H233" s="1" t="s">
        <v>163</v>
      </c>
      <c r="I233" s="1" t="s">
        <v>3394</v>
      </c>
      <c r="J233" s="1" t="s">
        <v>3394</v>
      </c>
      <c r="K233" s="3">
        <v>46226</v>
      </c>
      <c r="L233" s="3">
        <v>46247</v>
      </c>
    </row>
    <row r="234" spans="1:12" x14ac:dyDescent="0.2">
      <c r="A234" s="1" t="s">
        <v>1256</v>
      </c>
      <c r="B234" s="1" t="s">
        <v>8</v>
      </c>
      <c r="C234" s="1" t="s">
        <v>3378</v>
      </c>
      <c r="E234" s="1" t="s">
        <v>1257</v>
      </c>
      <c r="F234" s="1" t="s">
        <v>43</v>
      </c>
      <c r="I234" s="1" t="s">
        <v>3393</v>
      </c>
      <c r="J234" s="1" t="s">
        <v>3393</v>
      </c>
      <c r="K234" s="1"/>
      <c r="L234" s="3">
        <v>46247</v>
      </c>
    </row>
    <row r="235" spans="1:12" x14ac:dyDescent="0.2">
      <c r="A235" s="1" t="s">
        <v>1283</v>
      </c>
      <c r="B235" s="1" t="s">
        <v>1266</v>
      </c>
      <c r="C235" s="1" t="s">
        <v>3378</v>
      </c>
      <c r="E235" s="12" t="s">
        <v>1284</v>
      </c>
      <c r="F235" s="1" t="s">
        <v>43</v>
      </c>
      <c r="I235" s="1" t="s">
        <v>3394</v>
      </c>
      <c r="J235" s="1" t="s">
        <v>3402</v>
      </c>
      <c r="K235" s="1"/>
      <c r="L235" s="3">
        <v>46247</v>
      </c>
    </row>
    <row r="236" spans="1:12" x14ac:dyDescent="0.2">
      <c r="A236" s="1" t="s">
        <v>560</v>
      </c>
      <c r="B236" s="1" t="s">
        <v>8</v>
      </c>
      <c r="C236" s="1" t="s">
        <v>3379</v>
      </c>
      <c r="E236" s="1" t="s">
        <v>561</v>
      </c>
      <c r="F236" s="1" t="s">
        <v>43</v>
      </c>
      <c r="I236" s="1" t="s">
        <v>3394</v>
      </c>
      <c r="J236" s="1" t="s">
        <v>3393</v>
      </c>
      <c r="K236" s="1"/>
      <c r="L236" s="3">
        <v>46247</v>
      </c>
    </row>
    <row r="237" spans="1:12" x14ac:dyDescent="0.2">
      <c r="A237" s="1" t="s">
        <v>562</v>
      </c>
      <c r="B237" s="1" t="s">
        <v>8</v>
      </c>
      <c r="C237" s="1" t="s">
        <v>3379</v>
      </c>
      <c r="E237" s="1" t="s">
        <v>563</v>
      </c>
      <c r="F237" s="1" t="s">
        <v>43</v>
      </c>
      <c r="I237" s="1" t="s">
        <v>3394</v>
      </c>
      <c r="J237" s="1" t="s">
        <v>3402</v>
      </c>
      <c r="K237" s="1"/>
      <c r="L237" s="3">
        <v>46247</v>
      </c>
    </row>
    <row r="238" spans="1:12" x14ac:dyDescent="0.2">
      <c r="A238" s="1" t="s">
        <v>564</v>
      </c>
      <c r="B238" s="1" t="s">
        <v>8</v>
      </c>
      <c r="C238" s="1" t="s">
        <v>3379</v>
      </c>
      <c r="E238" s="12" t="s">
        <v>565</v>
      </c>
      <c r="F238" s="1" t="s">
        <v>43</v>
      </c>
      <c r="I238" s="1" t="s">
        <v>3394</v>
      </c>
      <c r="J238" s="1" t="s">
        <v>3402</v>
      </c>
      <c r="K238" s="1"/>
      <c r="L238" s="3">
        <v>46247</v>
      </c>
    </row>
    <row r="239" spans="1:12" x14ac:dyDescent="0.2">
      <c r="A239" s="1" t="s">
        <v>572</v>
      </c>
      <c r="B239" s="1" t="s">
        <v>8</v>
      </c>
      <c r="C239" s="1" t="s">
        <v>3379</v>
      </c>
      <c r="E239" s="12" t="s">
        <v>573</v>
      </c>
      <c r="F239" s="1" t="s">
        <v>43</v>
      </c>
      <c r="I239" s="1" t="s">
        <v>3394</v>
      </c>
      <c r="J239" s="1" t="s">
        <v>3402</v>
      </c>
      <c r="K239" s="1"/>
      <c r="L239" s="3">
        <v>46247</v>
      </c>
    </row>
    <row r="240" spans="1:12" x14ac:dyDescent="0.2">
      <c r="A240" s="1" t="s">
        <v>574</v>
      </c>
      <c r="B240" s="1" t="s">
        <v>8</v>
      </c>
      <c r="C240" s="1" t="s">
        <v>3379</v>
      </c>
      <c r="E240" s="12" t="s">
        <v>575</v>
      </c>
      <c r="F240" s="1" t="s">
        <v>43</v>
      </c>
      <c r="I240" s="1" t="s">
        <v>3394</v>
      </c>
      <c r="J240" s="1" t="s">
        <v>3402</v>
      </c>
      <c r="K240" s="1"/>
      <c r="L240" s="3">
        <v>46247</v>
      </c>
    </row>
    <row r="241" spans="1:12" x14ac:dyDescent="0.2">
      <c r="A241" s="1" t="s">
        <v>576</v>
      </c>
      <c r="B241" s="1" t="s">
        <v>8</v>
      </c>
      <c r="C241" s="1" t="s">
        <v>3379</v>
      </c>
      <c r="E241" s="12" t="s">
        <v>577</v>
      </c>
      <c r="F241" s="1" t="s">
        <v>43</v>
      </c>
      <c r="I241" s="1" t="s">
        <v>3394</v>
      </c>
      <c r="J241" s="1" t="s">
        <v>3402</v>
      </c>
      <c r="K241" s="1"/>
      <c r="L241" s="3">
        <v>46247</v>
      </c>
    </row>
    <row r="242" spans="1:12" x14ac:dyDescent="0.2">
      <c r="A242" s="1" t="s">
        <v>1200</v>
      </c>
      <c r="B242" s="1" t="s">
        <v>8</v>
      </c>
      <c r="C242" s="1" t="s">
        <v>3379</v>
      </c>
      <c r="E242" s="1" t="s">
        <v>1201</v>
      </c>
      <c r="F242" s="1" t="s">
        <v>43</v>
      </c>
      <c r="I242" s="1" t="s">
        <v>3393</v>
      </c>
      <c r="J242" s="1" t="s">
        <v>3393</v>
      </c>
      <c r="K242" s="1"/>
      <c r="L242" s="3">
        <v>46247</v>
      </c>
    </row>
    <row r="243" spans="1:12" x14ac:dyDescent="0.2">
      <c r="A243" s="1" t="s">
        <v>1258</v>
      </c>
      <c r="B243" s="1" t="s">
        <v>8</v>
      </c>
      <c r="C243" s="1" t="s">
        <v>3379</v>
      </c>
      <c r="E243" s="1" t="s">
        <v>1259</v>
      </c>
      <c r="F243" s="1" t="s">
        <v>43</v>
      </c>
      <c r="I243" s="1" t="s">
        <v>3393</v>
      </c>
      <c r="J243" s="1" t="s">
        <v>3393</v>
      </c>
      <c r="K243" s="1"/>
      <c r="L243" s="3">
        <v>46247</v>
      </c>
    </row>
    <row r="244" spans="1:12" x14ac:dyDescent="0.2">
      <c r="A244" s="1" t="s">
        <v>752</v>
      </c>
      <c r="B244" s="1" t="s">
        <v>8</v>
      </c>
      <c r="C244" s="1" t="s">
        <v>3378</v>
      </c>
      <c r="E244" s="18" t="s">
        <v>753</v>
      </c>
      <c r="F244" s="1" t="s">
        <v>216</v>
      </c>
      <c r="I244" s="1" t="s">
        <v>3394</v>
      </c>
      <c r="J244" s="1" t="s">
        <v>3394</v>
      </c>
      <c r="K244" s="3">
        <v>46237</v>
      </c>
      <c r="L244" s="3">
        <v>46247</v>
      </c>
    </row>
    <row r="245" spans="1:12" x14ac:dyDescent="0.2">
      <c r="A245" s="1" t="s">
        <v>616</v>
      </c>
      <c r="B245" s="1" t="s">
        <v>8</v>
      </c>
      <c r="C245" s="1" t="s">
        <v>3376</v>
      </c>
      <c r="E245" s="1" t="s">
        <v>617</v>
      </c>
      <c r="F245" s="1" t="s">
        <v>397</v>
      </c>
      <c r="I245" s="1" t="s">
        <v>3394</v>
      </c>
      <c r="J245" s="1" t="s">
        <v>3393</v>
      </c>
      <c r="K245" s="1"/>
      <c r="L245" s="3">
        <v>46247</v>
      </c>
    </row>
    <row r="246" spans="1:12" x14ac:dyDescent="0.2">
      <c r="A246" s="1" t="s">
        <v>618</v>
      </c>
      <c r="B246" s="1" t="s">
        <v>8</v>
      </c>
      <c r="C246" s="1" t="s">
        <v>3376</v>
      </c>
      <c r="E246" s="1" t="s">
        <v>619</v>
      </c>
      <c r="F246" s="1" t="s">
        <v>397</v>
      </c>
      <c r="I246" s="1" t="s">
        <v>3393</v>
      </c>
      <c r="J246" s="1" t="s">
        <v>3393</v>
      </c>
      <c r="K246" s="1"/>
      <c r="L246" s="3">
        <v>46247</v>
      </c>
    </row>
    <row r="247" spans="1:12" x14ac:dyDescent="0.2">
      <c r="A247" s="1" t="s">
        <v>2971</v>
      </c>
      <c r="B247" s="1" t="s">
        <v>290</v>
      </c>
      <c r="C247" s="1" t="s">
        <v>3376</v>
      </c>
      <c r="D247" s="1" t="s">
        <v>2972</v>
      </c>
      <c r="E247" s="1" t="s">
        <v>2973</v>
      </c>
      <c r="F247" s="1" t="s">
        <v>291</v>
      </c>
      <c r="I247" s="1" t="s">
        <v>3394</v>
      </c>
      <c r="J247" s="1" t="s">
        <v>3393</v>
      </c>
      <c r="K247" s="1"/>
      <c r="L247" s="3">
        <v>46247</v>
      </c>
    </row>
    <row r="248" spans="1:12" x14ac:dyDescent="0.2">
      <c r="A248" s="1" t="s">
        <v>2962</v>
      </c>
      <c r="B248" s="1" t="s">
        <v>290</v>
      </c>
      <c r="C248" s="1" t="s">
        <v>3378</v>
      </c>
      <c r="D248" s="1" t="s">
        <v>2963</v>
      </c>
      <c r="E248" s="1" t="s">
        <v>2964</v>
      </c>
      <c r="F248" s="1" t="s">
        <v>291</v>
      </c>
      <c r="I248" s="1" t="s">
        <v>3394</v>
      </c>
      <c r="J248" s="1" t="s">
        <v>3393</v>
      </c>
      <c r="K248" s="1"/>
      <c r="L248" s="3">
        <v>46247</v>
      </c>
    </row>
    <row r="249" spans="1:12" x14ac:dyDescent="0.2">
      <c r="A249" s="1" t="s">
        <v>1113</v>
      </c>
      <c r="B249" s="1" t="s">
        <v>41</v>
      </c>
      <c r="C249" s="1" t="s">
        <v>3377</v>
      </c>
      <c r="E249" s="1" t="s">
        <v>1114</v>
      </c>
      <c r="F249" s="1" t="s">
        <v>43</v>
      </c>
      <c r="G249" s="1" t="s">
        <v>163</v>
      </c>
      <c r="H249" s="1" t="s">
        <v>163</v>
      </c>
      <c r="I249" s="1" t="s">
        <v>3394</v>
      </c>
      <c r="J249" s="1" t="s">
        <v>3394</v>
      </c>
      <c r="K249" s="3">
        <v>46224</v>
      </c>
      <c r="L249" s="3">
        <v>46247</v>
      </c>
    </row>
  </sheetData>
  <pageMargins left="3.937007874015748E-2" right="3.937007874015748E-2" top="0.19685039370078741" bottom="0.19685039370078741" header="0.31496062992125984" footer="0.31496062992125984"/>
  <pageSetup paperSize="9" scale="56" fitToHeight="0" orientation="landscape" r:id="rId1"/>
  <rowBreaks count="1" manualBreakCount="1">
    <brk id="196" max="11"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A92F-4359-4296-8F3C-BA06E82E9F89}">
  <sheetPr>
    <pageSetUpPr fitToPage="1"/>
  </sheetPr>
  <dimension ref="A1:L338"/>
  <sheetViews>
    <sheetView topLeftCell="A219" zoomScaleNormal="100" workbookViewId="0">
      <selection activeCell="A274" sqref="A274"/>
    </sheetView>
  </sheetViews>
  <sheetFormatPr baseColWidth="10" defaultColWidth="8.83203125" defaultRowHeight="15" outlineLevelCol="1" x14ac:dyDescent="0.2"/>
  <cols>
    <col min="1" max="1" width="9.5" style="1" customWidth="1"/>
    <col min="2" max="3" width="8.83203125" style="1"/>
    <col min="4" max="4" width="19.5" style="1" customWidth="1"/>
    <col min="5" max="5" width="86.5" style="1" customWidth="1"/>
    <col min="6" max="6" width="17" style="1" customWidth="1"/>
    <col min="7" max="7" width="17.1640625" style="1" customWidth="1" outlineLevel="1"/>
    <col min="8" max="8" width="16.6640625" style="1" customWidth="1" outlineLevel="1"/>
    <col min="9" max="9" width="17.6640625" style="1" customWidth="1"/>
    <col min="10" max="10" width="12.83203125" style="1" customWidth="1"/>
    <col min="11" max="11" width="20" style="1" customWidth="1" outlineLevel="1"/>
    <col min="12" max="12" width="24.83203125" style="1" customWidth="1" outlineLevel="1"/>
    <col min="13" max="16384" width="8.83203125" style="1"/>
  </cols>
  <sheetData>
    <row r="1" spans="1:12" x14ac:dyDescent="0.2">
      <c r="A1" s="2" t="s">
        <v>0</v>
      </c>
      <c r="B1" s="2" t="s">
        <v>1</v>
      </c>
      <c r="C1" s="2" t="s">
        <v>3374</v>
      </c>
      <c r="D1" s="2" t="s">
        <v>5</v>
      </c>
      <c r="E1" s="2" t="s">
        <v>2</v>
      </c>
      <c r="F1" s="2" t="s">
        <v>4</v>
      </c>
      <c r="G1" s="2" t="s">
        <v>3</v>
      </c>
      <c r="H1" s="2" t="s">
        <v>6</v>
      </c>
      <c r="I1" s="2" t="s">
        <v>3371</v>
      </c>
      <c r="J1" s="2" t="s">
        <v>3370</v>
      </c>
      <c r="K1" s="2" t="s">
        <v>3373</v>
      </c>
      <c r="L1" s="2" t="s">
        <v>3372</v>
      </c>
    </row>
    <row r="2" spans="1:12" x14ac:dyDescent="0.2">
      <c r="A2" s="1" t="s">
        <v>1406</v>
      </c>
      <c r="B2" s="1" t="s">
        <v>8</v>
      </c>
      <c r="C2" s="1" t="s">
        <v>3380</v>
      </c>
      <c r="D2" s="1" t="s">
        <v>1407</v>
      </c>
      <c r="E2" s="1" t="s">
        <v>1408</v>
      </c>
      <c r="F2" s="1" t="s">
        <v>1289</v>
      </c>
      <c r="I2" s="1" t="s">
        <v>3393</v>
      </c>
      <c r="J2" s="1" t="s">
        <v>3393</v>
      </c>
      <c r="L2" s="3">
        <v>46233</v>
      </c>
    </row>
    <row r="3" spans="1:12" x14ac:dyDescent="0.2">
      <c r="A3" s="1" t="s">
        <v>1416</v>
      </c>
      <c r="B3" s="1" t="s">
        <v>8</v>
      </c>
      <c r="C3" s="1" t="s">
        <v>3380</v>
      </c>
      <c r="D3" s="1" t="s">
        <v>1417</v>
      </c>
      <c r="E3" s="1" t="s">
        <v>1418</v>
      </c>
      <c r="F3" s="1" t="s">
        <v>1289</v>
      </c>
      <c r="I3" s="1" t="s">
        <v>3394</v>
      </c>
      <c r="J3" s="1" t="s">
        <v>3393</v>
      </c>
      <c r="L3" s="3">
        <v>46233</v>
      </c>
    </row>
    <row r="4" spans="1:12" x14ac:dyDescent="0.2">
      <c r="A4" s="1" t="s">
        <v>1425</v>
      </c>
      <c r="B4" s="1" t="s">
        <v>8</v>
      </c>
      <c r="C4" s="1" t="s">
        <v>3380</v>
      </c>
      <c r="D4" s="1" t="s">
        <v>1426</v>
      </c>
      <c r="E4" s="1" t="s">
        <v>1427</v>
      </c>
      <c r="F4" s="1" t="s">
        <v>1289</v>
      </c>
      <c r="I4" s="1" t="s">
        <v>3394</v>
      </c>
      <c r="J4" s="1" t="s">
        <v>3402</v>
      </c>
      <c r="L4" s="3">
        <v>46233</v>
      </c>
    </row>
    <row r="5" spans="1:12" ht="16" x14ac:dyDescent="0.2">
      <c r="A5" s="1" t="s">
        <v>1479</v>
      </c>
      <c r="B5" s="1" t="s">
        <v>41</v>
      </c>
      <c r="C5" s="1" t="s">
        <v>3380</v>
      </c>
      <c r="D5" s="1" t="s">
        <v>1480</v>
      </c>
      <c r="E5" s="11" t="s">
        <v>1481</v>
      </c>
      <c r="F5" s="1" t="s">
        <v>1289</v>
      </c>
      <c r="I5" s="121" t="s">
        <v>3394</v>
      </c>
      <c r="J5" s="121" t="s">
        <v>3394</v>
      </c>
      <c r="K5" s="3">
        <v>46294</v>
      </c>
      <c r="L5" s="3">
        <v>46233</v>
      </c>
    </row>
    <row r="6" spans="1:12" x14ac:dyDescent="0.2">
      <c r="A6" s="1" t="s">
        <v>1393</v>
      </c>
      <c r="B6" s="1" t="s">
        <v>1266</v>
      </c>
      <c r="C6" s="1" t="s">
        <v>3380</v>
      </c>
      <c r="D6" s="1" t="s">
        <v>1394</v>
      </c>
      <c r="E6" s="12" t="s">
        <v>1395</v>
      </c>
      <c r="F6" s="1" t="s">
        <v>1290</v>
      </c>
      <c r="G6" s="1" t="s">
        <v>163</v>
      </c>
      <c r="H6" s="1" t="s">
        <v>163</v>
      </c>
      <c r="I6" s="1" t="s">
        <v>3394</v>
      </c>
      <c r="J6" s="1" t="s">
        <v>3394</v>
      </c>
      <c r="K6" s="1" t="s">
        <v>1280</v>
      </c>
      <c r="L6" s="3">
        <v>46233</v>
      </c>
    </row>
    <row r="7" spans="1:12" x14ac:dyDescent="0.2">
      <c r="A7" s="1" t="s">
        <v>1508</v>
      </c>
      <c r="B7" s="1" t="s">
        <v>1440</v>
      </c>
      <c r="C7" s="1" t="s">
        <v>3380</v>
      </c>
      <c r="D7" s="1" t="s">
        <v>1509</v>
      </c>
      <c r="E7" s="1" t="s">
        <v>1510</v>
      </c>
      <c r="F7" s="1" t="s">
        <v>1289</v>
      </c>
      <c r="I7" s="1" t="s">
        <v>3394</v>
      </c>
      <c r="J7" s="1" t="s">
        <v>3402</v>
      </c>
      <c r="L7" s="3">
        <v>46233</v>
      </c>
    </row>
    <row r="8" spans="1:12" x14ac:dyDescent="0.2">
      <c r="A8" s="1" t="s">
        <v>1409</v>
      </c>
      <c r="B8" s="1" t="s">
        <v>1266</v>
      </c>
      <c r="C8" s="1" t="s">
        <v>3380</v>
      </c>
      <c r="D8" s="1" t="s">
        <v>1410</v>
      </c>
      <c r="E8" s="1" t="s">
        <v>1411</v>
      </c>
      <c r="F8" s="1" t="s">
        <v>1289</v>
      </c>
      <c r="G8" s="1" t="s">
        <v>1412</v>
      </c>
      <c r="I8" s="1" t="s">
        <v>3394</v>
      </c>
      <c r="J8" s="1" t="s">
        <v>3394</v>
      </c>
      <c r="L8" s="3">
        <v>46233</v>
      </c>
    </row>
    <row r="9" spans="1:12" x14ac:dyDescent="0.2">
      <c r="A9" s="1" t="s">
        <v>1413</v>
      </c>
      <c r="B9" s="1" t="s">
        <v>8</v>
      </c>
      <c r="C9" s="1" t="s">
        <v>3380</v>
      </c>
      <c r="D9" s="1" t="s">
        <v>1414</v>
      </c>
      <c r="E9" s="12" t="s">
        <v>1415</v>
      </c>
      <c r="F9" s="1" t="s">
        <v>1293</v>
      </c>
      <c r="G9" s="1" t="s">
        <v>163</v>
      </c>
      <c r="H9" s="1" t="s">
        <v>163</v>
      </c>
      <c r="I9" s="1" t="s">
        <v>3394</v>
      </c>
      <c r="J9" s="1" t="s">
        <v>3394</v>
      </c>
      <c r="K9" s="1" t="s">
        <v>1292</v>
      </c>
      <c r="L9" s="3">
        <v>46233</v>
      </c>
    </row>
    <row r="10" spans="1:12" x14ac:dyDescent="0.2">
      <c r="A10" s="1" t="s">
        <v>1521</v>
      </c>
      <c r="B10" s="1" t="s">
        <v>41</v>
      </c>
      <c r="C10" s="1" t="s">
        <v>3380</v>
      </c>
      <c r="D10" s="1" t="s">
        <v>1522</v>
      </c>
      <c r="E10" s="1" t="s">
        <v>1523</v>
      </c>
      <c r="F10" s="1" t="s">
        <v>1289</v>
      </c>
      <c r="I10" s="1" t="s">
        <v>3394</v>
      </c>
      <c r="J10" s="1" t="s">
        <v>3402</v>
      </c>
      <c r="L10" s="3">
        <v>46233</v>
      </c>
    </row>
    <row r="11" spans="1:12" x14ac:dyDescent="0.2">
      <c r="A11" s="1" t="s">
        <v>1419</v>
      </c>
      <c r="B11" s="1" t="s">
        <v>8</v>
      </c>
      <c r="C11" s="1" t="s">
        <v>3380</v>
      </c>
      <c r="D11" s="1" t="s">
        <v>1420</v>
      </c>
      <c r="E11" s="1" t="s">
        <v>1421</v>
      </c>
      <c r="F11" s="1" t="s">
        <v>1293</v>
      </c>
      <c r="G11" s="1" t="s">
        <v>73</v>
      </c>
      <c r="H11" s="1" t="s">
        <v>73</v>
      </c>
      <c r="I11" s="1" t="s">
        <v>3394</v>
      </c>
      <c r="J11" s="1" t="s">
        <v>3394</v>
      </c>
      <c r="K11" s="1" t="s">
        <v>1279</v>
      </c>
      <c r="L11" s="3">
        <v>46233</v>
      </c>
    </row>
    <row r="12" spans="1:12" x14ac:dyDescent="0.2">
      <c r="A12" s="1" t="s">
        <v>1422</v>
      </c>
      <c r="B12" s="1" t="s">
        <v>8</v>
      </c>
      <c r="C12" s="1" t="s">
        <v>3380</v>
      </c>
      <c r="D12" s="1" t="s">
        <v>1423</v>
      </c>
      <c r="E12" s="1" t="s">
        <v>1424</v>
      </c>
      <c r="F12" s="1" t="s">
        <v>1293</v>
      </c>
      <c r="G12" s="1" t="s">
        <v>163</v>
      </c>
      <c r="H12" s="1" t="s">
        <v>163</v>
      </c>
      <c r="I12" s="1" t="s">
        <v>3394</v>
      </c>
      <c r="J12" s="1" t="s">
        <v>3394</v>
      </c>
      <c r="K12" s="1" t="s">
        <v>1292</v>
      </c>
      <c r="L12" s="3">
        <v>46233</v>
      </c>
    </row>
    <row r="13" spans="1:12" x14ac:dyDescent="0.2">
      <c r="A13" s="1" t="s">
        <v>1527</v>
      </c>
      <c r="B13" s="1" t="s">
        <v>41</v>
      </c>
      <c r="C13" s="1" t="s">
        <v>3380</v>
      </c>
      <c r="D13" s="1" t="s">
        <v>1528</v>
      </c>
      <c r="E13" s="1" t="s">
        <v>1529</v>
      </c>
      <c r="F13" s="1" t="s">
        <v>1289</v>
      </c>
      <c r="I13" s="1" t="s">
        <v>3393</v>
      </c>
      <c r="J13" s="1" t="s">
        <v>3402</v>
      </c>
      <c r="L13" s="3">
        <v>46233</v>
      </c>
    </row>
    <row r="14" spans="1:12" x14ac:dyDescent="0.2">
      <c r="A14" s="1" t="s">
        <v>1530</v>
      </c>
      <c r="B14" s="1" t="s">
        <v>1432</v>
      </c>
      <c r="C14" s="1" t="s">
        <v>3380</v>
      </c>
      <c r="D14" s="1" t="s">
        <v>1531</v>
      </c>
      <c r="E14" s="1" t="s">
        <v>1487</v>
      </c>
      <c r="F14" s="1" t="s">
        <v>1289</v>
      </c>
      <c r="I14" s="121" t="s">
        <v>3394</v>
      </c>
      <c r="J14" s="121" t="s">
        <v>3394</v>
      </c>
      <c r="L14" s="3">
        <v>46233</v>
      </c>
    </row>
    <row r="15" spans="1:12" x14ac:dyDescent="0.2">
      <c r="A15" s="1" t="s">
        <v>1431</v>
      </c>
      <c r="B15" s="1" t="s">
        <v>1432</v>
      </c>
      <c r="C15" s="1" t="s">
        <v>3380</v>
      </c>
      <c r="D15" s="1" t="s">
        <v>1433</v>
      </c>
      <c r="E15" s="18" t="s">
        <v>1434</v>
      </c>
      <c r="F15" s="1" t="s">
        <v>1290</v>
      </c>
      <c r="G15" s="1" t="s">
        <v>163</v>
      </c>
      <c r="H15" s="1" t="s">
        <v>163</v>
      </c>
      <c r="I15" s="1" t="s">
        <v>3394</v>
      </c>
      <c r="J15" s="1" t="s">
        <v>3394</v>
      </c>
      <c r="K15" s="1" t="s">
        <v>1280</v>
      </c>
      <c r="L15" s="3">
        <v>46233</v>
      </c>
    </row>
    <row r="16" spans="1:12" x14ac:dyDescent="0.2">
      <c r="A16" s="1" t="s">
        <v>1435</v>
      </c>
      <c r="B16" s="1" t="s">
        <v>1432</v>
      </c>
      <c r="C16" s="1" t="s">
        <v>3380</v>
      </c>
      <c r="D16" s="1" t="s">
        <v>1436</v>
      </c>
      <c r="E16" s="1" t="s">
        <v>1437</v>
      </c>
      <c r="F16" s="1" t="s">
        <v>1290</v>
      </c>
      <c r="G16" s="1" t="s">
        <v>163</v>
      </c>
      <c r="H16" s="1" t="s">
        <v>163</v>
      </c>
      <c r="I16" s="1" t="s">
        <v>3394</v>
      </c>
      <c r="J16" s="1" t="s">
        <v>3394</v>
      </c>
      <c r="K16" s="1" t="s">
        <v>1280</v>
      </c>
      <c r="L16" s="3">
        <v>46233</v>
      </c>
    </row>
    <row r="17" spans="1:12" x14ac:dyDescent="0.2">
      <c r="A17" s="1" t="s">
        <v>1466</v>
      </c>
      <c r="B17" s="1" t="s">
        <v>1266</v>
      </c>
      <c r="C17" s="1" t="s">
        <v>3380</v>
      </c>
      <c r="D17" s="1" t="s">
        <v>1467</v>
      </c>
      <c r="E17" s="1" t="s">
        <v>1468</v>
      </c>
      <c r="F17" s="1" t="s">
        <v>1289</v>
      </c>
      <c r="G17" s="1" t="s">
        <v>1468</v>
      </c>
      <c r="I17" s="1" t="s">
        <v>3394</v>
      </c>
      <c r="J17" s="1" t="s">
        <v>3394</v>
      </c>
      <c r="K17" s="3">
        <v>46294</v>
      </c>
      <c r="L17" s="3">
        <v>46233</v>
      </c>
    </row>
    <row r="18" spans="1:12" x14ac:dyDescent="0.2">
      <c r="A18" s="1" t="s">
        <v>1533</v>
      </c>
      <c r="B18" s="1" t="s">
        <v>41</v>
      </c>
      <c r="C18" s="1" t="s">
        <v>3380</v>
      </c>
      <c r="D18" s="1" t="s">
        <v>1534</v>
      </c>
      <c r="E18" s="1" t="s">
        <v>1535</v>
      </c>
      <c r="F18" s="1" t="s">
        <v>1289</v>
      </c>
      <c r="I18" s="1" t="s">
        <v>3393</v>
      </c>
      <c r="J18" s="1" t="s">
        <v>3402</v>
      </c>
      <c r="L18" s="3">
        <v>46233</v>
      </c>
    </row>
    <row r="19" spans="1:12" x14ac:dyDescent="0.2">
      <c r="A19" s="1" t="s">
        <v>1551</v>
      </c>
      <c r="B19" s="1" t="s">
        <v>41</v>
      </c>
      <c r="C19" s="1" t="s">
        <v>3380</v>
      </c>
      <c r="D19" s="1" t="s">
        <v>1552</v>
      </c>
      <c r="E19" s="1" t="s">
        <v>1553</v>
      </c>
      <c r="F19" s="1" t="s">
        <v>1289</v>
      </c>
      <c r="I19" s="1" t="s">
        <v>3393</v>
      </c>
      <c r="J19" s="1" t="s">
        <v>3402</v>
      </c>
      <c r="L19" s="3">
        <v>46233</v>
      </c>
    </row>
    <row r="20" spans="1:12" x14ac:dyDescent="0.2">
      <c r="A20" s="1" t="s">
        <v>1485</v>
      </c>
      <c r="B20" s="1" t="s">
        <v>1291</v>
      </c>
      <c r="C20" s="1" t="s">
        <v>3380</v>
      </c>
      <c r="D20" s="1" t="s">
        <v>1486</v>
      </c>
      <c r="E20" s="1" t="s">
        <v>1487</v>
      </c>
      <c r="F20" s="1" t="s">
        <v>1289</v>
      </c>
      <c r="G20" s="1" t="s">
        <v>294</v>
      </c>
      <c r="H20" s="1" t="s">
        <v>294</v>
      </c>
      <c r="I20" s="1" t="s">
        <v>3394</v>
      </c>
      <c r="J20" s="1" t="s">
        <v>3394</v>
      </c>
      <c r="K20" s="1" t="s">
        <v>293</v>
      </c>
      <c r="L20" s="3">
        <v>46233</v>
      </c>
    </row>
    <row r="21" spans="1:12" x14ac:dyDescent="0.2">
      <c r="A21" s="1" t="s">
        <v>1554</v>
      </c>
      <c r="B21" s="1" t="s">
        <v>8</v>
      </c>
      <c r="C21" s="1" t="s">
        <v>3380</v>
      </c>
      <c r="D21" s="1" t="s">
        <v>1555</v>
      </c>
      <c r="E21" s="1" t="s">
        <v>1556</v>
      </c>
      <c r="F21" s="1" t="s">
        <v>1289</v>
      </c>
      <c r="I21" s="1" t="s">
        <v>3393</v>
      </c>
      <c r="J21" s="1" t="s">
        <v>3402</v>
      </c>
      <c r="L21" s="3">
        <v>46233</v>
      </c>
    </row>
    <row r="22" spans="1:12" x14ac:dyDescent="0.2">
      <c r="A22" s="1" t="s">
        <v>1614</v>
      </c>
      <c r="B22" s="1" t="s">
        <v>1314</v>
      </c>
      <c r="C22" s="1" t="s">
        <v>3381</v>
      </c>
      <c r="D22" s="1" t="s">
        <v>1615</v>
      </c>
      <c r="E22" s="1" t="s">
        <v>683</v>
      </c>
      <c r="F22" s="1" t="s">
        <v>1289</v>
      </c>
      <c r="I22" s="1" t="s">
        <v>3394</v>
      </c>
      <c r="J22" s="1" t="s">
        <v>3402</v>
      </c>
      <c r="L22" s="3">
        <v>46233</v>
      </c>
    </row>
    <row r="23" spans="1:12" x14ac:dyDescent="0.2">
      <c r="A23" s="1" t="s">
        <v>1494</v>
      </c>
      <c r="B23" s="1" t="s">
        <v>1432</v>
      </c>
      <c r="C23" s="1" t="s">
        <v>3380</v>
      </c>
      <c r="D23" s="1" t="s">
        <v>1495</v>
      </c>
      <c r="E23" s="1" t="s">
        <v>1496</v>
      </c>
      <c r="F23" s="1" t="s">
        <v>1290</v>
      </c>
      <c r="G23" s="1" t="s">
        <v>1497</v>
      </c>
      <c r="H23" s="1" t="s">
        <v>73</v>
      </c>
      <c r="I23" s="1" t="s">
        <v>3394</v>
      </c>
      <c r="J23" s="1" t="s">
        <v>3394</v>
      </c>
      <c r="K23" s="1" t="s">
        <v>45</v>
      </c>
      <c r="L23" s="3">
        <v>46233</v>
      </c>
    </row>
    <row r="24" spans="1:12" ht="16" x14ac:dyDescent="0.2">
      <c r="A24" s="1" t="s">
        <v>1714</v>
      </c>
      <c r="B24" s="1" t="s">
        <v>41</v>
      </c>
      <c r="C24" s="1" t="s">
        <v>3381</v>
      </c>
      <c r="D24" s="1" t="s">
        <v>1715</v>
      </c>
      <c r="E24" s="11" t="s">
        <v>1716</v>
      </c>
      <c r="F24" s="1" t="s">
        <v>1289</v>
      </c>
      <c r="I24" s="121" t="s">
        <v>3394</v>
      </c>
      <c r="J24" s="121" t="s">
        <v>3394</v>
      </c>
      <c r="K24" s="3">
        <v>46294</v>
      </c>
      <c r="L24" s="3">
        <v>46233</v>
      </c>
    </row>
    <row r="25" spans="1:12" x14ac:dyDescent="0.2">
      <c r="A25" s="1" t="s">
        <v>1502</v>
      </c>
      <c r="B25" s="1" t="s">
        <v>8</v>
      </c>
      <c r="C25" s="1" t="s">
        <v>3380</v>
      </c>
      <c r="D25" s="1" t="s">
        <v>1503</v>
      </c>
      <c r="E25" s="1" t="s">
        <v>1504</v>
      </c>
      <c r="F25" s="1" t="s">
        <v>1290</v>
      </c>
      <c r="G25" s="1" t="s">
        <v>163</v>
      </c>
      <c r="H25" s="1" t="s">
        <v>163</v>
      </c>
      <c r="I25" s="1" t="s">
        <v>3394</v>
      </c>
      <c r="J25" s="1" t="s">
        <v>3394</v>
      </c>
      <c r="K25" s="1" t="s">
        <v>1280</v>
      </c>
      <c r="L25" s="3">
        <v>46233</v>
      </c>
    </row>
    <row r="26" spans="1:12" x14ac:dyDescent="0.2">
      <c r="A26" s="1" t="s">
        <v>1717</v>
      </c>
      <c r="B26" s="1" t="s">
        <v>41</v>
      </c>
      <c r="C26" s="1" t="s">
        <v>3381</v>
      </c>
      <c r="D26" s="1" t="s">
        <v>1718</v>
      </c>
      <c r="E26" s="17" t="s">
        <v>1719</v>
      </c>
      <c r="F26" s="1" t="s">
        <v>1289</v>
      </c>
      <c r="I26" s="1" t="s">
        <v>3394</v>
      </c>
      <c r="J26" s="1" t="s">
        <v>3402</v>
      </c>
      <c r="L26" s="3">
        <v>46233</v>
      </c>
    </row>
    <row r="27" spans="1:12" x14ac:dyDescent="0.2">
      <c r="A27" s="1" t="s">
        <v>1757</v>
      </c>
      <c r="B27" s="1" t="s">
        <v>1314</v>
      </c>
      <c r="C27" s="1" t="s">
        <v>3381</v>
      </c>
      <c r="D27" s="1" t="s">
        <v>1758</v>
      </c>
      <c r="E27" s="1" t="s">
        <v>1759</v>
      </c>
      <c r="F27" s="1" t="s">
        <v>1289</v>
      </c>
      <c r="I27" s="1" t="s">
        <v>3394</v>
      </c>
      <c r="J27" s="1" t="s">
        <v>3402</v>
      </c>
      <c r="L27" s="3">
        <v>46233</v>
      </c>
    </row>
    <row r="28" spans="1:12" x14ac:dyDescent="0.2">
      <c r="A28" s="1" t="s">
        <v>1511</v>
      </c>
      <c r="B28" s="1" t="s">
        <v>1432</v>
      </c>
      <c r="C28" s="1" t="s">
        <v>3380</v>
      </c>
      <c r="D28" s="1" t="s">
        <v>1512</v>
      </c>
      <c r="E28" s="1" t="s">
        <v>1513</v>
      </c>
      <c r="F28" s="1" t="s">
        <v>1289</v>
      </c>
      <c r="G28" s="1" t="s">
        <v>1514</v>
      </c>
      <c r="I28" s="1" t="s">
        <v>3394</v>
      </c>
      <c r="J28" s="1" t="s">
        <v>3394</v>
      </c>
      <c r="L28" s="3">
        <v>46233</v>
      </c>
    </row>
    <row r="29" spans="1:12" x14ac:dyDescent="0.2">
      <c r="A29" s="1" t="s">
        <v>1515</v>
      </c>
      <c r="B29" s="1" t="s">
        <v>8</v>
      </c>
      <c r="C29" s="1" t="s">
        <v>3380</v>
      </c>
      <c r="D29" s="1" t="s">
        <v>1516</v>
      </c>
      <c r="E29" s="12" t="s">
        <v>1517</v>
      </c>
      <c r="F29" s="1" t="s">
        <v>1289</v>
      </c>
      <c r="G29" s="1" t="s">
        <v>1519</v>
      </c>
      <c r="H29" s="1" t="s">
        <v>1520</v>
      </c>
      <c r="I29" s="1" t="s">
        <v>3394</v>
      </c>
      <c r="J29" s="1" t="s">
        <v>3394</v>
      </c>
      <c r="K29" s="1" t="s">
        <v>1292</v>
      </c>
      <c r="L29" s="3">
        <v>46233</v>
      </c>
    </row>
    <row r="30" spans="1:12" x14ac:dyDescent="0.2">
      <c r="A30" s="1" t="s">
        <v>1939</v>
      </c>
      <c r="B30" s="1" t="s">
        <v>1291</v>
      </c>
      <c r="C30" s="1" t="s">
        <v>3381</v>
      </c>
      <c r="D30" s="1" t="s">
        <v>1940</v>
      </c>
      <c r="E30" s="12" t="s">
        <v>1941</v>
      </c>
      <c r="F30" s="1" t="s">
        <v>1289</v>
      </c>
      <c r="I30" s="1" t="s">
        <v>3393</v>
      </c>
      <c r="J30" s="1" t="s">
        <v>3402</v>
      </c>
      <c r="L30" s="3">
        <v>46233</v>
      </c>
    </row>
    <row r="31" spans="1:12" x14ac:dyDescent="0.2">
      <c r="A31" s="1" t="s">
        <v>1524</v>
      </c>
      <c r="B31" s="1" t="s">
        <v>8</v>
      </c>
      <c r="C31" s="1" t="s">
        <v>3380</v>
      </c>
      <c r="D31" s="1" t="s">
        <v>1525</v>
      </c>
      <c r="E31" s="1" t="s">
        <v>1526</v>
      </c>
      <c r="F31" s="1" t="s">
        <v>1293</v>
      </c>
      <c r="G31" s="1" t="s">
        <v>163</v>
      </c>
      <c r="H31" s="1" t="s">
        <v>163</v>
      </c>
      <c r="I31" s="1" t="s">
        <v>3394</v>
      </c>
      <c r="J31" s="1" t="s">
        <v>3394</v>
      </c>
      <c r="K31" s="1" t="s">
        <v>1292</v>
      </c>
      <c r="L31" s="3">
        <v>46233</v>
      </c>
    </row>
    <row r="32" spans="1:12" x14ac:dyDescent="0.2">
      <c r="A32" s="1" t="s">
        <v>1983</v>
      </c>
      <c r="B32" s="1" t="s">
        <v>290</v>
      </c>
      <c r="C32" s="1" t="s">
        <v>3381</v>
      </c>
      <c r="D32" s="1" t="s">
        <v>1984</v>
      </c>
      <c r="E32" s="1" t="s">
        <v>1532</v>
      </c>
      <c r="F32" s="1" t="s">
        <v>1289</v>
      </c>
      <c r="I32" s="1" t="s">
        <v>3393</v>
      </c>
      <c r="J32" s="1" t="s">
        <v>3393</v>
      </c>
      <c r="L32" s="3">
        <v>46233</v>
      </c>
    </row>
    <row r="33" spans="1:12" x14ac:dyDescent="0.2">
      <c r="A33" s="1" t="s">
        <v>2027</v>
      </c>
      <c r="B33" s="1" t="s">
        <v>1291</v>
      </c>
      <c r="C33" s="1" t="s">
        <v>3381</v>
      </c>
      <c r="D33" s="1" t="s">
        <v>2028</v>
      </c>
      <c r="E33" s="1" t="s">
        <v>2029</v>
      </c>
      <c r="F33" s="1" t="s">
        <v>1289</v>
      </c>
      <c r="I33" s="1" t="s">
        <v>3393</v>
      </c>
      <c r="J33" s="1" t="s">
        <v>3393</v>
      </c>
      <c r="L33" s="3">
        <v>46233</v>
      </c>
    </row>
    <row r="34" spans="1:12" x14ac:dyDescent="0.2">
      <c r="A34" s="1" t="s">
        <v>2109</v>
      </c>
      <c r="B34" s="1" t="s">
        <v>1291</v>
      </c>
      <c r="C34" s="1" t="s">
        <v>3381</v>
      </c>
      <c r="D34" s="1" t="s">
        <v>2110</v>
      </c>
      <c r="E34" s="1" t="s">
        <v>2111</v>
      </c>
      <c r="F34" s="1" t="s">
        <v>1289</v>
      </c>
      <c r="I34" s="1" t="s">
        <v>3394</v>
      </c>
      <c r="J34" s="1" t="s">
        <v>3402</v>
      </c>
      <c r="L34" s="3">
        <v>46233</v>
      </c>
    </row>
    <row r="35" spans="1:12" x14ac:dyDescent="0.2">
      <c r="A35" s="1" t="s">
        <v>1536</v>
      </c>
      <c r="B35" s="1" t="s">
        <v>8</v>
      </c>
      <c r="C35" s="1" t="s">
        <v>3380</v>
      </c>
      <c r="D35" s="1" t="s">
        <v>1537</v>
      </c>
      <c r="E35" s="1" t="s">
        <v>1538</v>
      </c>
      <c r="F35" s="1" t="s">
        <v>1293</v>
      </c>
      <c r="G35" s="1" t="s">
        <v>163</v>
      </c>
      <c r="H35" s="1" t="s">
        <v>163</v>
      </c>
      <c r="I35" s="1" t="s">
        <v>3394</v>
      </c>
      <c r="J35" s="1" t="s">
        <v>3394</v>
      </c>
      <c r="K35" s="1" t="s">
        <v>1292</v>
      </c>
      <c r="L35" s="3">
        <v>46233</v>
      </c>
    </row>
    <row r="36" spans="1:12" x14ac:dyDescent="0.2">
      <c r="A36" s="1" t="s">
        <v>1539</v>
      </c>
      <c r="B36" s="1" t="s">
        <v>41</v>
      </c>
      <c r="C36" s="1" t="s">
        <v>3380</v>
      </c>
      <c r="D36" s="1" t="s">
        <v>1540</v>
      </c>
      <c r="E36" s="12" t="s">
        <v>1541</v>
      </c>
      <c r="F36" s="1" t="s">
        <v>1289</v>
      </c>
      <c r="G36" s="1" t="s">
        <v>1520</v>
      </c>
      <c r="H36" s="1" t="s">
        <v>1520</v>
      </c>
      <c r="I36" s="1" t="s">
        <v>3394</v>
      </c>
      <c r="J36" s="1" t="s">
        <v>3394</v>
      </c>
      <c r="K36" s="1" t="s">
        <v>1292</v>
      </c>
      <c r="L36" s="3">
        <v>46233</v>
      </c>
    </row>
    <row r="37" spans="1:12" x14ac:dyDescent="0.2">
      <c r="A37" s="1" t="s">
        <v>2112</v>
      </c>
      <c r="B37" s="1" t="s">
        <v>1291</v>
      </c>
      <c r="C37" s="1" t="s">
        <v>3381</v>
      </c>
      <c r="D37" s="1" t="s">
        <v>2113</v>
      </c>
      <c r="E37" s="1" t="s">
        <v>2114</v>
      </c>
      <c r="F37" s="1" t="s">
        <v>1289</v>
      </c>
      <c r="I37" s="1" t="s">
        <v>3394</v>
      </c>
      <c r="J37" s="1" t="s">
        <v>3402</v>
      </c>
      <c r="L37" s="3">
        <v>46233</v>
      </c>
    </row>
    <row r="38" spans="1:12" x14ac:dyDescent="0.2">
      <c r="A38" s="1" t="s">
        <v>1545</v>
      </c>
      <c r="B38" s="1" t="s">
        <v>8</v>
      </c>
      <c r="C38" s="1" t="s">
        <v>3380</v>
      </c>
      <c r="D38" s="1" t="s">
        <v>1546</v>
      </c>
      <c r="E38" s="1" t="s">
        <v>1547</v>
      </c>
      <c r="F38" s="1" t="s">
        <v>1293</v>
      </c>
      <c r="G38" s="1" t="s">
        <v>163</v>
      </c>
      <c r="H38" s="1" t="s">
        <v>163</v>
      </c>
      <c r="I38" s="1" t="s">
        <v>3394</v>
      </c>
      <c r="J38" s="1" t="s">
        <v>3394</v>
      </c>
      <c r="K38" s="1" t="s">
        <v>1292</v>
      </c>
      <c r="L38" s="3">
        <v>46233</v>
      </c>
    </row>
    <row r="39" spans="1:12" x14ac:dyDescent="0.2">
      <c r="A39" s="1" t="s">
        <v>1548</v>
      </c>
      <c r="B39" s="1" t="s">
        <v>8</v>
      </c>
      <c r="C39" s="1" t="s">
        <v>3380</v>
      </c>
      <c r="D39" s="1" t="s">
        <v>1549</v>
      </c>
      <c r="E39" s="18" t="s">
        <v>1550</v>
      </c>
      <c r="F39" s="1" t="s">
        <v>1293</v>
      </c>
      <c r="G39" s="1" t="s">
        <v>163</v>
      </c>
      <c r="H39" s="1" t="s">
        <v>163</v>
      </c>
      <c r="I39" s="1" t="s">
        <v>3394</v>
      </c>
      <c r="J39" s="1" t="s">
        <v>3394</v>
      </c>
      <c r="K39" s="1" t="s">
        <v>1292</v>
      </c>
      <c r="L39" s="3">
        <v>46233</v>
      </c>
    </row>
    <row r="40" spans="1:12" x14ac:dyDescent="0.2">
      <c r="A40" s="1" t="s">
        <v>2118</v>
      </c>
      <c r="B40" s="1" t="s">
        <v>8</v>
      </c>
      <c r="C40" s="1" t="s">
        <v>3381</v>
      </c>
      <c r="D40" s="1" t="s">
        <v>2119</v>
      </c>
      <c r="E40" s="1" t="s">
        <v>2120</v>
      </c>
      <c r="F40" s="1" t="s">
        <v>1289</v>
      </c>
      <c r="I40" s="1" t="s">
        <v>3394</v>
      </c>
      <c r="J40" s="1" t="s">
        <v>3402</v>
      </c>
      <c r="L40" s="3">
        <v>46233</v>
      </c>
    </row>
    <row r="41" spans="1:12" x14ac:dyDescent="0.2">
      <c r="A41" s="1" t="s">
        <v>2133</v>
      </c>
      <c r="B41" s="1" t="s">
        <v>1314</v>
      </c>
      <c r="C41" s="1" t="s">
        <v>3381</v>
      </c>
      <c r="D41" s="1" t="s">
        <v>2134</v>
      </c>
      <c r="E41" s="12" t="s">
        <v>2135</v>
      </c>
      <c r="F41" s="1" t="s">
        <v>1289</v>
      </c>
      <c r="I41" s="1" t="s">
        <v>3394</v>
      </c>
      <c r="J41" s="1" t="s">
        <v>3402</v>
      </c>
      <c r="L41" s="3">
        <v>46233</v>
      </c>
    </row>
    <row r="42" spans="1:12" x14ac:dyDescent="0.2">
      <c r="A42" s="1" t="s">
        <v>1792</v>
      </c>
      <c r="B42" s="1" t="s">
        <v>1432</v>
      </c>
      <c r="C42" s="1" t="s">
        <v>3380</v>
      </c>
      <c r="D42" s="1" t="s">
        <v>1793</v>
      </c>
      <c r="E42" s="1" t="s">
        <v>1794</v>
      </c>
      <c r="F42" s="1" t="s">
        <v>1290</v>
      </c>
      <c r="G42" s="1" t="s">
        <v>163</v>
      </c>
      <c r="H42" s="1" t="s">
        <v>163</v>
      </c>
      <c r="I42" s="1" t="s">
        <v>3394</v>
      </c>
      <c r="J42" s="1" t="s">
        <v>3394</v>
      </c>
      <c r="K42" s="1" t="s">
        <v>1280</v>
      </c>
      <c r="L42" s="3">
        <v>46233</v>
      </c>
    </row>
    <row r="43" spans="1:12" x14ac:dyDescent="0.2">
      <c r="A43" s="1" t="s">
        <v>2424</v>
      </c>
      <c r="B43" s="1" t="s">
        <v>41</v>
      </c>
      <c r="C43" s="1" t="s">
        <v>3380</v>
      </c>
      <c r="D43" s="1" t="s">
        <v>2425</v>
      </c>
      <c r="E43" s="1" t="s">
        <v>2426</v>
      </c>
      <c r="F43" s="1" t="s">
        <v>49</v>
      </c>
      <c r="G43" s="1" t="s">
        <v>2427</v>
      </c>
      <c r="I43" s="1" t="s">
        <v>3394</v>
      </c>
      <c r="J43" s="1" t="s">
        <v>3394</v>
      </c>
      <c r="L43" s="3">
        <v>46233</v>
      </c>
    </row>
    <row r="44" spans="1:12" x14ac:dyDescent="0.2">
      <c r="A44" s="1" t="s">
        <v>2603</v>
      </c>
      <c r="B44" s="1" t="s">
        <v>41</v>
      </c>
      <c r="C44" s="1" t="s">
        <v>3380</v>
      </c>
      <c r="D44" s="1" t="s">
        <v>2425</v>
      </c>
      <c r="E44" s="1" t="s">
        <v>2604</v>
      </c>
      <c r="F44" s="1" t="s">
        <v>49</v>
      </c>
      <c r="G44" s="1" t="s">
        <v>2605</v>
      </c>
      <c r="H44" s="1" t="s">
        <v>1520</v>
      </c>
      <c r="I44" s="1" t="s">
        <v>3394</v>
      </c>
      <c r="J44" s="1" t="s">
        <v>3394</v>
      </c>
      <c r="K44" s="1" t="s">
        <v>1292</v>
      </c>
      <c r="L44" s="3">
        <v>46233</v>
      </c>
    </row>
    <row r="45" spans="1:12" x14ac:dyDescent="0.2">
      <c r="A45" s="1" t="s">
        <v>2633</v>
      </c>
      <c r="B45" s="1" t="s">
        <v>41</v>
      </c>
      <c r="C45" s="1" t="s">
        <v>3380</v>
      </c>
      <c r="D45" s="1" t="s">
        <v>2425</v>
      </c>
      <c r="E45" s="1" t="s">
        <v>2634</v>
      </c>
      <c r="F45" s="1" t="s">
        <v>49</v>
      </c>
      <c r="G45" s="1" t="s">
        <v>2635</v>
      </c>
      <c r="H45" s="1" t="s">
        <v>2635</v>
      </c>
      <c r="I45" s="1" t="s">
        <v>3394</v>
      </c>
      <c r="J45" s="1" t="s">
        <v>3394</v>
      </c>
      <c r="K45" s="1" t="s">
        <v>1396</v>
      </c>
      <c r="L45" s="3">
        <v>46233</v>
      </c>
    </row>
    <row r="46" spans="1:12" x14ac:dyDescent="0.2">
      <c r="A46" s="1" t="s">
        <v>2165</v>
      </c>
      <c r="B46" s="1" t="s">
        <v>41</v>
      </c>
      <c r="C46" s="1" t="s">
        <v>3381</v>
      </c>
      <c r="D46" s="1" t="s">
        <v>2166</v>
      </c>
      <c r="E46" s="1" t="s">
        <v>2167</v>
      </c>
      <c r="F46" s="1" t="s">
        <v>1289</v>
      </c>
      <c r="I46" s="1" t="s">
        <v>3394</v>
      </c>
      <c r="J46" s="1" t="s">
        <v>3402</v>
      </c>
      <c r="L46" s="3">
        <v>46233</v>
      </c>
    </row>
    <row r="47" spans="1:12" x14ac:dyDescent="0.2">
      <c r="A47" s="1" t="s">
        <v>3012</v>
      </c>
      <c r="B47" s="1" t="s">
        <v>41</v>
      </c>
      <c r="C47" s="1" t="s">
        <v>3380</v>
      </c>
      <c r="D47" s="1" t="s">
        <v>3013</v>
      </c>
      <c r="E47" s="1" t="s">
        <v>3014</v>
      </c>
      <c r="F47" s="1" t="s">
        <v>1289</v>
      </c>
      <c r="G47" s="1" t="s">
        <v>3015</v>
      </c>
      <c r="H47" s="1" t="s">
        <v>1520</v>
      </c>
      <c r="I47" s="1" t="s">
        <v>3394</v>
      </c>
      <c r="J47" s="1" t="s">
        <v>3394</v>
      </c>
      <c r="K47" s="1" t="s">
        <v>1292</v>
      </c>
      <c r="L47" s="3">
        <v>46233</v>
      </c>
    </row>
    <row r="48" spans="1:12" x14ac:dyDescent="0.2">
      <c r="A48" s="1" t="s">
        <v>3016</v>
      </c>
      <c r="B48" s="1" t="s">
        <v>8</v>
      </c>
      <c r="C48" s="1" t="s">
        <v>3380</v>
      </c>
      <c r="D48" s="1" t="s">
        <v>3017</v>
      </c>
      <c r="E48" s="1" t="s">
        <v>3018</v>
      </c>
      <c r="F48" s="1" t="s">
        <v>1293</v>
      </c>
      <c r="G48" s="1" t="s">
        <v>3019</v>
      </c>
      <c r="H48" s="1" t="s">
        <v>73</v>
      </c>
      <c r="I48" s="1" t="s">
        <v>3394</v>
      </c>
      <c r="J48" s="1" t="s">
        <v>3394</v>
      </c>
      <c r="K48" s="1" t="s">
        <v>1592</v>
      </c>
      <c r="L48" s="3">
        <v>46233</v>
      </c>
    </row>
    <row r="49" spans="1:12" x14ac:dyDescent="0.2">
      <c r="A49" s="1" t="s">
        <v>3337</v>
      </c>
      <c r="B49" s="1" t="s">
        <v>8</v>
      </c>
      <c r="C49" s="1" t="s">
        <v>3380</v>
      </c>
      <c r="D49" s="1" t="s">
        <v>3338</v>
      </c>
      <c r="E49" s="1" t="s">
        <v>3339</v>
      </c>
      <c r="F49" s="1" t="s">
        <v>1293</v>
      </c>
      <c r="G49" s="1" t="s">
        <v>3340</v>
      </c>
      <c r="H49" s="1" t="s">
        <v>1520</v>
      </c>
      <c r="I49" s="1" t="s">
        <v>3394</v>
      </c>
      <c r="J49" s="1" t="s">
        <v>3394</v>
      </c>
      <c r="K49" s="1" t="s">
        <v>1292</v>
      </c>
      <c r="L49" s="3">
        <v>46233</v>
      </c>
    </row>
    <row r="50" spans="1:12" x14ac:dyDescent="0.2">
      <c r="A50" s="1" t="s">
        <v>3352</v>
      </c>
      <c r="B50" s="1" t="s">
        <v>1266</v>
      </c>
      <c r="C50" s="1" t="s">
        <v>3380</v>
      </c>
      <c r="D50" s="1" t="s">
        <v>3353</v>
      </c>
      <c r="E50" s="1" t="s">
        <v>3354</v>
      </c>
      <c r="F50" s="1" t="s">
        <v>1289</v>
      </c>
      <c r="G50" s="1" t="s">
        <v>3355</v>
      </c>
      <c r="H50" s="1" t="s">
        <v>1520</v>
      </c>
      <c r="I50" s="1" t="s">
        <v>3394</v>
      </c>
      <c r="J50" s="1" t="s">
        <v>3394</v>
      </c>
      <c r="K50" s="1" t="s">
        <v>1292</v>
      </c>
      <c r="L50" s="3">
        <v>46233</v>
      </c>
    </row>
    <row r="51" spans="1:12" x14ac:dyDescent="0.2">
      <c r="A51" s="1" t="s">
        <v>2168</v>
      </c>
      <c r="B51" s="1" t="s">
        <v>41</v>
      </c>
      <c r="C51" s="1" t="s">
        <v>3381</v>
      </c>
      <c r="D51" s="1" t="s">
        <v>2169</v>
      </c>
      <c r="E51" s="1" t="s">
        <v>2170</v>
      </c>
      <c r="F51" s="1" t="s">
        <v>1289</v>
      </c>
      <c r="I51" s="1" t="s">
        <v>3393</v>
      </c>
      <c r="J51" s="1" t="s">
        <v>3393</v>
      </c>
      <c r="L51" s="3">
        <v>46233</v>
      </c>
    </row>
    <row r="52" spans="1:12" x14ac:dyDescent="0.2">
      <c r="A52" s="1" t="s">
        <v>2209</v>
      </c>
      <c r="B52" s="1" t="s">
        <v>41</v>
      </c>
      <c r="C52" s="1" t="s">
        <v>3381</v>
      </c>
      <c r="D52" s="1" t="s">
        <v>2210</v>
      </c>
      <c r="E52" s="1" t="s">
        <v>2211</v>
      </c>
      <c r="F52" s="1" t="s">
        <v>1289</v>
      </c>
      <c r="I52" s="1" t="s">
        <v>3394</v>
      </c>
      <c r="J52" s="1" t="s">
        <v>3402</v>
      </c>
      <c r="L52" s="3">
        <v>46233</v>
      </c>
    </row>
    <row r="53" spans="1:12" x14ac:dyDescent="0.2">
      <c r="A53" s="1" t="s">
        <v>2335</v>
      </c>
      <c r="B53" s="1" t="s">
        <v>1314</v>
      </c>
      <c r="C53" s="1" t="s">
        <v>3381</v>
      </c>
      <c r="D53" s="1" t="s">
        <v>2336</v>
      </c>
      <c r="E53" s="12" t="s">
        <v>2337</v>
      </c>
      <c r="F53" s="1" t="s">
        <v>1289</v>
      </c>
      <c r="I53" s="1" t="s">
        <v>3394</v>
      </c>
      <c r="J53" s="1" t="s">
        <v>3402</v>
      </c>
      <c r="L53" s="3">
        <v>46233</v>
      </c>
    </row>
    <row r="54" spans="1:12" x14ac:dyDescent="0.2">
      <c r="A54" s="1" t="s">
        <v>2500</v>
      </c>
      <c r="B54" s="1" t="s">
        <v>8</v>
      </c>
      <c r="C54" s="1" t="s">
        <v>3381</v>
      </c>
      <c r="D54" s="1" t="s">
        <v>2501</v>
      </c>
      <c r="E54" s="1" t="s">
        <v>2502</v>
      </c>
      <c r="F54" s="1" t="s">
        <v>1289</v>
      </c>
      <c r="I54" s="1" t="s">
        <v>3394</v>
      </c>
      <c r="J54" s="1" t="s">
        <v>3402</v>
      </c>
      <c r="L54" s="3">
        <v>46233</v>
      </c>
    </row>
    <row r="55" spans="1:12" x14ac:dyDescent="0.2">
      <c r="A55" s="1" t="s">
        <v>2503</v>
      </c>
      <c r="B55" s="1" t="s">
        <v>41</v>
      </c>
      <c r="C55" s="1" t="s">
        <v>3381</v>
      </c>
      <c r="D55" s="1" t="s">
        <v>2504</v>
      </c>
      <c r="E55" s="1" t="s">
        <v>2505</v>
      </c>
      <c r="F55" s="1" t="s">
        <v>1289</v>
      </c>
      <c r="I55" s="1" t="s">
        <v>3393</v>
      </c>
      <c r="J55" s="1" t="s">
        <v>3393</v>
      </c>
      <c r="L55" s="3">
        <v>46233</v>
      </c>
    </row>
    <row r="56" spans="1:12" x14ac:dyDescent="0.2">
      <c r="A56" s="1" t="s">
        <v>2509</v>
      </c>
      <c r="B56" s="1" t="s">
        <v>1314</v>
      </c>
      <c r="C56" s="1" t="s">
        <v>3381</v>
      </c>
      <c r="D56" s="1" t="s">
        <v>2510</v>
      </c>
      <c r="E56" s="1" t="s">
        <v>2511</v>
      </c>
      <c r="F56" s="1" t="s">
        <v>1289</v>
      </c>
      <c r="I56" s="1" t="s">
        <v>3394</v>
      </c>
      <c r="J56" s="1" t="s">
        <v>3402</v>
      </c>
      <c r="L56" s="3">
        <v>46233</v>
      </c>
    </row>
    <row r="57" spans="1:12" x14ac:dyDescent="0.2">
      <c r="A57" s="1" t="s">
        <v>2535</v>
      </c>
      <c r="B57" s="1" t="s">
        <v>929</v>
      </c>
      <c r="C57" s="1" t="s">
        <v>3381</v>
      </c>
      <c r="D57" s="1" t="s">
        <v>2536</v>
      </c>
      <c r="E57" s="1" t="s">
        <v>2537</v>
      </c>
      <c r="F57" s="1" t="s">
        <v>1289</v>
      </c>
      <c r="I57" s="1" t="s">
        <v>3394</v>
      </c>
      <c r="J57" s="1" t="s">
        <v>3402</v>
      </c>
      <c r="L57" s="3">
        <v>46233</v>
      </c>
    </row>
    <row r="58" spans="1:12" x14ac:dyDescent="0.2">
      <c r="A58" s="1" t="s">
        <v>2792</v>
      </c>
      <c r="B58" s="1" t="s">
        <v>41</v>
      </c>
      <c r="C58" s="1" t="s">
        <v>3381</v>
      </c>
      <c r="D58" s="1" t="s">
        <v>2793</v>
      </c>
      <c r="E58" s="16" t="s">
        <v>2794</v>
      </c>
      <c r="F58" s="1" t="s">
        <v>1289</v>
      </c>
      <c r="I58" s="1" t="s">
        <v>3394</v>
      </c>
      <c r="J58" s="1" t="s">
        <v>3402</v>
      </c>
      <c r="L58" s="3">
        <v>46233</v>
      </c>
    </row>
    <row r="59" spans="1:12" x14ac:dyDescent="0.2">
      <c r="A59" s="1" t="s">
        <v>2795</v>
      </c>
      <c r="B59" s="1" t="s">
        <v>1291</v>
      </c>
      <c r="C59" s="1" t="s">
        <v>3381</v>
      </c>
      <c r="D59" s="1" t="s">
        <v>2796</v>
      </c>
      <c r="E59" s="1" t="s">
        <v>2797</v>
      </c>
      <c r="F59" s="1" t="s">
        <v>1289</v>
      </c>
      <c r="I59" s="1" t="s">
        <v>3394</v>
      </c>
      <c r="J59" s="1" t="s">
        <v>3402</v>
      </c>
      <c r="L59" s="3">
        <v>46233</v>
      </c>
    </row>
    <row r="60" spans="1:12" x14ac:dyDescent="0.2">
      <c r="A60" s="1" t="s">
        <v>2846</v>
      </c>
      <c r="B60" s="1" t="s">
        <v>8</v>
      </c>
      <c r="C60" s="1" t="s">
        <v>3381</v>
      </c>
      <c r="D60" s="1" t="s">
        <v>2847</v>
      </c>
      <c r="E60" s="20" t="s">
        <v>2848</v>
      </c>
      <c r="F60" s="1" t="s">
        <v>1289</v>
      </c>
      <c r="I60" s="1" t="s">
        <v>3394</v>
      </c>
      <c r="J60" s="1" t="s">
        <v>3402</v>
      </c>
      <c r="L60" s="3">
        <v>46233</v>
      </c>
    </row>
    <row r="61" spans="1:12" x14ac:dyDescent="0.2">
      <c r="A61" s="1" t="s">
        <v>2852</v>
      </c>
      <c r="B61" s="1" t="s">
        <v>41</v>
      </c>
      <c r="C61" s="1" t="s">
        <v>3381</v>
      </c>
      <c r="D61" s="1" t="s">
        <v>2853</v>
      </c>
      <c r="E61" s="1" t="s">
        <v>2854</v>
      </c>
      <c r="F61" s="1" t="s">
        <v>1289</v>
      </c>
      <c r="I61" s="1" t="s">
        <v>3394</v>
      </c>
      <c r="J61" s="1" t="s">
        <v>3402</v>
      </c>
      <c r="L61" s="3">
        <v>46233</v>
      </c>
    </row>
    <row r="62" spans="1:12" x14ac:dyDescent="0.2">
      <c r="A62" s="1" t="s">
        <v>2858</v>
      </c>
      <c r="B62" s="1" t="s">
        <v>8</v>
      </c>
      <c r="C62" s="1" t="s">
        <v>3381</v>
      </c>
      <c r="D62" s="1" t="s">
        <v>2859</v>
      </c>
      <c r="E62" s="20" t="s">
        <v>2860</v>
      </c>
      <c r="F62" s="1" t="s">
        <v>1289</v>
      </c>
      <c r="I62" s="1" t="s">
        <v>3394</v>
      </c>
      <c r="J62" s="1" t="s">
        <v>3402</v>
      </c>
      <c r="L62" s="3">
        <v>46233</v>
      </c>
    </row>
    <row r="63" spans="1:12" x14ac:dyDescent="0.2">
      <c r="A63" s="1" t="s">
        <v>1637</v>
      </c>
      <c r="B63" s="1" t="s">
        <v>1314</v>
      </c>
      <c r="C63" s="1" t="s">
        <v>3381</v>
      </c>
      <c r="D63" s="1" t="s">
        <v>1638</v>
      </c>
      <c r="E63" s="1" t="s">
        <v>1639</v>
      </c>
      <c r="F63" s="1" t="s">
        <v>1289</v>
      </c>
      <c r="G63" s="1" t="s">
        <v>294</v>
      </c>
      <c r="H63" s="1" t="s">
        <v>294</v>
      </c>
      <c r="I63" s="1" t="s">
        <v>3394</v>
      </c>
      <c r="J63" s="1" t="s">
        <v>3394</v>
      </c>
      <c r="K63" s="1" t="s">
        <v>162</v>
      </c>
      <c r="L63" s="3">
        <v>46233</v>
      </c>
    </row>
    <row r="64" spans="1:12" x14ac:dyDescent="0.2">
      <c r="A64" s="1" t="s">
        <v>2906</v>
      </c>
      <c r="B64" s="1" t="s">
        <v>8</v>
      </c>
      <c r="C64" s="1" t="s">
        <v>3381</v>
      </c>
      <c r="D64" s="1" t="s">
        <v>2907</v>
      </c>
      <c r="E64" s="1" t="s">
        <v>2908</v>
      </c>
      <c r="F64" s="1" t="s">
        <v>1289</v>
      </c>
      <c r="I64" s="1" t="s">
        <v>3394</v>
      </c>
      <c r="J64" s="1" t="s">
        <v>3402</v>
      </c>
      <c r="L64" s="3">
        <v>46233</v>
      </c>
    </row>
    <row r="65" spans="1:12" x14ac:dyDescent="0.2">
      <c r="A65" s="1" t="s">
        <v>2914</v>
      </c>
      <c r="B65" s="1" t="s">
        <v>1314</v>
      </c>
      <c r="C65" s="1" t="s">
        <v>3381</v>
      </c>
      <c r="D65" s="1" t="s">
        <v>2915</v>
      </c>
      <c r="E65" s="18" t="s">
        <v>2916</v>
      </c>
      <c r="F65" s="1" t="s">
        <v>1289</v>
      </c>
      <c r="I65" s="1" t="s">
        <v>3394</v>
      </c>
      <c r="J65" s="1" t="s">
        <v>3402</v>
      </c>
      <c r="L65" s="3">
        <v>46233</v>
      </c>
    </row>
    <row r="66" spans="1:12" x14ac:dyDescent="0.2">
      <c r="A66" s="1" t="s">
        <v>1720</v>
      </c>
      <c r="B66" s="1" t="s">
        <v>1291</v>
      </c>
      <c r="C66" s="1" t="s">
        <v>3381</v>
      </c>
      <c r="D66" s="1" t="s">
        <v>1721</v>
      </c>
      <c r="E66" s="1" t="s">
        <v>1722</v>
      </c>
      <c r="F66" s="1" t="s">
        <v>1289</v>
      </c>
      <c r="G66" s="1" t="s">
        <v>294</v>
      </c>
      <c r="H66" s="1" t="s">
        <v>294</v>
      </c>
      <c r="I66" s="1" t="s">
        <v>3394</v>
      </c>
      <c r="J66" s="1" t="s">
        <v>3394</v>
      </c>
      <c r="K66" s="1" t="s">
        <v>162</v>
      </c>
      <c r="L66" s="3">
        <v>46233</v>
      </c>
    </row>
    <row r="67" spans="1:12" x14ac:dyDescent="0.2">
      <c r="A67" s="1" t="s">
        <v>1723</v>
      </c>
      <c r="B67" s="1" t="s">
        <v>8</v>
      </c>
      <c r="C67" s="1" t="s">
        <v>3381</v>
      </c>
      <c r="D67" s="1" t="s">
        <v>1724</v>
      </c>
      <c r="E67" s="1" t="s">
        <v>1725</v>
      </c>
      <c r="F67" s="1" t="s">
        <v>1293</v>
      </c>
      <c r="G67" s="1" t="s">
        <v>163</v>
      </c>
      <c r="H67" s="1" t="s">
        <v>163</v>
      </c>
      <c r="I67" s="1" t="s">
        <v>3394</v>
      </c>
      <c r="J67" s="1" t="s">
        <v>3394</v>
      </c>
      <c r="K67" s="1" t="s">
        <v>72</v>
      </c>
      <c r="L67" s="3">
        <v>46233</v>
      </c>
    </row>
    <row r="68" spans="1:12" x14ac:dyDescent="0.2">
      <c r="A68" s="1" t="s">
        <v>1640</v>
      </c>
      <c r="B68" s="1" t="s">
        <v>1291</v>
      </c>
      <c r="C68" s="1" t="s">
        <v>3382</v>
      </c>
      <c r="D68" s="1" t="s">
        <v>1641</v>
      </c>
      <c r="E68" s="1" t="s">
        <v>1642</v>
      </c>
      <c r="F68" s="1" t="s">
        <v>1289</v>
      </c>
      <c r="I68" s="1" t="s">
        <v>3394</v>
      </c>
      <c r="J68" s="1" t="s">
        <v>3402</v>
      </c>
      <c r="L68" s="3">
        <v>46233</v>
      </c>
    </row>
    <row r="69" spans="1:12" x14ac:dyDescent="0.2">
      <c r="A69" s="1" t="s">
        <v>1729</v>
      </c>
      <c r="B69" s="1" t="s">
        <v>1291</v>
      </c>
      <c r="C69" s="1" t="s">
        <v>3381</v>
      </c>
      <c r="D69" s="1" t="s">
        <v>1730</v>
      </c>
      <c r="E69" s="12" t="s">
        <v>1731</v>
      </c>
      <c r="F69" s="1" t="s">
        <v>1290</v>
      </c>
      <c r="G69" s="1" t="s">
        <v>294</v>
      </c>
      <c r="H69" s="1" t="s">
        <v>294</v>
      </c>
      <c r="I69" s="1" t="s">
        <v>3394</v>
      </c>
      <c r="J69" s="1" t="s">
        <v>3394</v>
      </c>
      <c r="K69" s="1" t="s">
        <v>162</v>
      </c>
      <c r="L69" s="3">
        <v>46233</v>
      </c>
    </row>
    <row r="70" spans="1:12" x14ac:dyDescent="0.2">
      <c r="A70" s="1" t="s">
        <v>1654</v>
      </c>
      <c r="B70" s="1" t="s">
        <v>1371</v>
      </c>
      <c r="C70" s="1" t="s">
        <v>3382</v>
      </c>
      <c r="D70" s="1" t="s">
        <v>1655</v>
      </c>
      <c r="E70" s="1" t="s">
        <v>1656</v>
      </c>
      <c r="F70" s="1" t="s">
        <v>1289</v>
      </c>
      <c r="I70" s="1" t="s">
        <v>3394</v>
      </c>
      <c r="J70" s="1" t="s">
        <v>3402</v>
      </c>
      <c r="L70" s="3">
        <v>46233</v>
      </c>
    </row>
    <row r="71" spans="1:12" x14ac:dyDescent="0.2">
      <c r="A71" s="1" t="s">
        <v>1760</v>
      </c>
      <c r="B71" s="1" t="s">
        <v>8</v>
      </c>
      <c r="C71" s="1" t="s">
        <v>3381</v>
      </c>
      <c r="D71" s="1" t="s">
        <v>1761</v>
      </c>
      <c r="E71" s="1" t="s">
        <v>1762</v>
      </c>
      <c r="F71" s="1" t="s">
        <v>1293</v>
      </c>
      <c r="G71" s="1" t="s">
        <v>163</v>
      </c>
      <c r="H71" s="1" t="s">
        <v>163</v>
      </c>
      <c r="I71" s="1" t="s">
        <v>3394</v>
      </c>
      <c r="J71" s="1" t="s">
        <v>3394</v>
      </c>
      <c r="K71" s="1" t="s">
        <v>72</v>
      </c>
      <c r="L71" s="3">
        <v>46233</v>
      </c>
    </row>
    <row r="72" spans="1:12" x14ac:dyDescent="0.2">
      <c r="A72" s="1" t="s">
        <v>1657</v>
      </c>
      <c r="B72" s="1" t="s">
        <v>41</v>
      </c>
      <c r="C72" s="1" t="s">
        <v>3382</v>
      </c>
      <c r="D72" s="1" t="s">
        <v>1658</v>
      </c>
      <c r="E72" s="1" t="s">
        <v>1659</v>
      </c>
      <c r="F72" s="1" t="s">
        <v>1289</v>
      </c>
      <c r="I72" s="1" t="s">
        <v>3394</v>
      </c>
      <c r="J72" s="121" t="s">
        <v>3394</v>
      </c>
      <c r="K72" s="3">
        <v>46294</v>
      </c>
      <c r="L72" s="3">
        <v>46233</v>
      </c>
    </row>
    <row r="73" spans="1:12" x14ac:dyDescent="0.2">
      <c r="A73" s="1" t="s">
        <v>1771</v>
      </c>
      <c r="B73" s="1" t="s">
        <v>1314</v>
      </c>
      <c r="C73" s="1" t="s">
        <v>3381</v>
      </c>
      <c r="D73" s="1" t="s">
        <v>1772</v>
      </c>
      <c r="E73" s="1" t="s">
        <v>1773</v>
      </c>
      <c r="F73" s="1" t="s">
        <v>1289</v>
      </c>
      <c r="G73" s="1" t="s">
        <v>294</v>
      </c>
      <c r="H73" s="1" t="s">
        <v>294</v>
      </c>
      <c r="I73" s="1" t="s">
        <v>3394</v>
      </c>
      <c r="J73" s="1" t="s">
        <v>3394</v>
      </c>
      <c r="K73" s="1" t="s">
        <v>162</v>
      </c>
      <c r="L73" s="3">
        <v>46233</v>
      </c>
    </row>
    <row r="74" spans="1:12" x14ac:dyDescent="0.2">
      <c r="A74" s="1" t="s">
        <v>1751</v>
      </c>
      <c r="B74" s="1" t="s">
        <v>1371</v>
      </c>
      <c r="C74" s="1" t="s">
        <v>3382</v>
      </c>
      <c r="D74" s="1" t="s">
        <v>1752</v>
      </c>
      <c r="E74" s="1" t="s">
        <v>1753</v>
      </c>
      <c r="F74" s="1" t="s">
        <v>1289</v>
      </c>
      <c r="I74" s="1" t="s">
        <v>3394</v>
      </c>
      <c r="J74" s="121" t="s">
        <v>3394</v>
      </c>
      <c r="K74" s="3">
        <v>46294</v>
      </c>
      <c r="L74" s="3">
        <v>46233</v>
      </c>
    </row>
    <row r="75" spans="1:12" x14ac:dyDescent="0.2">
      <c r="A75" s="1" t="s">
        <v>1779</v>
      </c>
      <c r="B75" s="1" t="s">
        <v>1314</v>
      </c>
      <c r="C75" s="1" t="s">
        <v>3381</v>
      </c>
      <c r="D75" s="1" t="s">
        <v>1780</v>
      </c>
      <c r="E75" s="1" t="s">
        <v>1781</v>
      </c>
      <c r="F75" s="1" t="s">
        <v>1289</v>
      </c>
      <c r="G75" s="1" t="s">
        <v>294</v>
      </c>
      <c r="H75" s="1" t="s">
        <v>294</v>
      </c>
      <c r="I75" s="1" t="s">
        <v>3394</v>
      </c>
      <c r="J75" s="1" t="s">
        <v>3394</v>
      </c>
      <c r="K75" s="1" t="s">
        <v>162</v>
      </c>
      <c r="L75" s="3">
        <v>46233</v>
      </c>
    </row>
    <row r="76" spans="1:12" x14ac:dyDescent="0.2">
      <c r="A76" s="1" t="s">
        <v>1786</v>
      </c>
      <c r="B76" s="1" t="s">
        <v>8</v>
      </c>
      <c r="C76" s="1" t="s">
        <v>3381</v>
      </c>
      <c r="D76" s="1" t="s">
        <v>1787</v>
      </c>
      <c r="E76" s="1" t="s">
        <v>1788</v>
      </c>
      <c r="F76" s="1" t="s">
        <v>1293</v>
      </c>
      <c r="G76" s="1" t="s">
        <v>163</v>
      </c>
      <c r="H76" s="1" t="s">
        <v>163</v>
      </c>
      <c r="I76" s="1" t="s">
        <v>3394</v>
      </c>
      <c r="J76" s="1" t="s">
        <v>3394</v>
      </c>
      <c r="K76" s="1" t="s">
        <v>72</v>
      </c>
      <c r="L76" s="3">
        <v>46233</v>
      </c>
    </row>
    <row r="77" spans="1:12" x14ac:dyDescent="0.2">
      <c r="A77" s="1" t="s">
        <v>1844</v>
      </c>
      <c r="B77" s="1" t="s">
        <v>1314</v>
      </c>
      <c r="C77" s="1" t="s">
        <v>3381</v>
      </c>
      <c r="D77" s="1" t="s">
        <v>1845</v>
      </c>
      <c r="E77" s="12" t="s">
        <v>1395</v>
      </c>
      <c r="F77" s="1" t="s">
        <v>1290</v>
      </c>
      <c r="G77" s="1" t="s">
        <v>294</v>
      </c>
      <c r="H77" s="1" t="s">
        <v>294</v>
      </c>
      <c r="I77" s="1" t="s">
        <v>3394</v>
      </c>
      <c r="J77" s="1" t="s">
        <v>3394</v>
      </c>
      <c r="K77" s="1" t="s">
        <v>162</v>
      </c>
      <c r="L77" s="3">
        <v>46233</v>
      </c>
    </row>
    <row r="78" spans="1:12" x14ac:dyDescent="0.2">
      <c r="A78" s="1" t="s">
        <v>1846</v>
      </c>
      <c r="B78" s="1" t="s">
        <v>1314</v>
      </c>
      <c r="C78" s="1" t="s">
        <v>3381</v>
      </c>
      <c r="D78" s="1" t="s">
        <v>1847</v>
      </c>
      <c r="E78" s="1" t="s">
        <v>1848</v>
      </c>
      <c r="F78" s="1" t="s">
        <v>1290</v>
      </c>
      <c r="G78" s="1" t="s">
        <v>163</v>
      </c>
      <c r="H78" s="1" t="s">
        <v>163</v>
      </c>
      <c r="I78" s="1" t="s">
        <v>3394</v>
      </c>
      <c r="J78" s="1" t="s">
        <v>3394</v>
      </c>
      <c r="K78" s="1" t="s">
        <v>162</v>
      </c>
      <c r="L78" s="3">
        <v>46233</v>
      </c>
    </row>
    <row r="79" spans="1:12" x14ac:dyDescent="0.2">
      <c r="A79" s="1" t="s">
        <v>1849</v>
      </c>
      <c r="B79" s="1" t="s">
        <v>1297</v>
      </c>
      <c r="C79" s="1" t="s">
        <v>3381</v>
      </c>
      <c r="D79" s="1" t="s">
        <v>1850</v>
      </c>
      <c r="E79" s="1" t="s">
        <v>1851</v>
      </c>
      <c r="F79" s="1" t="s">
        <v>1290</v>
      </c>
      <c r="G79" s="1" t="s">
        <v>163</v>
      </c>
      <c r="H79" s="1" t="s">
        <v>163</v>
      </c>
      <c r="I79" s="1" t="s">
        <v>3394</v>
      </c>
      <c r="J79" s="1" t="s">
        <v>3394</v>
      </c>
      <c r="K79" s="1" t="s">
        <v>162</v>
      </c>
      <c r="L79" s="3">
        <v>46233</v>
      </c>
    </row>
    <row r="80" spans="1:12" x14ac:dyDescent="0.2">
      <c r="A80" s="1" t="s">
        <v>1852</v>
      </c>
      <c r="B80" s="1" t="s">
        <v>1291</v>
      </c>
      <c r="C80" s="1" t="s">
        <v>3381</v>
      </c>
      <c r="D80" s="1" t="s">
        <v>1853</v>
      </c>
      <c r="E80" s="12" t="s">
        <v>1854</v>
      </c>
      <c r="F80" s="1" t="s">
        <v>1290</v>
      </c>
      <c r="G80" s="1" t="s">
        <v>294</v>
      </c>
      <c r="H80" s="1" t="s">
        <v>294</v>
      </c>
      <c r="I80" s="1" t="s">
        <v>3394</v>
      </c>
      <c r="J80" s="1" t="s">
        <v>3394</v>
      </c>
      <c r="K80" s="1" t="s">
        <v>162</v>
      </c>
      <c r="L80" s="3">
        <v>46233</v>
      </c>
    </row>
    <row r="81" spans="1:12" x14ac:dyDescent="0.2">
      <c r="A81" s="1" t="s">
        <v>1858</v>
      </c>
      <c r="B81" s="1" t="s">
        <v>929</v>
      </c>
      <c r="C81" s="1" t="s">
        <v>3381</v>
      </c>
      <c r="D81" s="1" t="s">
        <v>1859</v>
      </c>
      <c r="E81" s="1" t="s">
        <v>1860</v>
      </c>
      <c r="F81" s="1" t="s">
        <v>43</v>
      </c>
      <c r="G81" s="1" t="s">
        <v>73</v>
      </c>
      <c r="H81" s="1" t="s">
        <v>73</v>
      </c>
      <c r="I81" s="1" t="s">
        <v>3394</v>
      </c>
      <c r="J81" s="1" t="s">
        <v>3394</v>
      </c>
      <c r="K81" s="1" t="s">
        <v>1769</v>
      </c>
      <c r="L81" s="3">
        <v>46233</v>
      </c>
    </row>
    <row r="82" spans="1:12" x14ac:dyDescent="0.2">
      <c r="A82" s="1" t="s">
        <v>1865</v>
      </c>
      <c r="B82" s="1" t="s">
        <v>929</v>
      </c>
      <c r="C82" s="1" t="s">
        <v>3381</v>
      </c>
      <c r="D82" s="1" t="s">
        <v>1866</v>
      </c>
      <c r="E82" s="1" t="s">
        <v>1867</v>
      </c>
      <c r="F82" s="1" t="s">
        <v>43</v>
      </c>
      <c r="G82" s="1" t="s">
        <v>163</v>
      </c>
      <c r="H82" s="1" t="s">
        <v>163</v>
      </c>
      <c r="I82" s="1" t="s">
        <v>3394</v>
      </c>
      <c r="J82" s="1" t="s">
        <v>3394</v>
      </c>
      <c r="K82" s="1" t="s">
        <v>162</v>
      </c>
      <c r="L82" s="3">
        <v>46233</v>
      </c>
    </row>
    <row r="83" spans="1:12" x14ac:dyDescent="0.2">
      <c r="A83" s="1" t="s">
        <v>1873</v>
      </c>
      <c r="B83" s="1" t="s">
        <v>8</v>
      </c>
      <c r="C83" s="1" t="s">
        <v>3381</v>
      </c>
      <c r="D83" s="1" t="s">
        <v>1874</v>
      </c>
      <c r="E83" s="1" t="s">
        <v>1875</v>
      </c>
      <c r="F83" s="1" t="s">
        <v>1293</v>
      </c>
      <c r="G83" s="1" t="s">
        <v>163</v>
      </c>
      <c r="H83" s="1" t="s">
        <v>163</v>
      </c>
      <c r="I83" s="1" t="s">
        <v>3394</v>
      </c>
      <c r="J83" s="1" t="s">
        <v>3394</v>
      </c>
      <c r="K83" s="1" t="s">
        <v>72</v>
      </c>
      <c r="L83" s="3">
        <v>46233</v>
      </c>
    </row>
    <row r="84" spans="1:12" x14ac:dyDescent="0.2">
      <c r="A84" s="1" t="s">
        <v>1795</v>
      </c>
      <c r="B84" s="1" t="s">
        <v>41</v>
      </c>
      <c r="C84" s="1" t="s">
        <v>3382</v>
      </c>
      <c r="D84" s="1" t="s">
        <v>1796</v>
      </c>
      <c r="E84" s="1" t="s">
        <v>1797</v>
      </c>
      <c r="F84" s="1" t="s">
        <v>1289</v>
      </c>
      <c r="I84" s="1" t="s">
        <v>3394</v>
      </c>
      <c r="J84" s="1" t="s">
        <v>3402</v>
      </c>
      <c r="L84" s="3">
        <v>46233</v>
      </c>
    </row>
    <row r="85" spans="1:12" x14ac:dyDescent="0.2">
      <c r="A85" s="1" t="s">
        <v>1933</v>
      </c>
      <c r="B85" s="1" t="s">
        <v>1297</v>
      </c>
      <c r="C85" s="1" t="s">
        <v>3381</v>
      </c>
      <c r="D85" s="1" t="s">
        <v>1934</v>
      </c>
      <c r="E85" s="1" t="s">
        <v>1935</v>
      </c>
      <c r="F85" s="1" t="s">
        <v>1290</v>
      </c>
      <c r="G85" s="1" t="s">
        <v>73</v>
      </c>
      <c r="H85" s="1" t="s">
        <v>73</v>
      </c>
      <c r="I85" s="1" t="s">
        <v>3394</v>
      </c>
      <c r="J85" s="1" t="s">
        <v>3394</v>
      </c>
      <c r="K85" s="1" t="s">
        <v>293</v>
      </c>
      <c r="L85" s="3">
        <v>46233</v>
      </c>
    </row>
    <row r="86" spans="1:12" x14ac:dyDescent="0.2">
      <c r="A86" s="1" t="s">
        <v>1798</v>
      </c>
      <c r="B86" s="1" t="s">
        <v>1291</v>
      </c>
      <c r="C86" s="1" t="s">
        <v>3382</v>
      </c>
      <c r="D86" s="1" t="s">
        <v>1799</v>
      </c>
      <c r="E86" s="1" t="s">
        <v>1800</v>
      </c>
      <c r="F86" s="1" t="s">
        <v>1289</v>
      </c>
      <c r="I86" s="1" t="s">
        <v>3394</v>
      </c>
      <c r="J86" s="121" t="s">
        <v>3394</v>
      </c>
      <c r="K86" s="3">
        <v>46294</v>
      </c>
      <c r="L86" s="3">
        <v>46233</v>
      </c>
    </row>
    <row r="87" spans="1:12" x14ac:dyDescent="0.2">
      <c r="A87" s="1" t="s">
        <v>1871</v>
      </c>
      <c r="B87" s="1" t="s">
        <v>1314</v>
      </c>
      <c r="C87" s="1" t="s">
        <v>3382</v>
      </c>
      <c r="D87" s="1" t="s">
        <v>1872</v>
      </c>
      <c r="E87" s="1" t="s">
        <v>683</v>
      </c>
      <c r="F87" s="1" t="s">
        <v>1289</v>
      </c>
      <c r="I87" s="1" t="s">
        <v>3394</v>
      </c>
      <c r="J87" s="1" t="s">
        <v>3402</v>
      </c>
      <c r="L87" s="3">
        <v>46233</v>
      </c>
    </row>
    <row r="88" spans="1:12" x14ac:dyDescent="0.2">
      <c r="A88" s="1" t="s">
        <v>1945</v>
      </c>
      <c r="B88" s="1" t="s">
        <v>8</v>
      </c>
      <c r="C88" s="1" t="s">
        <v>3381</v>
      </c>
      <c r="D88" s="1" t="s">
        <v>1946</v>
      </c>
      <c r="E88" s="12" t="s">
        <v>1947</v>
      </c>
      <c r="F88" s="1" t="s">
        <v>1289</v>
      </c>
      <c r="G88" s="1" t="s">
        <v>294</v>
      </c>
      <c r="H88" s="1" t="s">
        <v>294</v>
      </c>
      <c r="I88" s="1" t="s">
        <v>3394</v>
      </c>
      <c r="J88" s="1" t="s">
        <v>3394</v>
      </c>
      <c r="K88" s="1" t="s">
        <v>162</v>
      </c>
      <c r="L88" s="3">
        <v>46233</v>
      </c>
    </row>
    <row r="89" spans="1:12" x14ac:dyDescent="0.2">
      <c r="A89" s="1" t="s">
        <v>1948</v>
      </c>
      <c r="B89" s="1" t="s">
        <v>929</v>
      </c>
      <c r="C89" s="1" t="s">
        <v>3381</v>
      </c>
      <c r="D89" s="1" t="s">
        <v>1949</v>
      </c>
      <c r="E89" s="1" t="s">
        <v>1950</v>
      </c>
      <c r="F89" s="1" t="s">
        <v>43</v>
      </c>
      <c r="G89" s="1" t="s">
        <v>294</v>
      </c>
      <c r="H89" s="1" t="s">
        <v>294</v>
      </c>
      <c r="I89" s="1" t="s">
        <v>3394</v>
      </c>
      <c r="J89" s="1" t="s">
        <v>3394</v>
      </c>
      <c r="K89" s="1" t="s">
        <v>162</v>
      </c>
      <c r="L89" s="3">
        <v>46233</v>
      </c>
    </row>
    <row r="90" spans="1:12" x14ac:dyDescent="0.2">
      <c r="A90" s="1" t="s">
        <v>1951</v>
      </c>
      <c r="B90" s="1" t="s">
        <v>1291</v>
      </c>
      <c r="C90" s="1" t="s">
        <v>3381</v>
      </c>
      <c r="D90" s="1" t="s">
        <v>1952</v>
      </c>
      <c r="E90" s="1" t="s">
        <v>1953</v>
      </c>
      <c r="F90" s="1" t="s">
        <v>1290</v>
      </c>
      <c r="G90" s="1" t="s">
        <v>73</v>
      </c>
      <c r="H90" s="1" t="s">
        <v>73</v>
      </c>
      <c r="I90" s="1" t="s">
        <v>3394</v>
      </c>
      <c r="J90" s="1" t="s">
        <v>3394</v>
      </c>
      <c r="K90" s="1" t="s">
        <v>293</v>
      </c>
      <c r="L90" s="3">
        <v>46233</v>
      </c>
    </row>
    <row r="91" spans="1:12" x14ac:dyDescent="0.2">
      <c r="A91" s="1" t="s">
        <v>1957</v>
      </c>
      <c r="B91" s="1" t="s">
        <v>41</v>
      </c>
      <c r="C91" s="1" t="s">
        <v>3381</v>
      </c>
      <c r="D91" s="1" t="s">
        <v>1958</v>
      </c>
      <c r="E91" s="12" t="s">
        <v>1959</v>
      </c>
      <c r="F91" s="1" t="s">
        <v>1289</v>
      </c>
      <c r="G91" s="1" t="s">
        <v>1960</v>
      </c>
      <c r="H91" s="1" t="s">
        <v>73</v>
      </c>
      <c r="I91" s="1" t="s">
        <v>3394</v>
      </c>
      <c r="J91" s="1" t="s">
        <v>3394</v>
      </c>
      <c r="K91" s="1" t="s">
        <v>1769</v>
      </c>
      <c r="L91" s="3">
        <v>46233</v>
      </c>
    </row>
    <row r="92" spans="1:12" x14ac:dyDescent="0.2">
      <c r="A92" s="1" t="s">
        <v>1879</v>
      </c>
      <c r="B92" s="1" t="s">
        <v>41</v>
      </c>
      <c r="C92" s="1" t="s">
        <v>3382</v>
      </c>
      <c r="D92" s="1" t="s">
        <v>1880</v>
      </c>
      <c r="E92" s="1" t="s">
        <v>1881</v>
      </c>
      <c r="F92" s="1" t="s">
        <v>1289</v>
      </c>
      <c r="I92" s="1" t="s">
        <v>3394</v>
      </c>
      <c r="J92" s="1" t="s">
        <v>3402</v>
      </c>
      <c r="L92" s="3">
        <v>46233</v>
      </c>
    </row>
    <row r="93" spans="1:12" x14ac:dyDescent="0.2">
      <c r="A93" s="1" t="s">
        <v>1882</v>
      </c>
      <c r="B93" s="1" t="s">
        <v>1291</v>
      </c>
      <c r="C93" s="1" t="s">
        <v>3382</v>
      </c>
      <c r="D93" s="1" t="s">
        <v>1883</v>
      </c>
      <c r="E93" s="1" t="s">
        <v>1884</v>
      </c>
      <c r="F93" s="1" t="s">
        <v>1289</v>
      </c>
      <c r="I93" s="121" t="s">
        <v>3394</v>
      </c>
      <c r="J93" s="121" t="s">
        <v>3394</v>
      </c>
      <c r="K93" s="3">
        <v>46294</v>
      </c>
      <c r="L93" s="3">
        <v>46233</v>
      </c>
    </row>
    <row r="94" spans="1:12" x14ac:dyDescent="0.2">
      <c r="A94" s="1" t="s">
        <v>2030</v>
      </c>
      <c r="B94" s="1" t="s">
        <v>41</v>
      </c>
      <c r="C94" s="1" t="s">
        <v>3381</v>
      </c>
      <c r="D94" s="1" t="s">
        <v>2031</v>
      </c>
      <c r="E94" s="12" t="s">
        <v>2032</v>
      </c>
      <c r="F94" s="1" t="s">
        <v>1289</v>
      </c>
      <c r="G94" s="1" t="s">
        <v>294</v>
      </c>
      <c r="H94" s="1" t="s">
        <v>294</v>
      </c>
      <c r="I94" s="1" t="s">
        <v>3394</v>
      </c>
      <c r="J94" s="1" t="s">
        <v>3394</v>
      </c>
      <c r="K94" s="1" t="s">
        <v>162</v>
      </c>
      <c r="L94" s="3">
        <v>46233</v>
      </c>
    </row>
    <row r="95" spans="1:12" x14ac:dyDescent="0.2">
      <c r="A95" s="1" t="s">
        <v>2158</v>
      </c>
      <c r="B95" s="1" t="s">
        <v>41</v>
      </c>
      <c r="C95" s="1" t="s">
        <v>3382</v>
      </c>
      <c r="D95" s="1" t="s">
        <v>2159</v>
      </c>
      <c r="E95" s="1" t="s">
        <v>2160</v>
      </c>
      <c r="F95" s="1" t="s">
        <v>1289</v>
      </c>
      <c r="I95" s="1" t="s">
        <v>3393</v>
      </c>
      <c r="J95" s="1" t="s">
        <v>3393</v>
      </c>
      <c r="L95" s="3">
        <v>46233</v>
      </c>
    </row>
    <row r="96" spans="1:12" x14ac:dyDescent="0.2">
      <c r="A96" s="1" t="s">
        <v>2228</v>
      </c>
      <c r="B96" s="1" t="s">
        <v>1314</v>
      </c>
      <c r="C96" s="1" t="s">
        <v>3382</v>
      </c>
      <c r="D96" s="1" t="s">
        <v>2229</v>
      </c>
      <c r="E96" s="1" t="s">
        <v>2230</v>
      </c>
      <c r="F96" s="1" t="s">
        <v>1289</v>
      </c>
      <c r="I96" s="1" t="s">
        <v>3394</v>
      </c>
      <c r="J96" s="1" t="s">
        <v>3402</v>
      </c>
      <c r="L96" s="3">
        <v>46233</v>
      </c>
    </row>
    <row r="97" spans="1:12" x14ac:dyDescent="0.2">
      <c r="A97" s="1" t="s">
        <v>2259</v>
      </c>
      <c r="B97" s="1" t="s">
        <v>41</v>
      </c>
      <c r="C97" s="1" t="s">
        <v>3382</v>
      </c>
      <c r="D97" s="1" t="s">
        <v>2260</v>
      </c>
      <c r="E97" s="1" t="s">
        <v>2261</v>
      </c>
      <c r="F97" s="1" t="s">
        <v>1289</v>
      </c>
      <c r="I97" s="1" t="s">
        <v>3394</v>
      </c>
      <c r="J97" s="121" t="s">
        <v>3394</v>
      </c>
      <c r="K97" s="3">
        <v>46293</v>
      </c>
      <c r="L97" s="3">
        <v>46233</v>
      </c>
    </row>
    <row r="98" spans="1:12" x14ac:dyDescent="0.2">
      <c r="A98" s="1" t="s">
        <v>2361</v>
      </c>
      <c r="B98" s="1" t="s">
        <v>41</v>
      </c>
      <c r="C98" s="1" t="s">
        <v>3382</v>
      </c>
      <c r="D98" s="1" t="s">
        <v>2362</v>
      </c>
      <c r="E98" s="1" t="s">
        <v>2363</v>
      </c>
      <c r="F98" s="1" t="s">
        <v>1289</v>
      </c>
      <c r="I98" s="1" t="s">
        <v>3393</v>
      </c>
      <c r="J98" s="1" t="s">
        <v>3393</v>
      </c>
      <c r="L98" s="3">
        <v>46233</v>
      </c>
    </row>
    <row r="99" spans="1:12" x14ac:dyDescent="0.2">
      <c r="A99" s="1" t="s">
        <v>2091</v>
      </c>
      <c r="B99" s="1" t="s">
        <v>8</v>
      </c>
      <c r="C99" s="1" t="s">
        <v>3381</v>
      </c>
      <c r="D99" s="1" t="s">
        <v>2092</v>
      </c>
      <c r="E99" s="1" t="s">
        <v>2093</v>
      </c>
      <c r="F99" s="1" t="s">
        <v>1289</v>
      </c>
      <c r="G99" s="1" t="s">
        <v>294</v>
      </c>
      <c r="H99" s="1" t="s">
        <v>294</v>
      </c>
      <c r="I99" s="1" t="s">
        <v>3394</v>
      </c>
      <c r="J99" s="1" t="s">
        <v>3394</v>
      </c>
      <c r="K99" s="1" t="s">
        <v>162</v>
      </c>
      <c r="L99" s="3">
        <v>46233</v>
      </c>
    </row>
    <row r="100" spans="1:12" x14ac:dyDescent="0.2">
      <c r="A100" s="1" t="s">
        <v>2094</v>
      </c>
      <c r="B100" s="1" t="s">
        <v>41</v>
      </c>
      <c r="C100" s="1" t="s">
        <v>3381</v>
      </c>
      <c r="D100" s="1" t="s">
        <v>2095</v>
      </c>
      <c r="E100" s="16" t="s">
        <v>2096</v>
      </c>
      <c r="F100" s="1" t="s">
        <v>1289</v>
      </c>
      <c r="G100" s="1" t="s">
        <v>294</v>
      </c>
      <c r="H100" s="1" t="s">
        <v>294</v>
      </c>
      <c r="I100" s="1" t="s">
        <v>3394</v>
      </c>
      <c r="J100" s="1" t="s">
        <v>3394</v>
      </c>
      <c r="K100" s="1" t="s">
        <v>162</v>
      </c>
      <c r="L100" s="3">
        <v>46233</v>
      </c>
    </row>
    <row r="101" spans="1:12" x14ac:dyDescent="0.2">
      <c r="A101" s="1" t="s">
        <v>2561</v>
      </c>
      <c r="B101" s="1" t="s">
        <v>290</v>
      </c>
      <c r="C101" s="1" t="s">
        <v>3382</v>
      </c>
      <c r="D101" s="1" t="s">
        <v>2562</v>
      </c>
      <c r="E101" s="1" t="s">
        <v>1532</v>
      </c>
      <c r="F101" s="1" t="s">
        <v>1289</v>
      </c>
      <c r="I101" s="1" t="s">
        <v>3393</v>
      </c>
      <c r="J101" s="1" t="s">
        <v>3393</v>
      </c>
      <c r="L101" s="3">
        <v>46233</v>
      </c>
    </row>
    <row r="102" spans="1:12" x14ac:dyDescent="0.2">
      <c r="A102" s="1" t="s">
        <v>2745</v>
      </c>
      <c r="B102" s="1" t="s">
        <v>1291</v>
      </c>
      <c r="C102" s="1" t="s">
        <v>3382</v>
      </c>
      <c r="D102" s="1" t="s">
        <v>2746</v>
      </c>
      <c r="E102" s="1" t="s">
        <v>2747</v>
      </c>
      <c r="F102" s="1" t="s">
        <v>1289</v>
      </c>
      <c r="I102" s="1" t="s">
        <v>3394</v>
      </c>
      <c r="J102" s="121" t="s">
        <v>3394</v>
      </c>
      <c r="K102" s="3">
        <v>46294</v>
      </c>
      <c r="L102" s="3">
        <v>46233</v>
      </c>
    </row>
    <row r="103" spans="1:12" x14ac:dyDescent="0.2">
      <c r="A103" s="1" t="s">
        <v>2115</v>
      </c>
      <c r="B103" s="1" t="s">
        <v>41</v>
      </c>
      <c r="C103" s="1" t="s">
        <v>3381</v>
      </c>
      <c r="D103" s="1" t="s">
        <v>2116</v>
      </c>
      <c r="E103" s="1" t="s">
        <v>2117</v>
      </c>
      <c r="F103" s="1" t="s">
        <v>1289</v>
      </c>
      <c r="G103" s="1" t="s">
        <v>294</v>
      </c>
      <c r="H103" s="1" t="s">
        <v>294</v>
      </c>
      <c r="I103" s="1" t="s">
        <v>3394</v>
      </c>
      <c r="J103" s="1" t="s">
        <v>3394</v>
      </c>
      <c r="K103" s="1" t="s">
        <v>162</v>
      </c>
      <c r="L103" s="3">
        <v>46233</v>
      </c>
    </row>
    <row r="104" spans="1:12" x14ac:dyDescent="0.2">
      <c r="A104" s="1" t="s">
        <v>2834</v>
      </c>
      <c r="B104" s="1" t="s">
        <v>1291</v>
      </c>
      <c r="C104" s="1" t="s">
        <v>3382</v>
      </c>
      <c r="D104" s="1" t="s">
        <v>2835</v>
      </c>
      <c r="E104" s="1" t="s">
        <v>2836</v>
      </c>
      <c r="F104" s="1" t="s">
        <v>1289</v>
      </c>
      <c r="I104" s="1" t="s">
        <v>3394</v>
      </c>
      <c r="J104" s="121" t="s">
        <v>3394</v>
      </c>
      <c r="K104" s="3">
        <v>46293</v>
      </c>
      <c r="L104" s="3">
        <v>46233</v>
      </c>
    </row>
    <row r="105" spans="1:12" x14ac:dyDescent="0.2">
      <c r="A105" s="1" t="s">
        <v>2121</v>
      </c>
      <c r="B105" s="1" t="s">
        <v>1314</v>
      </c>
      <c r="C105" s="1" t="s">
        <v>3381</v>
      </c>
      <c r="D105" s="1" t="s">
        <v>2122</v>
      </c>
      <c r="E105" s="18" t="s">
        <v>2123</v>
      </c>
      <c r="F105" s="1" t="s">
        <v>1290</v>
      </c>
      <c r="G105" s="1" t="s">
        <v>163</v>
      </c>
      <c r="H105" s="1" t="s">
        <v>163</v>
      </c>
      <c r="I105" s="1" t="s">
        <v>3394</v>
      </c>
      <c r="J105" s="1" t="s">
        <v>3394</v>
      </c>
      <c r="K105" s="1" t="s">
        <v>162</v>
      </c>
      <c r="L105" s="3">
        <v>46233</v>
      </c>
    </row>
    <row r="106" spans="1:12" x14ac:dyDescent="0.2">
      <c r="A106" s="1" t="s">
        <v>2124</v>
      </c>
      <c r="B106" s="1" t="s">
        <v>1314</v>
      </c>
      <c r="C106" s="1" t="s">
        <v>3381</v>
      </c>
      <c r="D106" s="1" t="s">
        <v>2125</v>
      </c>
      <c r="E106" s="1" t="s">
        <v>2126</v>
      </c>
      <c r="F106" s="1" t="s">
        <v>1290</v>
      </c>
      <c r="G106" s="1" t="s">
        <v>294</v>
      </c>
      <c r="H106" s="1" t="s">
        <v>294</v>
      </c>
      <c r="I106" s="1" t="s">
        <v>3394</v>
      </c>
      <c r="J106" s="1" t="s">
        <v>3394</v>
      </c>
      <c r="K106" s="1" t="s">
        <v>162</v>
      </c>
      <c r="L106" s="3">
        <v>46233</v>
      </c>
    </row>
    <row r="107" spans="1:12" x14ac:dyDescent="0.2">
      <c r="A107" s="1" t="s">
        <v>2127</v>
      </c>
      <c r="B107" s="1" t="s">
        <v>1314</v>
      </c>
      <c r="C107" s="1" t="s">
        <v>3381</v>
      </c>
      <c r="D107" s="1" t="s">
        <v>2128</v>
      </c>
      <c r="E107" s="1" t="s">
        <v>2129</v>
      </c>
      <c r="F107" s="1" t="s">
        <v>1290</v>
      </c>
      <c r="G107" s="1" t="s">
        <v>73</v>
      </c>
      <c r="H107" s="1" t="s">
        <v>73</v>
      </c>
      <c r="I107" s="1" t="s">
        <v>3394</v>
      </c>
      <c r="J107" s="1" t="s">
        <v>3394</v>
      </c>
      <c r="K107" s="1" t="s">
        <v>1592</v>
      </c>
      <c r="L107" s="3">
        <v>46233</v>
      </c>
    </row>
    <row r="108" spans="1:12" x14ac:dyDescent="0.2">
      <c r="A108" s="1" t="s">
        <v>2130</v>
      </c>
      <c r="B108" s="1" t="s">
        <v>1314</v>
      </c>
      <c r="C108" s="1" t="s">
        <v>3381</v>
      </c>
      <c r="D108" s="1" t="s">
        <v>2131</v>
      </c>
      <c r="E108" s="18" t="s">
        <v>2132</v>
      </c>
      <c r="F108" s="1" t="s">
        <v>1289</v>
      </c>
      <c r="G108" s="1" t="s">
        <v>294</v>
      </c>
      <c r="H108" s="1" t="s">
        <v>294</v>
      </c>
      <c r="I108" s="1" t="s">
        <v>3394</v>
      </c>
      <c r="J108" s="1" t="s">
        <v>3394</v>
      </c>
      <c r="K108" s="1" t="s">
        <v>162</v>
      </c>
      <c r="L108" s="3">
        <v>46233</v>
      </c>
    </row>
    <row r="109" spans="1:12" x14ac:dyDescent="0.2">
      <c r="A109" s="1" t="s">
        <v>2881</v>
      </c>
      <c r="B109" s="1" t="s">
        <v>41</v>
      </c>
      <c r="C109" s="1" t="s">
        <v>3382</v>
      </c>
      <c r="D109" s="1" t="s">
        <v>2882</v>
      </c>
      <c r="E109" s="12" t="s">
        <v>2883</v>
      </c>
      <c r="F109" s="1" t="s">
        <v>1289</v>
      </c>
      <c r="I109" s="1" t="s">
        <v>3394</v>
      </c>
      <c r="J109" s="121" t="s">
        <v>3394</v>
      </c>
      <c r="K109" s="3">
        <v>46293</v>
      </c>
      <c r="L109" s="3">
        <v>46233</v>
      </c>
    </row>
    <row r="110" spans="1:12" x14ac:dyDescent="0.2">
      <c r="A110" s="1" t="s">
        <v>1611</v>
      </c>
      <c r="B110" s="1" t="s">
        <v>8</v>
      </c>
      <c r="C110" s="1" t="s">
        <v>3383</v>
      </c>
      <c r="D110" s="1" t="s">
        <v>1612</v>
      </c>
      <c r="E110" s="1" t="s">
        <v>1613</v>
      </c>
      <c r="F110" s="1" t="s">
        <v>1289</v>
      </c>
      <c r="I110" s="1" t="s">
        <v>3394</v>
      </c>
      <c r="J110" s="1" t="s">
        <v>3393</v>
      </c>
      <c r="L110" s="3">
        <v>46233</v>
      </c>
    </row>
    <row r="111" spans="1:12" x14ac:dyDescent="0.2">
      <c r="A111" s="1" t="s">
        <v>1830</v>
      </c>
      <c r="B111" s="1" t="s">
        <v>290</v>
      </c>
      <c r="C111" s="1" t="s">
        <v>3383</v>
      </c>
      <c r="D111" s="1" t="s">
        <v>1831</v>
      </c>
      <c r="E111" s="1" t="s">
        <v>1532</v>
      </c>
      <c r="F111" s="1" t="s">
        <v>1289</v>
      </c>
      <c r="I111" s="1" t="s">
        <v>3393</v>
      </c>
      <c r="J111" s="1" t="s">
        <v>3393</v>
      </c>
      <c r="L111" s="3">
        <v>46233</v>
      </c>
    </row>
    <row r="112" spans="1:12" x14ac:dyDescent="0.2">
      <c r="A112" s="1" t="s">
        <v>2192</v>
      </c>
      <c r="B112" s="1" t="s">
        <v>41</v>
      </c>
      <c r="C112" s="1" t="s">
        <v>3381</v>
      </c>
      <c r="D112" s="1" t="s">
        <v>2193</v>
      </c>
      <c r="E112" s="1" t="s">
        <v>2194</v>
      </c>
      <c r="F112" s="1" t="s">
        <v>1290</v>
      </c>
      <c r="G112" s="1" t="s">
        <v>2195</v>
      </c>
      <c r="I112" s="1" t="s">
        <v>3394</v>
      </c>
      <c r="J112" s="1" t="s">
        <v>3394</v>
      </c>
      <c r="L112" s="3">
        <v>46233</v>
      </c>
    </row>
    <row r="113" spans="1:12" x14ac:dyDescent="0.2">
      <c r="A113" s="1" t="s">
        <v>2196</v>
      </c>
      <c r="B113" s="1" t="s">
        <v>8</v>
      </c>
      <c r="C113" s="1" t="s">
        <v>3381</v>
      </c>
      <c r="D113" s="1" t="s">
        <v>2197</v>
      </c>
      <c r="E113" s="18" t="s">
        <v>2198</v>
      </c>
      <c r="F113" s="1" t="s">
        <v>1293</v>
      </c>
      <c r="G113" s="1" t="s">
        <v>163</v>
      </c>
      <c r="H113" s="1" t="s">
        <v>163</v>
      </c>
      <c r="I113" s="1" t="s">
        <v>3394</v>
      </c>
      <c r="J113" s="1" t="s">
        <v>3394</v>
      </c>
      <c r="K113" s="1" t="s">
        <v>72</v>
      </c>
      <c r="L113" s="3">
        <v>46233</v>
      </c>
    </row>
    <row r="114" spans="1:12" x14ac:dyDescent="0.2">
      <c r="A114" s="1" t="s">
        <v>2199</v>
      </c>
      <c r="B114" s="1" t="s">
        <v>1314</v>
      </c>
      <c r="C114" s="1" t="s">
        <v>3381</v>
      </c>
      <c r="D114" s="1" t="s">
        <v>2200</v>
      </c>
      <c r="E114" s="1" t="s">
        <v>2201</v>
      </c>
      <c r="F114" s="1" t="s">
        <v>1289</v>
      </c>
      <c r="G114" s="1" t="s">
        <v>294</v>
      </c>
      <c r="H114" s="1" t="s">
        <v>294</v>
      </c>
      <c r="I114" s="1" t="s">
        <v>3394</v>
      </c>
      <c r="J114" s="1" t="s">
        <v>3394</v>
      </c>
      <c r="K114" s="1" t="s">
        <v>162</v>
      </c>
      <c r="L114" s="3">
        <v>46233</v>
      </c>
    </row>
    <row r="115" spans="1:12" x14ac:dyDescent="0.2">
      <c r="A115" s="1" t="s">
        <v>1855</v>
      </c>
      <c r="B115" s="1" t="s">
        <v>41</v>
      </c>
      <c r="C115" s="1" t="s">
        <v>3383</v>
      </c>
      <c r="D115" s="1" t="s">
        <v>1856</v>
      </c>
      <c r="E115" s="17" t="s">
        <v>1857</v>
      </c>
      <c r="F115" s="1" t="s">
        <v>1289</v>
      </c>
      <c r="I115" s="1" t="s">
        <v>3394</v>
      </c>
      <c r="J115" s="121" t="s">
        <v>3394</v>
      </c>
      <c r="K115" s="3">
        <v>46294</v>
      </c>
      <c r="L115" s="3">
        <v>46233</v>
      </c>
    </row>
    <row r="116" spans="1:12" x14ac:dyDescent="0.2">
      <c r="A116" s="1" t="s">
        <v>2212</v>
      </c>
      <c r="B116" s="1" t="s">
        <v>1314</v>
      </c>
      <c r="C116" s="1" t="s">
        <v>3381</v>
      </c>
      <c r="D116" s="1" t="s">
        <v>2213</v>
      </c>
      <c r="E116" s="1" t="s">
        <v>2214</v>
      </c>
      <c r="F116" s="1" t="s">
        <v>43</v>
      </c>
      <c r="G116" s="1" t="s">
        <v>73</v>
      </c>
      <c r="H116" s="1" t="s">
        <v>1563</v>
      </c>
      <c r="I116" s="1" t="s">
        <v>3394</v>
      </c>
      <c r="J116" s="1" t="s">
        <v>3394</v>
      </c>
      <c r="K116" s="1" t="s">
        <v>1769</v>
      </c>
      <c r="L116" s="3">
        <v>46233</v>
      </c>
    </row>
    <row r="117" spans="1:12" x14ac:dyDescent="0.2">
      <c r="A117" s="1" t="s">
        <v>2238</v>
      </c>
      <c r="B117" s="1" t="s">
        <v>41</v>
      </c>
      <c r="C117" s="1" t="s">
        <v>3381</v>
      </c>
      <c r="D117" s="1" t="s">
        <v>2239</v>
      </c>
      <c r="E117" s="12" t="s">
        <v>2240</v>
      </c>
      <c r="F117" s="1" t="s">
        <v>1290</v>
      </c>
      <c r="G117" s="1" t="s">
        <v>73</v>
      </c>
      <c r="H117" s="1" t="s">
        <v>73</v>
      </c>
      <c r="I117" s="1" t="s">
        <v>3394</v>
      </c>
      <c r="J117" s="1" t="s">
        <v>3394</v>
      </c>
      <c r="K117" s="1" t="s">
        <v>293</v>
      </c>
      <c r="L117" s="3">
        <v>46233</v>
      </c>
    </row>
    <row r="118" spans="1:12" x14ac:dyDescent="0.2">
      <c r="A118" s="1" t="s">
        <v>2241</v>
      </c>
      <c r="B118" s="1" t="s">
        <v>1297</v>
      </c>
      <c r="C118" s="1" t="s">
        <v>3381</v>
      </c>
      <c r="D118" s="1" t="s">
        <v>2242</v>
      </c>
      <c r="E118" s="1" t="s">
        <v>2243</v>
      </c>
      <c r="F118" s="1" t="s">
        <v>1290</v>
      </c>
      <c r="G118" s="1" t="s">
        <v>73</v>
      </c>
      <c r="H118" s="1" t="s">
        <v>73</v>
      </c>
      <c r="I118" s="1" t="s">
        <v>3394</v>
      </c>
      <c r="J118" s="1" t="s">
        <v>3394</v>
      </c>
      <c r="K118" s="1" t="s">
        <v>162</v>
      </c>
      <c r="L118" s="3">
        <v>46233</v>
      </c>
    </row>
    <row r="119" spans="1:12" x14ac:dyDescent="0.2">
      <c r="A119" s="1" t="s">
        <v>1930</v>
      </c>
      <c r="B119" s="1" t="s">
        <v>8</v>
      </c>
      <c r="C119" s="1" t="s">
        <v>3383</v>
      </c>
      <c r="D119" s="1" t="s">
        <v>1931</v>
      </c>
      <c r="E119" s="1" t="s">
        <v>1932</v>
      </c>
      <c r="F119" s="1" t="s">
        <v>1289</v>
      </c>
      <c r="I119" s="1" t="s">
        <v>3394</v>
      </c>
      <c r="J119" s="1" t="s">
        <v>3402</v>
      </c>
      <c r="L119" s="3">
        <v>46233</v>
      </c>
    </row>
    <row r="120" spans="1:12" x14ac:dyDescent="0.2">
      <c r="A120" s="1" t="s">
        <v>2265</v>
      </c>
      <c r="B120" s="1" t="s">
        <v>41</v>
      </c>
      <c r="C120" s="1" t="s">
        <v>3381</v>
      </c>
      <c r="D120" s="1" t="s">
        <v>2266</v>
      </c>
      <c r="E120" s="1" t="s">
        <v>2267</v>
      </c>
      <c r="F120" s="1" t="s">
        <v>43</v>
      </c>
      <c r="G120" s="1" t="s">
        <v>2268</v>
      </c>
      <c r="H120" s="1" t="s">
        <v>73</v>
      </c>
      <c r="I120" s="1" t="s">
        <v>3394</v>
      </c>
      <c r="J120" s="1" t="s">
        <v>3394</v>
      </c>
      <c r="K120" s="1" t="s">
        <v>1769</v>
      </c>
      <c r="L120" s="3">
        <v>46233</v>
      </c>
    </row>
    <row r="121" spans="1:12" x14ac:dyDescent="0.2">
      <c r="A121" s="1" t="s">
        <v>2304</v>
      </c>
      <c r="B121" s="1" t="s">
        <v>1291</v>
      </c>
      <c r="C121" s="1" t="s">
        <v>3381</v>
      </c>
      <c r="D121" s="1" t="s">
        <v>2305</v>
      </c>
      <c r="E121" s="12" t="s">
        <v>2306</v>
      </c>
      <c r="F121" s="1" t="s">
        <v>1289</v>
      </c>
      <c r="G121" s="1" t="s">
        <v>294</v>
      </c>
      <c r="H121" s="1" t="s">
        <v>294</v>
      </c>
      <c r="I121" s="1" t="s">
        <v>3394</v>
      </c>
      <c r="J121" s="1" t="s">
        <v>3394</v>
      </c>
      <c r="K121" s="1" t="s">
        <v>162</v>
      </c>
      <c r="L121" s="3">
        <v>46233</v>
      </c>
    </row>
    <row r="122" spans="1:12" x14ac:dyDescent="0.2">
      <c r="A122" s="1" t="s">
        <v>2332</v>
      </c>
      <c r="B122" s="1" t="s">
        <v>41</v>
      </c>
      <c r="C122" s="1" t="s">
        <v>3381</v>
      </c>
      <c r="D122" s="1" t="s">
        <v>2333</v>
      </c>
      <c r="E122" s="1" t="s">
        <v>2334</v>
      </c>
      <c r="F122" s="1" t="s">
        <v>1289</v>
      </c>
      <c r="G122" s="1" t="s">
        <v>163</v>
      </c>
      <c r="H122" s="1" t="s">
        <v>163</v>
      </c>
      <c r="I122" s="1" t="s">
        <v>3394</v>
      </c>
      <c r="J122" s="1" t="s">
        <v>3394</v>
      </c>
      <c r="K122" s="1" t="s">
        <v>162</v>
      </c>
      <c r="L122" s="3">
        <v>46233</v>
      </c>
    </row>
    <row r="123" spans="1:12" x14ac:dyDescent="0.2">
      <c r="A123" s="1" t="s">
        <v>2202</v>
      </c>
      <c r="B123" s="1" t="s">
        <v>41</v>
      </c>
      <c r="C123" s="1" t="s">
        <v>3383</v>
      </c>
      <c r="D123" s="1" t="s">
        <v>2203</v>
      </c>
      <c r="E123" s="1" t="s">
        <v>2204</v>
      </c>
      <c r="F123" s="1" t="s">
        <v>1289</v>
      </c>
      <c r="I123" s="1" t="s">
        <v>3394</v>
      </c>
      <c r="J123" s="1" t="s">
        <v>3393</v>
      </c>
      <c r="L123" s="3">
        <v>46233</v>
      </c>
    </row>
    <row r="124" spans="1:12" x14ac:dyDescent="0.2">
      <c r="A124" s="1" t="s">
        <v>2244</v>
      </c>
      <c r="B124" s="1" t="s">
        <v>8</v>
      </c>
      <c r="C124" s="1" t="s">
        <v>3383</v>
      </c>
      <c r="D124" s="1" t="s">
        <v>2245</v>
      </c>
      <c r="E124" s="12" t="s">
        <v>2246</v>
      </c>
      <c r="F124" s="1" t="s">
        <v>1289</v>
      </c>
      <c r="I124" s="1" t="s">
        <v>3394</v>
      </c>
      <c r="J124" s="1" t="s">
        <v>3402</v>
      </c>
      <c r="L124" s="3">
        <v>46233</v>
      </c>
    </row>
    <row r="125" spans="1:12" x14ac:dyDescent="0.2">
      <c r="A125" s="1" t="s">
        <v>2338</v>
      </c>
      <c r="B125" s="1" t="s">
        <v>41</v>
      </c>
      <c r="C125" s="1" t="s">
        <v>3383</v>
      </c>
      <c r="D125" s="1" t="s">
        <v>2339</v>
      </c>
      <c r="E125" s="17" t="s">
        <v>2340</v>
      </c>
      <c r="F125" s="1" t="s">
        <v>1289</v>
      </c>
      <c r="I125" s="1" t="s">
        <v>3394</v>
      </c>
      <c r="J125" s="1" t="s">
        <v>3402</v>
      </c>
      <c r="L125" s="3">
        <v>46233</v>
      </c>
    </row>
    <row r="126" spans="1:12" x14ac:dyDescent="0.2">
      <c r="A126" s="1" t="s">
        <v>2506</v>
      </c>
      <c r="B126" s="1" t="s">
        <v>1314</v>
      </c>
      <c r="C126" s="1" t="s">
        <v>3381</v>
      </c>
      <c r="D126" s="1" t="s">
        <v>2507</v>
      </c>
      <c r="E126" s="1" t="s">
        <v>2508</v>
      </c>
      <c r="F126" s="1" t="s">
        <v>1289</v>
      </c>
      <c r="G126" s="1" t="s">
        <v>294</v>
      </c>
      <c r="H126" s="1" t="s">
        <v>294</v>
      </c>
      <c r="I126" s="1" t="s">
        <v>3394</v>
      </c>
      <c r="J126" s="1" t="s">
        <v>3394</v>
      </c>
      <c r="K126" s="1" t="s">
        <v>162</v>
      </c>
      <c r="L126" s="3">
        <v>46233</v>
      </c>
    </row>
    <row r="127" spans="1:12" x14ac:dyDescent="0.2">
      <c r="A127" s="1" t="s">
        <v>2828</v>
      </c>
      <c r="B127" s="1" t="s">
        <v>41</v>
      </c>
      <c r="C127" s="1" t="s">
        <v>3383</v>
      </c>
      <c r="D127" s="1" t="s">
        <v>2829</v>
      </c>
      <c r="E127" s="1" t="s">
        <v>2830</v>
      </c>
      <c r="F127" s="1" t="s">
        <v>1289</v>
      </c>
      <c r="I127" s="1" t="s">
        <v>3394</v>
      </c>
      <c r="J127" s="1" t="s">
        <v>3393</v>
      </c>
      <c r="L127" s="3">
        <v>46233</v>
      </c>
    </row>
    <row r="128" spans="1:12" x14ac:dyDescent="0.2">
      <c r="A128" s="1" t="s">
        <v>2529</v>
      </c>
      <c r="B128" s="1" t="s">
        <v>1291</v>
      </c>
      <c r="C128" s="1" t="s">
        <v>3381</v>
      </c>
      <c r="D128" s="1" t="s">
        <v>2530</v>
      </c>
      <c r="E128" s="1" t="s">
        <v>2531</v>
      </c>
      <c r="F128" s="1" t="s">
        <v>1290</v>
      </c>
      <c r="G128" s="1" t="s">
        <v>294</v>
      </c>
      <c r="H128" s="1" t="s">
        <v>294</v>
      </c>
      <c r="I128" s="1" t="s">
        <v>3394</v>
      </c>
      <c r="J128" s="1" t="s">
        <v>3394</v>
      </c>
      <c r="K128" s="1" t="s">
        <v>162</v>
      </c>
      <c r="L128" s="3">
        <v>46233</v>
      </c>
    </row>
    <row r="129" spans="1:12" x14ac:dyDescent="0.2">
      <c r="A129" s="1" t="s">
        <v>2532</v>
      </c>
      <c r="B129" s="1" t="s">
        <v>41</v>
      </c>
      <c r="C129" s="1" t="s">
        <v>3381</v>
      </c>
      <c r="D129" s="1" t="s">
        <v>2533</v>
      </c>
      <c r="E129" s="1" t="s">
        <v>2534</v>
      </c>
      <c r="F129" s="1" t="s">
        <v>1290</v>
      </c>
      <c r="G129" s="1" t="s">
        <v>73</v>
      </c>
      <c r="H129" s="1" t="s">
        <v>73</v>
      </c>
      <c r="I129" s="1" t="s">
        <v>3394</v>
      </c>
      <c r="J129" s="1" t="s">
        <v>3394</v>
      </c>
      <c r="K129" s="1" t="s">
        <v>1592</v>
      </c>
      <c r="L129" s="3">
        <v>46233</v>
      </c>
    </row>
    <row r="130" spans="1:12" x14ac:dyDescent="0.2">
      <c r="A130" s="1" t="s">
        <v>56</v>
      </c>
      <c r="B130" s="1" t="s">
        <v>47</v>
      </c>
      <c r="C130" s="1" t="s">
        <v>3380</v>
      </c>
      <c r="E130" s="1" t="s">
        <v>57</v>
      </c>
      <c r="F130" s="1" t="s">
        <v>49</v>
      </c>
      <c r="I130" s="1" t="s">
        <v>3394</v>
      </c>
      <c r="J130" s="1" t="s">
        <v>3402</v>
      </c>
      <c r="L130" s="3">
        <v>46233</v>
      </c>
    </row>
    <row r="131" spans="1:12" x14ac:dyDescent="0.2">
      <c r="A131" s="1" t="s">
        <v>2717</v>
      </c>
      <c r="B131" s="1" t="s">
        <v>41</v>
      </c>
      <c r="C131" s="1" t="s">
        <v>3381</v>
      </c>
      <c r="D131" s="1" t="s">
        <v>2718</v>
      </c>
      <c r="E131" s="12" t="s">
        <v>2719</v>
      </c>
      <c r="F131" s="1" t="s">
        <v>1289</v>
      </c>
      <c r="G131" s="1" t="s">
        <v>294</v>
      </c>
      <c r="H131" s="1" t="s">
        <v>294</v>
      </c>
      <c r="I131" s="1" t="s">
        <v>3394</v>
      </c>
      <c r="J131" s="1" t="s">
        <v>3394</v>
      </c>
      <c r="K131" s="1" t="s">
        <v>162</v>
      </c>
      <c r="L131" s="3">
        <v>46233</v>
      </c>
    </row>
    <row r="132" spans="1:12" x14ac:dyDescent="0.2">
      <c r="A132" s="1" t="s">
        <v>2803</v>
      </c>
      <c r="B132" s="1" t="s">
        <v>41</v>
      </c>
      <c r="C132" s="1" t="s">
        <v>3380</v>
      </c>
      <c r="D132" s="1" t="s">
        <v>2425</v>
      </c>
      <c r="E132" s="1" t="s">
        <v>2804</v>
      </c>
      <c r="F132" s="1" t="s">
        <v>49</v>
      </c>
      <c r="I132" s="1" t="s">
        <v>3394</v>
      </c>
      <c r="J132" s="1" t="s">
        <v>3402</v>
      </c>
      <c r="L132" s="3">
        <v>46233</v>
      </c>
    </row>
    <row r="133" spans="1:12" x14ac:dyDescent="0.2">
      <c r="A133" s="1" t="s">
        <v>2786</v>
      </c>
      <c r="B133" s="1" t="s">
        <v>1297</v>
      </c>
      <c r="C133" s="1" t="s">
        <v>3381</v>
      </c>
      <c r="D133" s="1" t="s">
        <v>2787</v>
      </c>
      <c r="E133" s="1" t="s">
        <v>2788</v>
      </c>
      <c r="F133" s="1" t="s">
        <v>43</v>
      </c>
      <c r="G133" s="1" t="s">
        <v>73</v>
      </c>
      <c r="H133" s="1" t="s">
        <v>73</v>
      </c>
      <c r="I133" s="1" t="s">
        <v>3394</v>
      </c>
      <c r="J133" s="1" t="s">
        <v>3394</v>
      </c>
      <c r="K133" s="1" t="s">
        <v>1769</v>
      </c>
      <c r="L133" s="3">
        <v>46233</v>
      </c>
    </row>
    <row r="134" spans="1:12" x14ac:dyDescent="0.2">
      <c r="A134" s="1" t="s">
        <v>2789</v>
      </c>
      <c r="B134" s="1" t="s">
        <v>41</v>
      </c>
      <c r="C134" s="1" t="s">
        <v>3381</v>
      </c>
      <c r="D134" s="1" t="s">
        <v>2790</v>
      </c>
      <c r="E134" s="1" t="s">
        <v>2791</v>
      </c>
      <c r="F134" s="1" t="s">
        <v>1289</v>
      </c>
      <c r="G134" s="1" t="s">
        <v>294</v>
      </c>
      <c r="H134" s="1" t="s">
        <v>294</v>
      </c>
      <c r="I134" s="1" t="s">
        <v>3394</v>
      </c>
      <c r="J134" s="1" t="s">
        <v>3394</v>
      </c>
      <c r="K134" s="1" t="s">
        <v>162</v>
      </c>
      <c r="L134" s="3">
        <v>46233</v>
      </c>
    </row>
    <row r="135" spans="1:12" x14ac:dyDescent="0.2">
      <c r="A135" s="1" t="s">
        <v>58</v>
      </c>
      <c r="B135" s="1" t="s">
        <v>47</v>
      </c>
      <c r="C135" s="1" t="s">
        <v>3381</v>
      </c>
      <c r="E135" s="1" t="s">
        <v>59</v>
      </c>
      <c r="F135" s="1" t="s">
        <v>49</v>
      </c>
      <c r="I135" s="1" t="s">
        <v>3394</v>
      </c>
      <c r="J135" s="1" t="s">
        <v>3402</v>
      </c>
      <c r="L135" s="3">
        <v>46233</v>
      </c>
    </row>
    <row r="136" spans="1:12" x14ac:dyDescent="0.2">
      <c r="A136" s="1" t="s">
        <v>60</v>
      </c>
      <c r="B136" s="1" t="s">
        <v>47</v>
      </c>
      <c r="C136" s="1" t="s">
        <v>3382</v>
      </c>
      <c r="E136" s="1" t="s">
        <v>61</v>
      </c>
      <c r="F136" s="1" t="s">
        <v>49</v>
      </c>
      <c r="I136" s="1" t="s">
        <v>3394</v>
      </c>
      <c r="J136" s="1" t="s">
        <v>3402</v>
      </c>
      <c r="L136" s="3">
        <v>46233</v>
      </c>
    </row>
    <row r="137" spans="1:12" x14ac:dyDescent="0.2">
      <c r="A137" s="1" t="s">
        <v>62</v>
      </c>
      <c r="B137" s="1" t="s">
        <v>47</v>
      </c>
      <c r="C137" s="1" t="s">
        <v>3383</v>
      </c>
      <c r="E137" s="1" t="s">
        <v>63</v>
      </c>
      <c r="F137" s="1" t="s">
        <v>49</v>
      </c>
      <c r="I137" s="1" t="s">
        <v>3394</v>
      </c>
      <c r="J137" s="1" t="s">
        <v>3402</v>
      </c>
      <c r="L137" s="3">
        <v>46233</v>
      </c>
    </row>
    <row r="138" spans="1:12" x14ac:dyDescent="0.2">
      <c r="A138" s="1" t="s">
        <v>2843</v>
      </c>
      <c r="B138" s="1" t="s">
        <v>1291</v>
      </c>
      <c r="C138" s="1" t="s">
        <v>3381</v>
      </c>
      <c r="D138" s="1" t="s">
        <v>2844</v>
      </c>
      <c r="E138" s="1" t="s">
        <v>2845</v>
      </c>
      <c r="F138" s="1" t="s">
        <v>1289</v>
      </c>
      <c r="G138" s="1" t="s">
        <v>1633</v>
      </c>
      <c r="H138" s="1" t="s">
        <v>1633</v>
      </c>
      <c r="I138" s="1" t="s">
        <v>3394</v>
      </c>
      <c r="J138" s="1" t="s">
        <v>3394</v>
      </c>
      <c r="K138" s="1" t="s">
        <v>44</v>
      </c>
      <c r="L138" s="3">
        <v>46233</v>
      </c>
    </row>
    <row r="139" spans="1:12" x14ac:dyDescent="0.2">
      <c r="A139" s="1" t="s">
        <v>1954</v>
      </c>
      <c r="B139" s="1" t="s">
        <v>41</v>
      </c>
      <c r="C139" s="1" t="s">
        <v>3383</v>
      </c>
      <c r="D139" s="1" t="s">
        <v>1955</v>
      </c>
      <c r="E139" s="1" t="s">
        <v>1956</v>
      </c>
      <c r="F139" s="1" t="s">
        <v>49</v>
      </c>
      <c r="I139" s="1" t="s">
        <v>3394</v>
      </c>
      <c r="J139" s="1" t="s">
        <v>3402</v>
      </c>
      <c r="L139" s="3">
        <v>46233</v>
      </c>
    </row>
    <row r="140" spans="1:12" x14ac:dyDescent="0.2">
      <c r="A140" s="1" t="s">
        <v>2849</v>
      </c>
      <c r="B140" s="1" t="s">
        <v>929</v>
      </c>
      <c r="C140" s="1" t="s">
        <v>3381</v>
      </c>
      <c r="D140" s="1" t="s">
        <v>2850</v>
      </c>
      <c r="E140" s="1" t="s">
        <v>2851</v>
      </c>
      <c r="F140" s="1" t="s">
        <v>1290</v>
      </c>
      <c r="G140" s="1" t="s">
        <v>163</v>
      </c>
      <c r="H140" s="1" t="s">
        <v>163</v>
      </c>
      <c r="I140" s="1" t="s">
        <v>3394</v>
      </c>
      <c r="J140" s="1" t="s">
        <v>3394</v>
      </c>
      <c r="K140" s="1" t="s">
        <v>162</v>
      </c>
      <c r="L140" s="3">
        <v>46233</v>
      </c>
    </row>
    <row r="141" spans="1:12" x14ac:dyDescent="0.2">
      <c r="A141" s="1" t="s">
        <v>2805</v>
      </c>
      <c r="B141" s="1" t="s">
        <v>41</v>
      </c>
      <c r="C141" s="1" t="s">
        <v>3383</v>
      </c>
      <c r="D141" s="1" t="s">
        <v>1955</v>
      </c>
      <c r="E141" s="1" t="s">
        <v>2806</v>
      </c>
      <c r="F141" s="1" t="s">
        <v>49</v>
      </c>
      <c r="I141" s="1" t="s">
        <v>3394</v>
      </c>
      <c r="J141" s="1" t="s">
        <v>3393</v>
      </c>
      <c r="L141" s="3">
        <v>46233</v>
      </c>
    </row>
    <row r="142" spans="1:12" x14ac:dyDescent="0.2">
      <c r="A142" s="1" t="s">
        <v>2855</v>
      </c>
      <c r="B142" s="1" t="s">
        <v>41</v>
      </c>
      <c r="C142" s="1" t="s">
        <v>3381</v>
      </c>
      <c r="D142" s="1" t="s">
        <v>2856</v>
      </c>
      <c r="E142" s="12" t="s">
        <v>2857</v>
      </c>
      <c r="F142" s="1" t="s">
        <v>1289</v>
      </c>
      <c r="G142" s="1" t="s">
        <v>294</v>
      </c>
      <c r="H142" s="1" t="s">
        <v>294</v>
      </c>
      <c r="I142" s="1" t="s">
        <v>3394</v>
      </c>
      <c r="J142" s="1" t="s">
        <v>3394</v>
      </c>
      <c r="K142" s="1" t="s">
        <v>162</v>
      </c>
      <c r="L142" s="3">
        <v>46233</v>
      </c>
    </row>
    <row r="143" spans="1:12" x14ac:dyDescent="0.2">
      <c r="A143" s="1" t="s">
        <v>2947</v>
      </c>
      <c r="B143" s="1" t="s">
        <v>41</v>
      </c>
      <c r="C143" s="1" t="s">
        <v>3383</v>
      </c>
      <c r="D143" s="1" t="s">
        <v>1955</v>
      </c>
      <c r="E143" s="1" t="s">
        <v>2948</v>
      </c>
      <c r="F143" s="1" t="s">
        <v>49</v>
      </c>
      <c r="I143" s="1" t="s">
        <v>3394</v>
      </c>
      <c r="J143" s="1" t="s">
        <v>3402</v>
      </c>
      <c r="L143" s="3">
        <v>46233</v>
      </c>
    </row>
    <row r="144" spans="1:12" x14ac:dyDescent="0.2">
      <c r="A144" s="1" t="s">
        <v>91</v>
      </c>
      <c r="B144" s="1" t="s">
        <v>8</v>
      </c>
      <c r="C144" s="1" t="s">
        <v>3382</v>
      </c>
      <c r="E144" s="1" t="s">
        <v>92</v>
      </c>
      <c r="F144" s="1" t="s">
        <v>86</v>
      </c>
      <c r="I144" s="1" t="s">
        <v>3394</v>
      </c>
      <c r="J144" s="1" t="s">
        <v>3402</v>
      </c>
      <c r="L144" s="3">
        <v>46233</v>
      </c>
    </row>
    <row r="145" spans="1:12" x14ac:dyDescent="0.2">
      <c r="A145" s="1" t="s">
        <v>2864</v>
      </c>
      <c r="B145" s="1" t="s">
        <v>8</v>
      </c>
      <c r="C145" s="1" t="s">
        <v>3381</v>
      </c>
      <c r="D145" s="1" t="s">
        <v>2865</v>
      </c>
      <c r="E145" s="18" t="s">
        <v>2866</v>
      </c>
      <c r="F145" s="1" t="s">
        <v>43</v>
      </c>
      <c r="G145" s="1" t="s">
        <v>2867</v>
      </c>
      <c r="H145" s="1" t="s">
        <v>2867</v>
      </c>
      <c r="I145" s="1" t="s">
        <v>3394</v>
      </c>
      <c r="J145" s="1" t="s">
        <v>3394</v>
      </c>
      <c r="K145" s="1" t="s">
        <v>1769</v>
      </c>
      <c r="L145" s="3">
        <v>46233</v>
      </c>
    </row>
    <row r="146" spans="1:12" x14ac:dyDescent="0.2">
      <c r="A146" s="1" t="s">
        <v>1390</v>
      </c>
      <c r="B146" s="1" t="s">
        <v>41</v>
      </c>
      <c r="C146" s="1" t="s">
        <v>3380</v>
      </c>
      <c r="D146" s="1" t="s">
        <v>1391</v>
      </c>
      <c r="E146" s="12" t="s">
        <v>1392</v>
      </c>
      <c r="F146" s="1" t="s">
        <v>1290</v>
      </c>
      <c r="I146" s="1" t="s">
        <v>3394</v>
      </c>
      <c r="J146" s="1" t="s">
        <v>3394</v>
      </c>
      <c r="K146" s="3">
        <v>46234</v>
      </c>
      <c r="L146" s="3">
        <v>46233</v>
      </c>
    </row>
    <row r="147" spans="1:12" x14ac:dyDescent="0.2">
      <c r="A147" s="1" t="s">
        <v>1428</v>
      </c>
      <c r="B147" s="1" t="s">
        <v>1266</v>
      </c>
      <c r="C147" s="1" t="s">
        <v>3380</v>
      </c>
      <c r="D147" s="1" t="s">
        <v>1429</v>
      </c>
      <c r="E147" s="12" t="s">
        <v>1430</v>
      </c>
      <c r="F147" s="1" t="s">
        <v>1290</v>
      </c>
      <c r="I147" s="1" t="s">
        <v>3394</v>
      </c>
      <c r="J147" s="1" t="s">
        <v>3402</v>
      </c>
      <c r="L147" s="3">
        <v>46233</v>
      </c>
    </row>
    <row r="148" spans="1:12" x14ac:dyDescent="0.2">
      <c r="A148" s="1" t="s">
        <v>2902</v>
      </c>
      <c r="B148" s="1" t="s">
        <v>47</v>
      </c>
      <c r="C148" s="1" t="s">
        <v>3381</v>
      </c>
      <c r="D148" s="1" t="s">
        <v>2903</v>
      </c>
      <c r="E148" s="12" t="s">
        <v>2904</v>
      </c>
      <c r="F148" s="1" t="s">
        <v>1290</v>
      </c>
      <c r="G148" s="1" t="s">
        <v>2905</v>
      </c>
      <c r="H148" s="1" t="s">
        <v>2905</v>
      </c>
      <c r="I148" s="1" t="s">
        <v>3394</v>
      </c>
      <c r="J148" s="1" t="s">
        <v>3394</v>
      </c>
      <c r="K148" s="1" t="s">
        <v>162</v>
      </c>
      <c r="L148" s="3">
        <v>46233</v>
      </c>
    </row>
    <row r="149" spans="1:12" x14ac:dyDescent="0.2">
      <c r="A149" s="1" t="s">
        <v>1491</v>
      </c>
      <c r="B149" s="1" t="s">
        <v>1266</v>
      </c>
      <c r="C149" s="1" t="s">
        <v>3380</v>
      </c>
      <c r="D149" s="1" t="s">
        <v>1492</v>
      </c>
      <c r="E149" s="1" t="s">
        <v>1493</v>
      </c>
      <c r="F149" s="1" t="s">
        <v>1290</v>
      </c>
      <c r="I149" s="1" t="s">
        <v>3394</v>
      </c>
      <c r="J149" s="1" t="s">
        <v>3394</v>
      </c>
      <c r="K149" s="3">
        <v>46234</v>
      </c>
      <c r="L149" s="3">
        <v>46233</v>
      </c>
    </row>
    <row r="150" spans="1:12" x14ac:dyDescent="0.2">
      <c r="A150" s="1" t="s">
        <v>2909</v>
      </c>
      <c r="B150" s="1" t="s">
        <v>41</v>
      </c>
      <c r="C150" s="1" t="s">
        <v>3381</v>
      </c>
      <c r="D150" s="1" t="s">
        <v>2910</v>
      </c>
      <c r="E150" s="1" t="s">
        <v>2911</v>
      </c>
      <c r="F150" s="1" t="s">
        <v>1289</v>
      </c>
      <c r="G150" s="1" t="s">
        <v>2912</v>
      </c>
      <c r="H150" s="1" t="s">
        <v>2913</v>
      </c>
      <c r="I150" s="1" t="s">
        <v>3394</v>
      </c>
      <c r="J150" s="1" t="s">
        <v>3394</v>
      </c>
      <c r="K150" s="1" t="s">
        <v>1769</v>
      </c>
      <c r="L150" s="3">
        <v>46233</v>
      </c>
    </row>
    <row r="151" spans="1:12" x14ac:dyDescent="0.2">
      <c r="A151" s="1" t="s">
        <v>1498</v>
      </c>
      <c r="B151" s="1" t="s">
        <v>1452</v>
      </c>
      <c r="C151" s="1" t="s">
        <v>3380</v>
      </c>
      <c r="D151" s="1" t="s">
        <v>1499</v>
      </c>
      <c r="E151" s="1" t="s">
        <v>1500</v>
      </c>
      <c r="F151" s="1" t="s">
        <v>1290</v>
      </c>
      <c r="I151" s="121" t="s">
        <v>3394</v>
      </c>
      <c r="J151" s="121" t="s">
        <v>3394</v>
      </c>
      <c r="K151" s="3">
        <v>46293</v>
      </c>
      <c r="L151" s="3">
        <v>46233</v>
      </c>
    </row>
    <row r="152" spans="1:12" x14ac:dyDescent="0.2">
      <c r="A152" s="1" t="s">
        <v>2935</v>
      </c>
      <c r="B152" s="1" t="s">
        <v>41</v>
      </c>
      <c r="C152" s="1" t="s">
        <v>3381</v>
      </c>
      <c r="D152" s="1" t="s">
        <v>2936</v>
      </c>
      <c r="E152" s="1" t="s">
        <v>2937</v>
      </c>
      <c r="F152" s="1" t="s">
        <v>49</v>
      </c>
      <c r="G152" s="1" t="s">
        <v>2938</v>
      </c>
      <c r="H152" s="1" t="s">
        <v>2939</v>
      </c>
      <c r="I152" s="1" t="s">
        <v>3394</v>
      </c>
      <c r="J152" s="1" t="s">
        <v>3394</v>
      </c>
      <c r="K152" s="1" t="s">
        <v>1292</v>
      </c>
      <c r="L152" s="3">
        <v>46233</v>
      </c>
    </row>
    <row r="153" spans="1:12" x14ac:dyDescent="0.2">
      <c r="A153" s="1" t="s">
        <v>1463</v>
      </c>
      <c r="B153" s="1" t="s">
        <v>1452</v>
      </c>
      <c r="C153" s="1" t="s">
        <v>3381</v>
      </c>
      <c r="D153" s="1" t="s">
        <v>1464</v>
      </c>
      <c r="E153" s="1" t="s">
        <v>1465</v>
      </c>
      <c r="F153" s="1" t="s">
        <v>1290</v>
      </c>
      <c r="I153" s="1" t="s">
        <v>3393</v>
      </c>
      <c r="J153" s="1" t="s">
        <v>3393</v>
      </c>
      <c r="L153" s="3">
        <v>46233</v>
      </c>
    </row>
    <row r="154" spans="1:12" x14ac:dyDescent="0.2">
      <c r="A154" s="1" t="s">
        <v>1634</v>
      </c>
      <c r="B154" s="1" t="s">
        <v>1314</v>
      </c>
      <c r="C154" s="1" t="s">
        <v>3381</v>
      </c>
      <c r="D154" s="1" t="s">
        <v>1635</v>
      </c>
      <c r="E154" s="12" t="s">
        <v>1636</v>
      </c>
      <c r="F154" s="1" t="s">
        <v>1290</v>
      </c>
      <c r="I154" s="1" t="s">
        <v>3394</v>
      </c>
      <c r="J154" s="1" t="s">
        <v>3402</v>
      </c>
      <c r="L154" s="3">
        <v>46233</v>
      </c>
    </row>
    <row r="155" spans="1:12" x14ac:dyDescent="0.2">
      <c r="A155" s="1" t="s">
        <v>1763</v>
      </c>
      <c r="B155" s="1" t="s">
        <v>1297</v>
      </c>
      <c r="C155" s="1" t="s">
        <v>3381</v>
      </c>
      <c r="D155" s="1" t="s">
        <v>1764</v>
      </c>
      <c r="E155" s="1" t="s">
        <v>1765</v>
      </c>
      <c r="F155" s="1" t="s">
        <v>1290</v>
      </c>
      <c r="I155" s="1" t="s">
        <v>3394</v>
      </c>
      <c r="J155" s="1" t="s">
        <v>3402</v>
      </c>
      <c r="L155" s="3">
        <v>46233</v>
      </c>
    </row>
    <row r="156" spans="1:12" x14ac:dyDescent="0.2">
      <c r="A156" s="1" t="s">
        <v>1774</v>
      </c>
      <c r="B156" s="1" t="s">
        <v>1314</v>
      </c>
      <c r="C156" s="1" t="s">
        <v>3381</v>
      </c>
      <c r="D156" s="1" t="s">
        <v>1775</v>
      </c>
      <c r="E156" s="1" t="s">
        <v>1776</v>
      </c>
      <c r="F156" s="1" t="s">
        <v>1290</v>
      </c>
      <c r="I156" s="1" t="s">
        <v>3394</v>
      </c>
      <c r="J156" s="1" t="s">
        <v>3402</v>
      </c>
      <c r="L156" s="3">
        <v>46233</v>
      </c>
    </row>
    <row r="157" spans="1:12" x14ac:dyDescent="0.2">
      <c r="A157" s="1" t="s">
        <v>1923</v>
      </c>
      <c r="B157" s="1" t="s">
        <v>929</v>
      </c>
      <c r="C157" s="1" t="s">
        <v>3381</v>
      </c>
      <c r="D157" s="1" t="s">
        <v>1924</v>
      </c>
      <c r="E157" s="1" t="s">
        <v>1925</v>
      </c>
      <c r="F157" s="1" t="s">
        <v>1290</v>
      </c>
      <c r="I157" s="1" t="s">
        <v>3394</v>
      </c>
      <c r="J157" s="1" t="s">
        <v>3402</v>
      </c>
      <c r="L157" s="3">
        <v>46233</v>
      </c>
    </row>
    <row r="158" spans="1:12" x14ac:dyDescent="0.2">
      <c r="A158" s="1" t="s">
        <v>1574</v>
      </c>
      <c r="B158" s="1" t="s">
        <v>41</v>
      </c>
      <c r="C158" s="1" t="s">
        <v>3382</v>
      </c>
      <c r="D158" s="1" t="s">
        <v>1575</v>
      </c>
      <c r="E158" s="1" t="s">
        <v>1576</v>
      </c>
      <c r="F158" s="1" t="s">
        <v>49</v>
      </c>
      <c r="H158" s="1" t="s">
        <v>1578</v>
      </c>
      <c r="I158" s="1" t="s">
        <v>3394</v>
      </c>
      <c r="J158" s="1" t="s">
        <v>3394</v>
      </c>
      <c r="L158" s="3">
        <v>46233</v>
      </c>
    </row>
    <row r="159" spans="1:12" x14ac:dyDescent="0.2">
      <c r="A159" s="1" t="s">
        <v>1629</v>
      </c>
      <c r="B159" s="1" t="s">
        <v>1314</v>
      </c>
      <c r="C159" s="1" t="s">
        <v>3382</v>
      </c>
      <c r="D159" s="1" t="s">
        <v>1630</v>
      </c>
      <c r="E159" s="18" t="s">
        <v>1631</v>
      </c>
      <c r="F159" s="1" t="s">
        <v>1287</v>
      </c>
      <c r="G159" s="1" t="s">
        <v>1632</v>
      </c>
      <c r="H159" s="1" t="s">
        <v>1633</v>
      </c>
      <c r="I159" s="1" t="s">
        <v>3394</v>
      </c>
      <c r="J159" s="1" t="s">
        <v>3394</v>
      </c>
      <c r="K159" s="1" t="s">
        <v>44</v>
      </c>
      <c r="L159" s="3">
        <v>46233</v>
      </c>
    </row>
    <row r="160" spans="1:12" x14ac:dyDescent="0.2">
      <c r="A160" s="1" t="s">
        <v>2050</v>
      </c>
      <c r="B160" s="1" t="s">
        <v>8</v>
      </c>
      <c r="C160" s="1" t="s">
        <v>3381</v>
      </c>
      <c r="D160" s="1" t="s">
        <v>2051</v>
      </c>
      <c r="E160" s="18" t="s">
        <v>2052</v>
      </c>
      <c r="F160" s="1" t="s">
        <v>1290</v>
      </c>
      <c r="I160" s="1" t="s">
        <v>3394</v>
      </c>
      <c r="J160" s="1" t="s">
        <v>3402</v>
      </c>
      <c r="L160" s="3">
        <v>46233</v>
      </c>
    </row>
    <row r="161" spans="1:12" x14ac:dyDescent="0.2">
      <c r="A161" s="1" t="s">
        <v>1650</v>
      </c>
      <c r="B161" s="1" t="s">
        <v>41</v>
      </c>
      <c r="C161" s="1" t="s">
        <v>3382</v>
      </c>
      <c r="D161" s="1" t="s">
        <v>1651</v>
      </c>
      <c r="E161" s="1" t="s">
        <v>1652</v>
      </c>
      <c r="F161" s="1" t="s">
        <v>1289</v>
      </c>
      <c r="G161" s="1" t="s">
        <v>1653</v>
      </c>
      <c r="H161" s="1" t="s">
        <v>1520</v>
      </c>
      <c r="I161" s="1" t="s">
        <v>3394</v>
      </c>
      <c r="J161" s="1" t="s">
        <v>3394</v>
      </c>
      <c r="K161" s="1" t="s">
        <v>1292</v>
      </c>
      <c r="L161" s="3">
        <v>46233</v>
      </c>
    </row>
    <row r="162" spans="1:12" x14ac:dyDescent="0.2">
      <c r="A162" s="1" t="s">
        <v>2720</v>
      </c>
      <c r="B162" s="1" t="s">
        <v>1314</v>
      </c>
      <c r="C162" s="1" t="s">
        <v>3381</v>
      </c>
      <c r="D162" s="1" t="s">
        <v>2721</v>
      </c>
      <c r="E162" s="1" t="s">
        <v>2722</v>
      </c>
      <c r="F162" s="1" t="s">
        <v>1290</v>
      </c>
      <c r="I162" s="1" t="s">
        <v>3394</v>
      </c>
      <c r="J162" s="1" t="s">
        <v>3402</v>
      </c>
      <c r="L162" s="3">
        <v>46233</v>
      </c>
    </row>
    <row r="163" spans="1:12" x14ac:dyDescent="0.2">
      <c r="A163" s="1" t="s">
        <v>2861</v>
      </c>
      <c r="B163" s="1" t="s">
        <v>1314</v>
      </c>
      <c r="C163" s="1" t="s">
        <v>3381</v>
      </c>
      <c r="D163" s="1" t="s">
        <v>2862</v>
      </c>
      <c r="E163" s="12" t="s">
        <v>2863</v>
      </c>
      <c r="F163" s="1" t="s">
        <v>1290</v>
      </c>
      <c r="I163" s="1" t="s">
        <v>3394</v>
      </c>
      <c r="J163" s="1" t="s">
        <v>3402</v>
      </c>
      <c r="L163" s="3">
        <v>46233</v>
      </c>
    </row>
    <row r="164" spans="1:12" x14ac:dyDescent="0.2">
      <c r="A164" s="1" t="s">
        <v>1660</v>
      </c>
      <c r="B164" s="1" t="s">
        <v>41</v>
      </c>
      <c r="C164" s="1" t="s">
        <v>3382</v>
      </c>
      <c r="D164" s="1" t="s">
        <v>1661</v>
      </c>
      <c r="E164" s="1" t="s">
        <v>1662</v>
      </c>
      <c r="F164" s="1" t="s">
        <v>1290</v>
      </c>
      <c r="G164" s="1" t="s">
        <v>163</v>
      </c>
      <c r="H164" s="1" t="s">
        <v>163</v>
      </c>
      <c r="I164" s="1" t="s">
        <v>3394</v>
      </c>
      <c r="J164" s="1" t="s">
        <v>3394</v>
      </c>
      <c r="K164" s="1" t="s">
        <v>72</v>
      </c>
      <c r="L164" s="3">
        <v>46233</v>
      </c>
    </row>
    <row r="165" spans="1:12" x14ac:dyDescent="0.2">
      <c r="A165" s="1" t="s">
        <v>1663</v>
      </c>
      <c r="B165" s="1" t="s">
        <v>41</v>
      </c>
      <c r="C165" s="1" t="s">
        <v>3382</v>
      </c>
      <c r="D165" s="1" t="s">
        <v>1664</v>
      </c>
      <c r="E165" s="1" t="s">
        <v>1665</v>
      </c>
      <c r="F165" s="1" t="s">
        <v>1290</v>
      </c>
      <c r="H165" s="1" t="s">
        <v>1667</v>
      </c>
      <c r="I165" s="1" t="s">
        <v>3394</v>
      </c>
      <c r="J165" s="1" t="s">
        <v>3394</v>
      </c>
      <c r="L165" s="3">
        <v>46233</v>
      </c>
    </row>
    <row r="166" spans="1:12" x14ac:dyDescent="0.2">
      <c r="A166" s="1" t="s">
        <v>1740</v>
      </c>
      <c r="B166" s="1" t="s">
        <v>8</v>
      </c>
      <c r="C166" s="1" t="s">
        <v>3382</v>
      </c>
      <c r="D166" s="1" t="s">
        <v>1741</v>
      </c>
      <c r="E166" s="1" t="s">
        <v>1742</v>
      </c>
      <c r="F166" s="1" t="s">
        <v>1293</v>
      </c>
      <c r="G166" s="1" t="s">
        <v>1743</v>
      </c>
      <c r="H166" s="1" t="s">
        <v>1743</v>
      </c>
      <c r="I166" s="1" t="s">
        <v>3394</v>
      </c>
      <c r="J166" s="1" t="s">
        <v>3394</v>
      </c>
      <c r="K166" s="1" t="s">
        <v>1279</v>
      </c>
      <c r="L166" s="3">
        <v>46233</v>
      </c>
    </row>
    <row r="167" spans="1:12" x14ac:dyDescent="0.2">
      <c r="A167" s="1" t="s">
        <v>1744</v>
      </c>
      <c r="B167" s="1" t="s">
        <v>8</v>
      </c>
      <c r="C167" s="1" t="s">
        <v>3382</v>
      </c>
      <c r="D167" s="1" t="s">
        <v>1745</v>
      </c>
      <c r="E167" s="1" t="s">
        <v>1746</v>
      </c>
      <c r="F167" s="1" t="s">
        <v>1293</v>
      </c>
      <c r="G167" s="1" t="s">
        <v>163</v>
      </c>
      <c r="H167" s="1" t="s">
        <v>163</v>
      </c>
      <c r="I167" s="1" t="s">
        <v>3394</v>
      </c>
      <c r="J167" s="1" t="s">
        <v>3394</v>
      </c>
      <c r="K167" s="1" t="s">
        <v>1439</v>
      </c>
      <c r="L167" s="3">
        <v>46233</v>
      </c>
    </row>
    <row r="168" spans="1:12" x14ac:dyDescent="0.2">
      <c r="A168" s="1" t="s">
        <v>1747</v>
      </c>
      <c r="B168" s="1" t="s">
        <v>41</v>
      </c>
      <c r="C168" s="1" t="s">
        <v>3382</v>
      </c>
      <c r="D168" s="1" t="s">
        <v>1748</v>
      </c>
      <c r="E168" s="1" t="s">
        <v>1749</v>
      </c>
      <c r="F168" s="1" t="s">
        <v>1289</v>
      </c>
      <c r="H168" s="1" t="s">
        <v>1750</v>
      </c>
      <c r="I168" s="1" t="s">
        <v>3394</v>
      </c>
      <c r="J168" s="1" t="s">
        <v>3394</v>
      </c>
      <c r="L168" s="3">
        <v>46233</v>
      </c>
    </row>
    <row r="169" spans="1:12" x14ac:dyDescent="0.2">
      <c r="A169" s="1" t="s">
        <v>2235</v>
      </c>
      <c r="B169" s="1" t="s">
        <v>929</v>
      </c>
      <c r="C169" s="1" t="s">
        <v>3382</v>
      </c>
      <c r="D169" s="1" t="s">
        <v>2236</v>
      </c>
      <c r="E169" s="1" t="s">
        <v>2237</v>
      </c>
      <c r="F169" s="1" t="s">
        <v>1290</v>
      </c>
      <c r="I169" s="1" t="s">
        <v>3394</v>
      </c>
      <c r="J169" s="1" t="s">
        <v>3402</v>
      </c>
      <c r="L169" s="3">
        <v>46233</v>
      </c>
    </row>
    <row r="170" spans="1:12" x14ac:dyDescent="0.2">
      <c r="A170" s="1" t="s">
        <v>1754</v>
      </c>
      <c r="B170" s="1" t="s">
        <v>929</v>
      </c>
      <c r="C170" s="1" t="s">
        <v>3382</v>
      </c>
      <c r="D170" s="1" t="s">
        <v>1755</v>
      </c>
      <c r="E170" s="1" t="s">
        <v>1756</v>
      </c>
      <c r="F170" s="1" t="s">
        <v>1290</v>
      </c>
      <c r="G170" s="1" t="s">
        <v>163</v>
      </c>
      <c r="H170" s="1" t="s">
        <v>163</v>
      </c>
      <c r="I170" s="1" t="s">
        <v>3394</v>
      </c>
      <c r="J170" s="1" t="s">
        <v>3394</v>
      </c>
      <c r="K170" s="1" t="s">
        <v>72</v>
      </c>
      <c r="L170" s="3">
        <v>46233</v>
      </c>
    </row>
    <row r="171" spans="1:12" x14ac:dyDescent="0.2">
      <c r="A171" s="1" t="s">
        <v>2367</v>
      </c>
      <c r="B171" s="1" t="s">
        <v>929</v>
      </c>
      <c r="C171" s="1" t="s">
        <v>3382</v>
      </c>
      <c r="D171" s="1" t="s">
        <v>2368</v>
      </c>
      <c r="E171" s="1" t="s">
        <v>2369</v>
      </c>
      <c r="F171" s="1" t="s">
        <v>1290</v>
      </c>
      <c r="I171" s="1" t="s">
        <v>3394</v>
      </c>
      <c r="J171" s="1" t="s">
        <v>3402</v>
      </c>
      <c r="L171" s="3">
        <v>46233</v>
      </c>
    </row>
    <row r="172" spans="1:12" x14ac:dyDescent="0.2">
      <c r="A172" s="1" t="s">
        <v>2548</v>
      </c>
      <c r="B172" s="1" t="s">
        <v>1297</v>
      </c>
      <c r="C172" s="1" t="s">
        <v>3382</v>
      </c>
      <c r="D172" s="1" t="s">
        <v>2549</v>
      </c>
      <c r="E172" s="1" t="s">
        <v>2550</v>
      </c>
      <c r="F172" s="1" t="s">
        <v>1290</v>
      </c>
      <c r="I172" s="1" t="s">
        <v>3394</v>
      </c>
      <c r="J172" s="1" t="s">
        <v>3402</v>
      </c>
      <c r="L172" s="3">
        <v>46233</v>
      </c>
    </row>
    <row r="173" spans="1:12" x14ac:dyDescent="0.2">
      <c r="A173" s="1" t="s">
        <v>1801</v>
      </c>
      <c r="B173" s="1" t="s">
        <v>1314</v>
      </c>
      <c r="C173" s="1" t="s">
        <v>3382</v>
      </c>
      <c r="D173" s="1" t="s">
        <v>1802</v>
      </c>
      <c r="E173" s="1" t="s">
        <v>1803</v>
      </c>
      <c r="F173" s="1" t="s">
        <v>1289</v>
      </c>
      <c r="G173" s="1" t="s">
        <v>163</v>
      </c>
      <c r="H173" s="1" t="s">
        <v>163</v>
      </c>
      <c r="I173" s="1" t="s">
        <v>3394</v>
      </c>
      <c r="J173" s="1" t="s">
        <v>3394</v>
      </c>
      <c r="K173" s="1" t="s">
        <v>1438</v>
      </c>
      <c r="L173" s="3">
        <v>46233</v>
      </c>
    </row>
    <row r="174" spans="1:12" x14ac:dyDescent="0.2">
      <c r="A174" s="1" t="s">
        <v>2037</v>
      </c>
      <c r="B174" s="1" t="s">
        <v>1291</v>
      </c>
      <c r="C174" s="1" t="s">
        <v>3383</v>
      </c>
      <c r="D174" s="1" t="s">
        <v>2038</v>
      </c>
      <c r="E174" s="1" t="s">
        <v>2039</v>
      </c>
      <c r="F174" s="1" t="s">
        <v>1290</v>
      </c>
      <c r="I174" s="1" t="s">
        <v>3394</v>
      </c>
      <c r="J174" s="1" t="s">
        <v>3394</v>
      </c>
      <c r="K174" s="3">
        <v>46233</v>
      </c>
      <c r="L174" s="3">
        <v>46233</v>
      </c>
    </row>
    <row r="175" spans="1:12" x14ac:dyDescent="0.2">
      <c r="A175" s="1" t="s">
        <v>1876</v>
      </c>
      <c r="B175" s="1" t="s">
        <v>1371</v>
      </c>
      <c r="C175" s="1" t="s">
        <v>3382</v>
      </c>
      <c r="D175" s="1" t="s">
        <v>1877</v>
      </c>
      <c r="E175" s="1" t="s">
        <v>1878</v>
      </c>
      <c r="F175" s="1" t="s">
        <v>1289</v>
      </c>
      <c r="G175" s="1" t="s">
        <v>294</v>
      </c>
      <c r="H175" s="1" t="s">
        <v>294</v>
      </c>
      <c r="I175" s="1" t="s">
        <v>3394</v>
      </c>
      <c r="J175" s="1" t="s">
        <v>3394</v>
      </c>
      <c r="K175" s="1" t="s">
        <v>293</v>
      </c>
      <c r="L175" s="3">
        <v>46233</v>
      </c>
    </row>
    <row r="176" spans="1:12" x14ac:dyDescent="0.2">
      <c r="A176" s="1" t="s">
        <v>2104</v>
      </c>
      <c r="B176" s="1" t="s">
        <v>1297</v>
      </c>
      <c r="C176" s="1" t="s">
        <v>3383</v>
      </c>
      <c r="D176" s="1" t="s">
        <v>2105</v>
      </c>
      <c r="E176" s="1" t="s">
        <v>2106</v>
      </c>
      <c r="F176" s="1" t="s">
        <v>1290</v>
      </c>
      <c r="I176" s="1" t="s">
        <v>3394</v>
      </c>
      <c r="J176" s="1" t="s">
        <v>3394</v>
      </c>
      <c r="K176" s="3">
        <v>46233</v>
      </c>
      <c r="L176" s="3">
        <v>46233</v>
      </c>
    </row>
    <row r="177" spans="1:12" x14ac:dyDescent="0.2">
      <c r="A177" s="1" t="s">
        <v>2925</v>
      </c>
      <c r="B177" s="1" t="s">
        <v>1291</v>
      </c>
      <c r="C177" s="1" t="s">
        <v>3383</v>
      </c>
      <c r="D177" s="1" t="s">
        <v>2926</v>
      </c>
      <c r="E177" s="1" t="s">
        <v>2927</v>
      </c>
      <c r="F177" s="1" t="s">
        <v>1290</v>
      </c>
      <c r="I177" s="1" t="s">
        <v>3394</v>
      </c>
      <c r="J177" s="1" t="s">
        <v>3394</v>
      </c>
      <c r="K177" s="3">
        <v>46233</v>
      </c>
      <c r="L177" s="3">
        <v>46233</v>
      </c>
    </row>
    <row r="178" spans="1:12" x14ac:dyDescent="0.2">
      <c r="A178" s="1" t="s">
        <v>1885</v>
      </c>
      <c r="B178" s="1" t="s">
        <v>41</v>
      </c>
      <c r="C178" s="1" t="s">
        <v>3382</v>
      </c>
      <c r="D178" s="1" t="s">
        <v>1886</v>
      </c>
      <c r="E178" s="1" t="s">
        <v>1887</v>
      </c>
      <c r="F178" s="1" t="s">
        <v>1289</v>
      </c>
      <c r="G178" s="1" t="s">
        <v>163</v>
      </c>
      <c r="H178" s="1" t="s">
        <v>163</v>
      </c>
      <c r="I178" s="1" t="s">
        <v>3394</v>
      </c>
      <c r="J178" s="1" t="s">
        <v>3394</v>
      </c>
      <c r="K178" s="1" t="s">
        <v>1189</v>
      </c>
      <c r="L178" s="3">
        <v>46233</v>
      </c>
    </row>
    <row r="179" spans="1:12" x14ac:dyDescent="0.2">
      <c r="A179" s="1" t="s">
        <v>1888</v>
      </c>
      <c r="B179" s="1" t="s">
        <v>1291</v>
      </c>
      <c r="C179" s="1" t="s">
        <v>3382</v>
      </c>
      <c r="D179" s="1" t="s">
        <v>1889</v>
      </c>
      <c r="E179" s="1" t="s">
        <v>1890</v>
      </c>
      <c r="F179" s="1" t="s">
        <v>1289</v>
      </c>
      <c r="G179" s="1" t="s">
        <v>1891</v>
      </c>
      <c r="H179" s="1" t="s">
        <v>1520</v>
      </c>
      <c r="I179" s="1" t="s">
        <v>3394</v>
      </c>
      <c r="J179" s="1" t="s">
        <v>3394</v>
      </c>
      <c r="K179" s="1" t="s">
        <v>1292</v>
      </c>
      <c r="L179" s="3">
        <v>46233</v>
      </c>
    </row>
    <row r="180" spans="1:12" x14ac:dyDescent="0.2">
      <c r="A180" s="1" t="s">
        <v>1936</v>
      </c>
      <c r="B180" s="1" t="s">
        <v>8</v>
      </c>
      <c r="C180" s="1" t="s">
        <v>3382</v>
      </c>
      <c r="D180" s="1" t="s">
        <v>1937</v>
      </c>
      <c r="E180" s="1" t="s">
        <v>1938</v>
      </c>
      <c r="F180" s="1" t="s">
        <v>1293</v>
      </c>
      <c r="G180" s="1" t="s">
        <v>163</v>
      </c>
      <c r="H180" s="1" t="s">
        <v>163</v>
      </c>
      <c r="I180" s="1" t="s">
        <v>3394</v>
      </c>
      <c r="J180" s="1" t="s">
        <v>3394</v>
      </c>
      <c r="K180" s="1" t="s">
        <v>1439</v>
      </c>
      <c r="L180" s="3">
        <v>46233</v>
      </c>
    </row>
    <row r="181" spans="1:12" x14ac:dyDescent="0.2">
      <c r="A181" s="1" t="s">
        <v>2044</v>
      </c>
      <c r="B181" s="1" t="s">
        <v>41</v>
      </c>
      <c r="C181" s="1" t="s">
        <v>3382</v>
      </c>
      <c r="D181" s="1" t="s">
        <v>2045</v>
      </c>
      <c r="E181" s="12" t="s">
        <v>2046</v>
      </c>
      <c r="F181" s="1" t="s">
        <v>1293</v>
      </c>
      <c r="G181" s="1" t="s">
        <v>163</v>
      </c>
      <c r="H181" s="1" t="s">
        <v>163</v>
      </c>
      <c r="I181" s="1" t="s">
        <v>3394</v>
      </c>
      <c r="J181" s="1" t="s">
        <v>3394</v>
      </c>
      <c r="K181" s="1" t="s">
        <v>1279</v>
      </c>
      <c r="L181" s="3">
        <v>46233</v>
      </c>
    </row>
    <row r="182" spans="1:12" x14ac:dyDescent="0.2">
      <c r="A182" s="1" t="s">
        <v>2047</v>
      </c>
      <c r="B182" s="1" t="s">
        <v>41</v>
      </c>
      <c r="C182" s="1" t="s">
        <v>3382</v>
      </c>
      <c r="D182" s="1" t="s">
        <v>2048</v>
      </c>
      <c r="E182" s="1" t="s">
        <v>2049</v>
      </c>
      <c r="F182" s="1" t="s">
        <v>1289</v>
      </c>
      <c r="G182" s="1" t="s">
        <v>163</v>
      </c>
      <c r="H182" s="1" t="s">
        <v>163</v>
      </c>
      <c r="I182" s="1" t="s">
        <v>3394</v>
      </c>
      <c r="J182" s="1" t="s">
        <v>3394</v>
      </c>
      <c r="K182" s="1" t="s">
        <v>1189</v>
      </c>
      <c r="L182" s="3">
        <v>46233</v>
      </c>
    </row>
    <row r="183" spans="1:12" x14ac:dyDescent="0.2">
      <c r="A183" s="1" t="s">
        <v>2154</v>
      </c>
      <c r="B183" s="1" t="s">
        <v>1314</v>
      </c>
      <c r="C183" s="1" t="s">
        <v>3382</v>
      </c>
      <c r="D183" s="1" t="s">
        <v>2155</v>
      </c>
      <c r="E183" s="18" t="s">
        <v>2156</v>
      </c>
      <c r="F183" s="1" t="s">
        <v>1287</v>
      </c>
      <c r="G183" s="1" t="s">
        <v>2157</v>
      </c>
      <c r="H183" s="1" t="s">
        <v>1633</v>
      </c>
      <c r="I183" s="1" t="s">
        <v>3394</v>
      </c>
      <c r="J183" s="1" t="s">
        <v>3394</v>
      </c>
      <c r="K183" s="1" t="s">
        <v>44</v>
      </c>
      <c r="L183" s="3">
        <v>46233</v>
      </c>
    </row>
    <row r="184" spans="1:12" x14ac:dyDescent="0.2">
      <c r="A184" s="1" t="s">
        <v>1488</v>
      </c>
      <c r="B184" s="1" t="s">
        <v>8</v>
      </c>
      <c r="C184" s="1" t="s">
        <v>3380</v>
      </c>
      <c r="D184" s="1" t="s">
        <v>1489</v>
      </c>
      <c r="E184" s="18" t="s">
        <v>1490</v>
      </c>
      <c r="F184" s="1" t="s">
        <v>1293</v>
      </c>
      <c r="I184" s="1" t="s">
        <v>3394</v>
      </c>
      <c r="J184" s="1" t="s">
        <v>3394</v>
      </c>
      <c r="K184" s="3">
        <v>46237</v>
      </c>
      <c r="L184" s="3">
        <v>46233</v>
      </c>
    </row>
    <row r="185" spans="1:12" x14ac:dyDescent="0.2">
      <c r="A185" s="1" t="s">
        <v>2161</v>
      </c>
      <c r="B185" s="1" t="s">
        <v>1291</v>
      </c>
      <c r="C185" s="1" t="s">
        <v>3382</v>
      </c>
      <c r="D185" s="1" t="s">
        <v>2162</v>
      </c>
      <c r="E185" s="1" t="s">
        <v>2163</v>
      </c>
      <c r="F185" s="1" t="s">
        <v>1289</v>
      </c>
      <c r="G185" s="1" t="s">
        <v>73</v>
      </c>
      <c r="H185" s="1" t="s">
        <v>2164</v>
      </c>
      <c r="I185" s="1" t="s">
        <v>3394</v>
      </c>
      <c r="J185" s="1" t="s">
        <v>3394</v>
      </c>
      <c r="K185" s="1" t="s">
        <v>1769</v>
      </c>
      <c r="L185" s="3">
        <v>46233</v>
      </c>
    </row>
    <row r="186" spans="1:12" x14ac:dyDescent="0.2">
      <c r="A186" s="1" t="s">
        <v>2176</v>
      </c>
      <c r="B186" s="1" t="s">
        <v>1371</v>
      </c>
      <c r="C186" s="1" t="s">
        <v>3382</v>
      </c>
      <c r="D186" s="1" t="s">
        <v>2177</v>
      </c>
      <c r="E186" s="1" t="s">
        <v>2178</v>
      </c>
      <c r="F186" s="1" t="s">
        <v>1289</v>
      </c>
      <c r="G186" s="1" t="s">
        <v>163</v>
      </c>
      <c r="H186" s="1" t="s">
        <v>163</v>
      </c>
      <c r="I186" s="1" t="s">
        <v>3394</v>
      </c>
      <c r="J186" s="1" t="s">
        <v>3394</v>
      </c>
      <c r="K186" s="1" t="s">
        <v>1189</v>
      </c>
      <c r="L186" s="3">
        <v>46233</v>
      </c>
    </row>
    <row r="187" spans="1:12" x14ac:dyDescent="0.2">
      <c r="A187" s="1" t="s">
        <v>2179</v>
      </c>
      <c r="B187" s="1" t="s">
        <v>1314</v>
      </c>
      <c r="C187" s="1" t="s">
        <v>3382</v>
      </c>
      <c r="D187" s="1" t="s">
        <v>2180</v>
      </c>
      <c r="E187" s="1" t="s">
        <v>2181</v>
      </c>
      <c r="F187" s="1" t="s">
        <v>1289</v>
      </c>
      <c r="G187" s="1" t="s">
        <v>294</v>
      </c>
      <c r="H187" s="1" t="s">
        <v>294</v>
      </c>
      <c r="I187" s="1" t="s">
        <v>3394</v>
      </c>
      <c r="J187" s="1" t="s">
        <v>3394</v>
      </c>
      <c r="K187" s="1" t="s">
        <v>293</v>
      </c>
      <c r="L187" s="3">
        <v>46233</v>
      </c>
    </row>
    <row r="188" spans="1:12" x14ac:dyDescent="0.2">
      <c r="A188" s="1" t="s">
        <v>2182</v>
      </c>
      <c r="B188" s="1" t="s">
        <v>1291</v>
      </c>
      <c r="C188" s="1" t="s">
        <v>3382</v>
      </c>
      <c r="D188" s="1" t="s">
        <v>2183</v>
      </c>
      <c r="E188" s="1" t="s">
        <v>2184</v>
      </c>
      <c r="F188" s="1" t="s">
        <v>1289</v>
      </c>
      <c r="H188" s="1" t="s">
        <v>2185</v>
      </c>
      <c r="I188" s="1" t="s">
        <v>3394</v>
      </c>
      <c r="J188" s="1" t="s">
        <v>3394</v>
      </c>
      <c r="L188" s="3">
        <v>46233</v>
      </c>
    </row>
    <row r="189" spans="1:12" x14ac:dyDescent="0.2">
      <c r="A189" s="1" t="s">
        <v>2186</v>
      </c>
      <c r="B189" s="1" t="s">
        <v>41</v>
      </c>
      <c r="C189" s="1" t="s">
        <v>3382</v>
      </c>
      <c r="D189" s="1" t="s">
        <v>2187</v>
      </c>
      <c r="E189" s="1" t="s">
        <v>2188</v>
      </c>
      <c r="F189" s="1" t="s">
        <v>1290</v>
      </c>
      <c r="G189" s="1" t="s">
        <v>163</v>
      </c>
      <c r="H189" s="1" t="s">
        <v>163</v>
      </c>
      <c r="I189" s="1" t="s">
        <v>3394</v>
      </c>
      <c r="J189" s="1" t="s">
        <v>3394</v>
      </c>
      <c r="K189" s="1" t="s">
        <v>162</v>
      </c>
      <c r="L189" s="3">
        <v>46233</v>
      </c>
    </row>
    <row r="190" spans="1:12" x14ac:dyDescent="0.2">
      <c r="A190" s="1" t="s">
        <v>2225</v>
      </c>
      <c r="B190" s="1" t="s">
        <v>8</v>
      </c>
      <c r="C190" s="1" t="s">
        <v>3382</v>
      </c>
      <c r="D190" s="1" t="s">
        <v>2226</v>
      </c>
      <c r="E190" s="18" t="s">
        <v>2227</v>
      </c>
      <c r="F190" s="1" t="s">
        <v>1293</v>
      </c>
      <c r="G190" s="1" t="s">
        <v>163</v>
      </c>
      <c r="H190" s="1" t="s">
        <v>163</v>
      </c>
      <c r="I190" s="1" t="s">
        <v>3394</v>
      </c>
      <c r="J190" s="1" t="s">
        <v>3394</v>
      </c>
      <c r="K190" s="1" t="s">
        <v>1439</v>
      </c>
      <c r="L190" s="3">
        <v>46233</v>
      </c>
    </row>
    <row r="191" spans="1:12" x14ac:dyDescent="0.2">
      <c r="A191" s="1" t="s">
        <v>1505</v>
      </c>
      <c r="B191" s="1" t="s">
        <v>8</v>
      </c>
      <c r="C191" s="1" t="s">
        <v>3380</v>
      </c>
      <c r="D191" s="1" t="s">
        <v>1506</v>
      </c>
      <c r="E191" s="18" t="s">
        <v>1507</v>
      </c>
      <c r="F191" s="1" t="s">
        <v>1293</v>
      </c>
      <c r="I191" s="1" t="s">
        <v>3394</v>
      </c>
      <c r="J191" s="1" t="s">
        <v>3394</v>
      </c>
      <c r="K191" s="3">
        <v>46237</v>
      </c>
      <c r="L191" s="3">
        <v>46233</v>
      </c>
    </row>
    <row r="192" spans="1:12" x14ac:dyDescent="0.2">
      <c r="A192" s="1" t="s">
        <v>2231</v>
      </c>
      <c r="B192" s="1" t="s">
        <v>41</v>
      </c>
      <c r="C192" s="1" t="s">
        <v>3382</v>
      </c>
      <c r="D192" s="1" t="s">
        <v>2232</v>
      </c>
      <c r="E192" s="1" t="s">
        <v>2233</v>
      </c>
      <c r="F192" s="1" t="s">
        <v>1289</v>
      </c>
      <c r="G192" s="1" t="s">
        <v>2234</v>
      </c>
      <c r="H192" s="1" t="s">
        <v>1520</v>
      </c>
      <c r="I192" s="1" t="s">
        <v>3394</v>
      </c>
      <c r="J192" s="1" t="s">
        <v>3394</v>
      </c>
      <c r="K192" s="1" t="s">
        <v>1292</v>
      </c>
      <c r="L192" s="3">
        <v>46233</v>
      </c>
    </row>
    <row r="193" spans="1:12" x14ac:dyDescent="0.2">
      <c r="A193" s="1" t="s">
        <v>1726</v>
      </c>
      <c r="B193" s="1" t="s">
        <v>8</v>
      </c>
      <c r="C193" s="1" t="s">
        <v>3381</v>
      </c>
      <c r="D193" s="1" t="s">
        <v>1727</v>
      </c>
      <c r="E193" s="1" t="s">
        <v>1728</v>
      </c>
      <c r="F193" s="1" t="s">
        <v>1293</v>
      </c>
      <c r="I193" s="1" t="s">
        <v>3393</v>
      </c>
      <c r="J193" s="1" t="s">
        <v>3393</v>
      </c>
      <c r="L193" s="3">
        <v>46233</v>
      </c>
    </row>
    <row r="194" spans="1:12" x14ac:dyDescent="0.2">
      <c r="A194" s="1" t="s">
        <v>2247</v>
      </c>
      <c r="B194" s="1" t="s">
        <v>8</v>
      </c>
      <c r="C194" s="1" t="s">
        <v>3382</v>
      </c>
      <c r="D194" s="1" t="s">
        <v>2248</v>
      </c>
      <c r="E194" s="1" t="s">
        <v>2249</v>
      </c>
      <c r="F194" s="1" t="s">
        <v>1293</v>
      </c>
      <c r="G194" s="1" t="s">
        <v>163</v>
      </c>
      <c r="H194" s="1" t="s">
        <v>163</v>
      </c>
      <c r="I194" s="1" t="s">
        <v>3394</v>
      </c>
      <c r="J194" s="1" t="s">
        <v>3394</v>
      </c>
      <c r="K194" s="1" t="s">
        <v>1439</v>
      </c>
      <c r="L194" s="3">
        <v>46233</v>
      </c>
    </row>
    <row r="195" spans="1:12" x14ac:dyDescent="0.2">
      <c r="A195" s="1" t="s">
        <v>2250</v>
      </c>
      <c r="B195" s="1" t="s">
        <v>8</v>
      </c>
      <c r="C195" s="1" t="s">
        <v>3382</v>
      </c>
      <c r="D195" s="1" t="s">
        <v>2251</v>
      </c>
      <c r="E195" s="18" t="s">
        <v>2252</v>
      </c>
      <c r="F195" s="1" t="s">
        <v>1293</v>
      </c>
      <c r="G195" s="1" t="s">
        <v>163</v>
      </c>
      <c r="H195" s="1" t="s">
        <v>163</v>
      </c>
      <c r="I195" s="1" t="s">
        <v>3394</v>
      </c>
      <c r="J195" s="1" t="s">
        <v>3394</v>
      </c>
      <c r="K195" s="1" t="s">
        <v>1439</v>
      </c>
      <c r="L195" s="3">
        <v>46233</v>
      </c>
    </row>
    <row r="196" spans="1:12" x14ac:dyDescent="0.2">
      <c r="A196" s="1" t="s">
        <v>2253</v>
      </c>
      <c r="B196" s="1" t="s">
        <v>8</v>
      </c>
      <c r="C196" s="1" t="s">
        <v>3382</v>
      </c>
      <c r="D196" s="1" t="s">
        <v>2254</v>
      </c>
      <c r="E196" s="1" t="s">
        <v>2255</v>
      </c>
      <c r="F196" s="1" t="s">
        <v>1293</v>
      </c>
      <c r="G196" s="1" t="s">
        <v>163</v>
      </c>
      <c r="H196" s="1" t="s">
        <v>163</v>
      </c>
      <c r="I196" s="1" t="s">
        <v>3394</v>
      </c>
      <c r="J196" s="1" t="s">
        <v>3394</v>
      </c>
      <c r="K196" s="1" t="s">
        <v>1279</v>
      </c>
      <c r="L196" s="3">
        <v>46233</v>
      </c>
    </row>
    <row r="197" spans="1:12" x14ac:dyDescent="0.2">
      <c r="A197" s="1" t="s">
        <v>2256</v>
      </c>
      <c r="B197" s="1" t="s">
        <v>8</v>
      </c>
      <c r="C197" s="1" t="s">
        <v>3382</v>
      </c>
      <c r="D197" s="1" t="s">
        <v>2257</v>
      </c>
      <c r="E197" s="1" t="s">
        <v>2258</v>
      </c>
      <c r="F197" s="1" t="s">
        <v>1289</v>
      </c>
      <c r="G197" s="1" t="s">
        <v>163</v>
      </c>
      <c r="H197" s="1" t="s">
        <v>163</v>
      </c>
      <c r="I197" s="1" t="s">
        <v>3394</v>
      </c>
      <c r="J197" s="1" t="s">
        <v>3394</v>
      </c>
      <c r="K197" s="1" t="s">
        <v>1189</v>
      </c>
      <c r="L197" s="3">
        <v>46233</v>
      </c>
    </row>
    <row r="198" spans="1:12" x14ac:dyDescent="0.2">
      <c r="A198" s="1" t="s">
        <v>1942</v>
      </c>
      <c r="B198" s="1" t="s">
        <v>8</v>
      </c>
      <c r="C198" s="1" t="s">
        <v>3381</v>
      </c>
      <c r="D198" s="1" t="s">
        <v>1943</v>
      </c>
      <c r="E198" s="1" t="s">
        <v>1944</v>
      </c>
      <c r="F198" s="1" t="s">
        <v>1293</v>
      </c>
      <c r="I198" s="1" t="s">
        <v>3393</v>
      </c>
      <c r="J198" s="1" t="s">
        <v>3393</v>
      </c>
      <c r="L198" s="3">
        <v>46233</v>
      </c>
    </row>
    <row r="199" spans="1:12" x14ac:dyDescent="0.2">
      <c r="A199" s="1" t="s">
        <v>2285</v>
      </c>
      <c r="B199" s="1" t="s">
        <v>8</v>
      </c>
      <c r="C199" s="1" t="s">
        <v>3382</v>
      </c>
      <c r="D199" s="1" t="s">
        <v>2286</v>
      </c>
      <c r="E199" s="1" t="s">
        <v>2287</v>
      </c>
      <c r="F199" s="1" t="s">
        <v>1293</v>
      </c>
      <c r="G199" s="1" t="s">
        <v>2288</v>
      </c>
      <c r="H199" s="1" t="s">
        <v>1520</v>
      </c>
      <c r="I199" s="1" t="s">
        <v>3394</v>
      </c>
      <c r="J199" s="1" t="s">
        <v>3394</v>
      </c>
      <c r="K199" s="1" t="s">
        <v>1292</v>
      </c>
      <c r="L199" s="3">
        <v>46233</v>
      </c>
    </row>
    <row r="200" spans="1:12" x14ac:dyDescent="0.2">
      <c r="A200" s="1" t="s">
        <v>2289</v>
      </c>
      <c r="B200" s="1" t="s">
        <v>1314</v>
      </c>
      <c r="C200" s="1" t="s">
        <v>3382</v>
      </c>
      <c r="D200" s="1" t="s">
        <v>2290</v>
      </c>
      <c r="E200" s="18" t="s">
        <v>2291</v>
      </c>
      <c r="F200" s="1" t="s">
        <v>1289</v>
      </c>
      <c r="G200" s="1" t="s">
        <v>163</v>
      </c>
      <c r="H200" s="1" t="s">
        <v>163</v>
      </c>
      <c r="I200" s="1" t="s">
        <v>3394</v>
      </c>
      <c r="J200" s="1" t="s">
        <v>3394</v>
      </c>
      <c r="K200" s="1" t="s">
        <v>1189</v>
      </c>
      <c r="L200" s="3">
        <v>46233</v>
      </c>
    </row>
    <row r="201" spans="1:12" x14ac:dyDescent="0.2">
      <c r="A201" s="1" t="s">
        <v>2292</v>
      </c>
      <c r="B201" s="1" t="s">
        <v>1314</v>
      </c>
      <c r="C201" s="1" t="s">
        <v>3382</v>
      </c>
      <c r="D201" s="1" t="s">
        <v>2293</v>
      </c>
      <c r="E201" s="12" t="s">
        <v>2294</v>
      </c>
      <c r="F201" s="1" t="s">
        <v>1290</v>
      </c>
      <c r="G201" s="1" t="s">
        <v>163</v>
      </c>
      <c r="H201" s="1" t="s">
        <v>163</v>
      </c>
      <c r="I201" s="1" t="s">
        <v>3394</v>
      </c>
      <c r="J201" s="1" t="s">
        <v>3394</v>
      </c>
      <c r="K201" s="1" t="s">
        <v>162</v>
      </c>
      <c r="L201" s="3">
        <v>46233</v>
      </c>
    </row>
    <row r="202" spans="1:12" x14ac:dyDescent="0.2">
      <c r="A202" s="1" t="s">
        <v>2295</v>
      </c>
      <c r="B202" s="1" t="s">
        <v>929</v>
      </c>
      <c r="C202" s="1" t="s">
        <v>3382</v>
      </c>
      <c r="D202" s="1" t="s">
        <v>2296</v>
      </c>
      <c r="E202" s="1" t="s">
        <v>2297</v>
      </c>
      <c r="F202" s="1" t="s">
        <v>1290</v>
      </c>
      <c r="G202" s="1" t="s">
        <v>163</v>
      </c>
      <c r="H202" s="1" t="s">
        <v>163</v>
      </c>
      <c r="I202" s="1" t="s">
        <v>3394</v>
      </c>
      <c r="J202" s="1" t="s">
        <v>3394</v>
      </c>
      <c r="K202" s="1" t="s">
        <v>72</v>
      </c>
      <c r="L202" s="3">
        <v>46233</v>
      </c>
    </row>
    <row r="203" spans="1:12" x14ac:dyDescent="0.2">
      <c r="A203" s="1" t="s">
        <v>2318</v>
      </c>
      <c r="B203" s="1" t="s">
        <v>41</v>
      </c>
      <c r="C203" s="1" t="s">
        <v>3382</v>
      </c>
      <c r="D203" s="1" t="s">
        <v>2319</v>
      </c>
      <c r="E203" s="12" t="s">
        <v>2320</v>
      </c>
      <c r="F203" s="1" t="s">
        <v>1289</v>
      </c>
      <c r="G203" s="1" t="s">
        <v>163</v>
      </c>
      <c r="H203" s="1" t="s">
        <v>163</v>
      </c>
      <c r="I203" s="1" t="s">
        <v>3394</v>
      </c>
      <c r="J203" s="1" t="s">
        <v>3394</v>
      </c>
      <c r="K203" s="1" t="s">
        <v>1189</v>
      </c>
      <c r="L203" s="3">
        <v>46233</v>
      </c>
    </row>
    <row r="204" spans="1:12" x14ac:dyDescent="0.2">
      <c r="A204" s="1" t="s">
        <v>2321</v>
      </c>
      <c r="B204" s="1" t="s">
        <v>8</v>
      </c>
      <c r="C204" s="1" t="s">
        <v>3382</v>
      </c>
      <c r="D204" s="1" t="s">
        <v>2322</v>
      </c>
      <c r="E204" s="1" t="s">
        <v>2323</v>
      </c>
      <c r="F204" s="1" t="s">
        <v>43</v>
      </c>
      <c r="G204" s="1" t="s">
        <v>163</v>
      </c>
      <c r="H204" s="1" t="s">
        <v>163</v>
      </c>
      <c r="I204" s="1" t="s">
        <v>3394</v>
      </c>
      <c r="J204" s="1" t="s">
        <v>3394</v>
      </c>
      <c r="K204" s="1" t="s">
        <v>72</v>
      </c>
      <c r="L204" s="3">
        <v>46233</v>
      </c>
    </row>
    <row r="205" spans="1:12" x14ac:dyDescent="0.2">
      <c r="A205" s="1" t="s">
        <v>2358</v>
      </c>
      <c r="B205" s="1" t="s">
        <v>8</v>
      </c>
      <c r="C205" s="1" t="s">
        <v>3382</v>
      </c>
      <c r="D205" s="1" t="s">
        <v>2359</v>
      </c>
      <c r="E205" s="1" t="s">
        <v>2360</v>
      </c>
      <c r="F205" s="1" t="s">
        <v>1293</v>
      </c>
      <c r="G205" s="1" t="s">
        <v>163</v>
      </c>
      <c r="H205" s="1" t="s">
        <v>163</v>
      </c>
      <c r="I205" s="1" t="s">
        <v>3394</v>
      </c>
      <c r="J205" s="1" t="s">
        <v>3394</v>
      </c>
      <c r="K205" s="1" t="s">
        <v>1439</v>
      </c>
      <c r="L205" s="3">
        <v>46233</v>
      </c>
    </row>
    <row r="206" spans="1:12" x14ac:dyDescent="0.2">
      <c r="A206" s="1" t="s">
        <v>2262</v>
      </c>
      <c r="B206" s="1" t="s">
        <v>8</v>
      </c>
      <c r="C206" s="1" t="s">
        <v>3381</v>
      </c>
      <c r="D206" s="1" t="s">
        <v>2263</v>
      </c>
      <c r="E206" s="1" t="s">
        <v>2264</v>
      </c>
      <c r="F206" s="1" t="s">
        <v>1293</v>
      </c>
      <c r="I206" s="121" t="s">
        <v>3394</v>
      </c>
      <c r="J206" s="121" t="s">
        <v>3394</v>
      </c>
      <c r="K206" s="3">
        <v>46293</v>
      </c>
      <c r="L206" s="3">
        <v>46233</v>
      </c>
    </row>
    <row r="207" spans="1:12" x14ac:dyDescent="0.2">
      <c r="A207" s="1" t="s">
        <v>2364</v>
      </c>
      <c r="B207" s="1" t="s">
        <v>1314</v>
      </c>
      <c r="C207" s="1" t="s">
        <v>3382</v>
      </c>
      <c r="D207" s="1" t="s">
        <v>2365</v>
      </c>
      <c r="E207" s="1" t="s">
        <v>2366</v>
      </c>
      <c r="F207" s="1" t="s">
        <v>1290</v>
      </c>
      <c r="G207" s="1" t="s">
        <v>294</v>
      </c>
      <c r="H207" s="1" t="s">
        <v>294</v>
      </c>
      <c r="I207" s="1" t="s">
        <v>3394</v>
      </c>
      <c r="J207" s="1" t="s">
        <v>3394</v>
      </c>
      <c r="K207" s="1" t="s">
        <v>293</v>
      </c>
      <c r="L207" s="3">
        <v>46233</v>
      </c>
    </row>
    <row r="208" spans="1:12" x14ac:dyDescent="0.2">
      <c r="A208" s="1" t="s">
        <v>1920</v>
      </c>
      <c r="B208" s="1" t="s">
        <v>8</v>
      </c>
      <c r="C208" s="1" t="s">
        <v>3383</v>
      </c>
      <c r="D208" s="1" t="s">
        <v>1921</v>
      </c>
      <c r="E208" s="1" t="s">
        <v>1922</v>
      </c>
      <c r="F208" s="1" t="s">
        <v>1293</v>
      </c>
      <c r="I208" s="1" t="s">
        <v>3393</v>
      </c>
      <c r="J208" s="1" t="s">
        <v>3393</v>
      </c>
      <c r="L208" s="3">
        <v>46233</v>
      </c>
    </row>
    <row r="209" spans="1:12" x14ac:dyDescent="0.2">
      <c r="A209" s="1" t="s">
        <v>2379</v>
      </c>
      <c r="B209" s="1" t="s">
        <v>1291</v>
      </c>
      <c r="C209" s="1" t="s">
        <v>3382</v>
      </c>
      <c r="D209" s="1" t="s">
        <v>2380</v>
      </c>
      <c r="E209" s="1" t="s">
        <v>2381</v>
      </c>
      <c r="F209" s="1" t="s">
        <v>1290</v>
      </c>
      <c r="H209" s="1" t="s">
        <v>73</v>
      </c>
      <c r="I209" s="1" t="s">
        <v>3394</v>
      </c>
      <c r="J209" s="1" t="s">
        <v>3394</v>
      </c>
      <c r="L209" s="3">
        <v>46233</v>
      </c>
    </row>
    <row r="210" spans="1:12" x14ac:dyDescent="0.2">
      <c r="A210" s="1" t="s">
        <v>2452</v>
      </c>
      <c r="B210" s="1" t="s">
        <v>41</v>
      </c>
      <c r="C210" s="1" t="s">
        <v>3382</v>
      </c>
      <c r="D210" s="1" t="s">
        <v>2453</v>
      </c>
      <c r="E210" s="1" t="s">
        <v>2454</v>
      </c>
      <c r="F210" s="1" t="s">
        <v>1289</v>
      </c>
      <c r="G210" s="1" t="s">
        <v>294</v>
      </c>
      <c r="H210" s="1" t="s">
        <v>294</v>
      </c>
      <c r="I210" s="1" t="s">
        <v>3394</v>
      </c>
      <c r="J210" s="1" t="s">
        <v>3394</v>
      </c>
      <c r="K210" s="1" t="s">
        <v>162</v>
      </c>
      <c r="L210" s="3">
        <v>46233</v>
      </c>
    </row>
    <row r="211" spans="1:12" x14ac:dyDescent="0.2">
      <c r="A211" s="1" t="s">
        <v>2455</v>
      </c>
      <c r="B211" s="1" t="s">
        <v>1314</v>
      </c>
      <c r="C211" s="1" t="s">
        <v>3382</v>
      </c>
      <c r="D211" s="1" t="s">
        <v>2456</v>
      </c>
      <c r="E211" s="1" t="s">
        <v>2457</v>
      </c>
      <c r="F211" s="1" t="s">
        <v>1289</v>
      </c>
      <c r="G211" s="1" t="s">
        <v>294</v>
      </c>
      <c r="H211" s="1" t="s">
        <v>294</v>
      </c>
      <c r="I211" s="1" t="s">
        <v>3394</v>
      </c>
      <c r="J211" s="1" t="s">
        <v>3394</v>
      </c>
      <c r="K211" s="1" t="s">
        <v>162</v>
      </c>
      <c r="L211" s="3">
        <v>46233</v>
      </c>
    </row>
    <row r="212" spans="1:12" x14ac:dyDescent="0.2">
      <c r="A212" s="1" t="s">
        <v>2458</v>
      </c>
      <c r="B212" s="1" t="s">
        <v>41</v>
      </c>
      <c r="C212" s="1" t="s">
        <v>3382</v>
      </c>
      <c r="D212" s="1" t="s">
        <v>2459</v>
      </c>
      <c r="E212" s="1" t="s">
        <v>2460</v>
      </c>
      <c r="F212" s="1" t="s">
        <v>1289</v>
      </c>
      <c r="G212" s="1" t="s">
        <v>163</v>
      </c>
      <c r="H212" s="1" t="s">
        <v>163</v>
      </c>
      <c r="I212" s="1" t="s">
        <v>3394</v>
      </c>
      <c r="J212" s="1" t="s">
        <v>3394</v>
      </c>
      <c r="K212" s="1" t="s">
        <v>1189</v>
      </c>
      <c r="L212" s="3">
        <v>46233</v>
      </c>
    </row>
    <row r="213" spans="1:12" x14ac:dyDescent="0.2">
      <c r="A213" s="1" t="s">
        <v>2461</v>
      </c>
      <c r="B213" s="1" t="s">
        <v>41</v>
      </c>
      <c r="C213" s="1" t="s">
        <v>3382</v>
      </c>
      <c r="D213" s="1" t="s">
        <v>2462</v>
      </c>
      <c r="E213" s="12" t="s">
        <v>2463</v>
      </c>
      <c r="F213" s="1" t="s">
        <v>43</v>
      </c>
      <c r="G213" s="1" t="s">
        <v>2464</v>
      </c>
      <c r="H213" s="1" t="s">
        <v>73</v>
      </c>
      <c r="I213" s="1" t="s">
        <v>3394</v>
      </c>
      <c r="J213" s="1" t="s">
        <v>3394</v>
      </c>
      <c r="K213" s="1" t="s">
        <v>1396</v>
      </c>
      <c r="L213" s="3">
        <v>46233</v>
      </c>
    </row>
    <row r="214" spans="1:12" x14ac:dyDescent="0.2">
      <c r="A214" s="1" t="s">
        <v>2465</v>
      </c>
      <c r="B214" s="1" t="s">
        <v>41</v>
      </c>
      <c r="C214" s="1" t="s">
        <v>3382</v>
      </c>
      <c r="D214" s="1" t="s">
        <v>2466</v>
      </c>
      <c r="E214" s="1" t="s">
        <v>2467</v>
      </c>
      <c r="F214" s="1" t="s">
        <v>43</v>
      </c>
      <c r="G214" s="1" t="s">
        <v>2468</v>
      </c>
      <c r="H214" s="1" t="s">
        <v>1520</v>
      </c>
      <c r="I214" s="1" t="s">
        <v>3394</v>
      </c>
      <c r="J214" s="1" t="s">
        <v>3394</v>
      </c>
      <c r="K214" s="1" t="s">
        <v>1292</v>
      </c>
      <c r="L214" s="3">
        <v>46233</v>
      </c>
    </row>
    <row r="215" spans="1:12" x14ac:dyDescent="0.2">
      <c r="A215" s="1" t="s">
        <v>2496</v>
      </c>
      <c r="B215" s="1" t="s">
        <v>41</v>
      </c>
      <c r="C215" s="1" t="s">
        <v>3382</v>
      </c>
      <c r="D215" s="1" t="s">
        <v>2497</v>
      </c>
      <c r="E215" s="1" t="s">
        <v>2498</v>
      </c>
      <c r="F215" s="1" t="s">
        <v>1290</v>
      </c>
      <c r="H215" s="1" t="s">
        <v>2499</v>
      </c>
      <c r="I215" s="1" t="s">
        <v>3394</v>
      </c>
      <c r="J215" s="1" t="s">
        <v>3394</v>
      </c>
      <c r="L215" s="3">
        <v>46233</v>
      </c>
    </row>
    <row r="216" spans="1:12" x14ac:dyDescent="0.2">
      <c r="A216" s="1" t="s">
        <v>2515</v>
      </c>
      <c r="B216" s="1" t="s">
        <v>8</v>
      </c>
      <c r="C216" s="1" t="s">
        <v>3382</v>
      </c>
      <c r="D216" s="1" t="s">
        <v>2516</v>
      </c>
      <c r="E216" s="1" t="s">
        <v>2517</v>
      </c>
      <c r="F216" s="1" t="s">
        <v>1293</v>
      </c>
      <c r="G216" s="1" t="s">
        <v>163</v>
      </c>
      <c r="H216" s="1" t="s">
        <v>163</v>
      </c>
      <c r="I216" s="1" t="s">
        <v>3394</v>
      </c>
      <c r="J216" s="1" t="s">
        <v>3394</v>
      </c>
      <c r="K216" s="1" t="s">
        <v>1279</v>
      </c>
      <c r="L216" s="3">
        <v>46233</v>
      </c>
    </row>
    <row r="217" spans="1:12" x14ac:dyDescent="0.2">
      <c r="A217" s="1" t="s">
        <v>2518</v>
      </c>
      <c r="B217" s="1" t="s">
        <v>41</v>
      </c>
      <c r="C217" s="1" t="s">
        <v>3382</v>
      </c>
      <c r="D217" s="1" t="s">
        <v>2519</v>
      </c>
      <c r="E217" s="12" t="s">
        <v>2520</v>
      </c>
      <c r="F217" s="1" t="s">
        <v>1289</v>
      </c>
      <c r="G217" s="1" t="s">
        <v>163</v>
      </c>
      <c r="H217" s="1" t="s">
        <v>163</v>
      </c>
      <c r="I217" s="1" t="s">
        <v>3394</v>
      </c>
      <c r="J217" s="1" t="s">
        <v>3394</v>
      </c>
      <c r="K217" s="1" t="s">
        <v>1189</v>
      </c>
      <c r="L217" s="3">
        <v>46233</v>
      </c>
    </row>
    <row r="218" spans="1:12" x14ac:dyDescent="0.2">
      <c r="A218" s="1" t="s">
        <v>2521</v>
      </c>
      <c r="B218" s="1" t="s">
        <v>1314</v>
      </c>
      <c r="C218" s="1" t="s">
        <v>3382</v>
      </c>
      <c r="D218" s="1" t="s">
        <v>2522</v>
      </c>
      <c r="E218" s="1" t="s">
        <v>2523</v>
      </c>
      <c r="F218" s="1" t="s">
        <v>1290</v>
      </c>
      <c r="G218" s="1" t="s">
        <v>163</v>
      </c>
      <c r="H218" s="1" t="s">
        <v>163</v>
      </c>
      <c r="I218" s="1" t="s">
        <v>3394</v>
      </c>
      <c r="J218" s="1" t="s">
        <v>3394</v>
      </c>
      <c r="K218" s="1" t="s">
        <v>162</v>
      </c>
      <c r="L218" s="3">
        <v>46233</v>
      </c>
    </row>
    <row r="219" spans="1:12" x14ac:dyDescent="0.2">
      <c r="A219" s="1" t="s">
        <v>2542</v>
      </c>
      <c r="B219" s="1" t="s">
        <v>41</v>
      </c>
      <c r="C219" s="1" t="s">
        <v>3382</v>
      </c>
      <c r="D219" s="1" t="s">
        <v>2543</v>
      </c>
      <c r="E219" s="12" t="s">
        <v>2544</v>
      </c>
      <c r="F219" s="1" t="s">
        <v>1293</v>
      </c>
      <c r="G219" s="1" t="s">
        <v>163</v>
      </c>
      <c r="H219" s="1" t="s">
        <v>163</v>
      </c>
      <c r="I219" s="1" t="s">
        <v>3394</v>
      </c>
      <c r="J219" s="1" t="s">
        <v>3394</v>
      </c>
      <c r="K219" s="1" t="s">
        <v>1439</v>
      </c>
      <c r="L219" s="3">
        <v>46233</v>
      </c>
    </row>
    <row r="220" spans="1:12" x14ac:dyDescent="0.2">
      <c r="A220" s="1" t="s">
        <v>2545</v>
      </c>
      <c r="B220" s="1" t="s">
        <v>1291</v>
      </c>
      <c r="C220" s="1" t="s">
        <v>3382</v>
      </c>
      <c r="D220" s="1" t="s">
        <v>2546</v>
      </c>
      <c r="E220" s="1" t="s">
        <v>2547</v>
      </c>
      <c r="F220" s="1" t="s">
        <v>1290</v>
      </c>
      <c r="H220" s="1" t="s">
        <v>73</v>
      </c>
      <c r="I220" s="1" t="s">
        <v>3394</v>
      </c>
      <c r="J220" s="1" t="s">
        <v>3394</v>
      </c>
      <c r="L220" s="3">
        <v>46233</v>
      </c>
    </row>
    <row r="221" spans="1:12" x14ac:dyDescent="0.2">
      <c r="A221" s="1" t="s">
        <v>2868</v>
      </c>
      <c r="B221" s="1" t="s">
        <v>8</v>
      </c>
      <c r="C221" s="1" t="s">
        <v>3383</v>
      </c>
      <c r="D221" s="1" t="s">
        <v>2869</v>
      </c>
      <c r="E221" s="1" t="s">
        <v>2870</v>
      </c>
      <c r="F221" s="1" t="s">
        <v>1293</v>
      </c>
      <c r="I221" s="1" t="s">
        <v>3393</v>
      </c>
      <c r="J221" s="1" t="s">
        <v>3393</v>
      </c>
      <c r="L221" s="3">
        <v>46233</v>
      </c>
    </row>
    <row r="222" spans="1:12" x14ac:dyDescent="0.2">
      <c r="A222" s="1" t="s">
        <v>1202</v>
      </c>
      <c r="B222" s="1" t="s">
        <v>8</v>
      </c>
      <c r="C222" s="1" t="s">
        <v>3380</v>
      </c>
      <c r="E222" s="1" t="s">
        <v>1203</v>
      </c>
      <c r="F222" s="1" t="s">
        <v>43</v>
      </c>
      <c r="I222" s="1" t="s">
        <v>3393</v>
      </c>
      <c r="J222" s="1" t="s">
        <v>3393</v>
      </c>
      <c r="L222" s="3">
        <v>46233</v>
      </c>
    </row>
    <row r="223" spans="1:12" x14ac:dyDescent="0.2">
      <c r="A223" s="1" t="s">
        <v>2570</v>
      </c>
      <c r="B223" s="1" t="s">
        <v>41</v>
      </c>
      <c r="C223" s="1" t="s">
        <v>3382</v>
      </c>
      <c r="D223" s="1" t="s">
        <v>2571</v>
      </c>
      <c r="E223" s="1" t="s">
        <v>2572</v>
      </c>
      <c r="F223" s="1" t="s">
        <v>1290</v>
      </c>
      <c r="G223" s="1" t="s">
        <v>2573</v>
      </c>
      <c r="H223" s="1" t="s">
        <v>73</v>
      </c>
      <c r="I223" s="1" t="s">
        <v>3394</v>
      </c>
      <c r="J223" s="1" t="s">
        <v>3394</v>
      </c>
      <c r="K223" s="1" t="s">
        <v>1592</v>
      </c>
      <c r="L223" s="3">
        <v>46233</v>
      </c>
    </row>
    <row r="224" spans="1:12" x14ac:dyDescent="0.2">
      <c r="A224" s="1" t="s">
        <v>2574</v>
      </c>
      <c r="B224" s="1" t="s">
        <v>41</v>
      </c>
      <c r="C224" s="1" t="s">
        <v>3382</v>
      </c>
      <c r="D224" s="1" t="s">
        <v>2575</v>
      </c>
      <c r="E224" s="12" t="s">
        <v>2576</v>
      </c>
      <c r="F224" s="1" t="s">
        <v>1290</v>
      </c>
      <c r="G224" s="1" t="s">
        <v>163</v>
      </c>
      <c r="H224" s="1" t="s">
        <v>163</v>
      </c>
      <c r="I224" s="1" t="s">
        <v>3394</v>
      </c>
      <c r="J224" s="1" t="s">
        <v>3394</v>
      </c>
      <c r="K224" s="1" t="s">
        <v>72</v>
      </c>
      <c r="L224" s="3">
        <v>46233</v>
      </c>
    </row>
    <row r="225" spans="1:12" x14ac:dyDescent="0.2">
      <c r="A225" s="1" t="s">
        <v>2589</v>
      </c>
      <c r="B225" s="1" t="s">
        <v>41</v>
      </c>
      <c r="C225" s="1" t="s">
        <v>3382</v>
      </c>
      <c r="D225" s="1" t="s">
        <v>2590</v>
      </c>
      <c r="E225" s="1" t="s">
        <v>2591</v>
      </c>
      <c r="F225" s="1" t="s">
        <v>1289</v>
      </c>
      <c r="G225" s="1" t="s">
        <v>294</v>
      </c>
      <c r="H225" s="1" t="s">
        <v>294</v>
      </c>
      <c r="I225" s="1" t="s">
        <v>3394</v>
      </c>
      <c r="J225" s="1" t="s">
        <v>3394</v>
      </c>
      <c r="K225" s="1" t="s">
        <v>293</v>
      </c>
      <c r="L225" s="3">
        <v>46233</v>
      </c>
    </row>
    <row r="226" spans="1:12" x14ac:dyDescent="0.2">
      <c r="A226" s="1" t="s">
        <v>2595</v>
      </c>
      <c r="B226" s="1" t="s">
        <v>41</v>
      </c>
      <c r="C226" s="1" t="s">
        <v>3382</v>
      </c>
      <c r="D226" s="1" t="s">
        <v>2596</v>
      </c>
      <c r="E226" s="1" t="s">
        <v>2597</v>
      </c>
      <c r="F226" s="1" t="s">
        <v>1289</v>
      </c>
      <c r="G226" s="1" t="s">
        <v>2598</v>
      </c>
      <c r="H226" s="1" t="s">
        <v>1520</v>
      </c>
      <c r="I226" s="1" t="s">
        <v>3394</v>
      </c>
      <c r="J226" s="1" t="s">
        <v>3394</v>
      </c>
      <c r="K226" s="1" t="s">
        <v>1292</v>
      </c>
      <c r="L226" s="3">
        <v>46233</v>
      </c>
    </row>
    <row r="227" spans="1:12" x14ac:dyDescent="0.2">
      <c r="A227" s="1" t="s">
        <v>2599</v>
      </c>
      <c r="B227" s="1" t="s">
        <v>41</v>
      </c>
      <c r="C227" s="1" t="s">
        <v>3382</v>
      </c>
      <c r="D227" s="1" t="s">
        <v>2600</v>
      </c>
      <c r="E227" s="12" t="s">
        <v>2601</v>
      </c>
      <c r="F227" s="1" t="s">
        <v>1289</v>
      </c>
      <c r="H227" s="1" t="s">
        <v>2602</v>
      </c>
      <c r="I227" s="1" t="s">
        <v>3394</v>
      </c>
      <c r="J227" s="1" t="s">
        <v>3394</v>
      </c>
      <c r="L227" s="3">
        <v>46233</v>
      </c>
    </row>
    <row r="228" spans="1:12" x14ac:dyDescent="0.2">
      <c r="A228" s="1" t="s">
        <v>2641</v>
      </c>
      <c r="B228" s="1" t="s">
        <v>41</v>
      </c>
      <c r="C228" s="1" t="s">
        <v>3382</v>
      </c>
      <c r="D228" s="1" t="s">
        <v>1575</v>
      </c>
      <c r="E228" s="1" t="s">
        <v>2642</v>
      </c>
      <c r="F228" s="1" t="s">
        <v>49</v>
      </c>
      <c r="H228" s="1" t="s">
        <v>2643</v>
      </c>
      <c r="I228" s="1" t="s">
        <v>3394</v>
      </c>
      <c r="J228" s="1" t="s">
        <v>3394</v>
      </c>
      <c r="L228" s="3">
        <v>46233</v>
      </c>
    </row>
    <row r="229" spans="1:12" x14ac:dyDescent="0.2">
      <c r="A229" s="1" t="s">
        <v>2658</v>
      </c>
      <c r="B229" s="1" t="s">
        <v>1291</v>
      </c>
      <c r="C229" s="1" t="s">
        <v>3382</v>
      </c>
      <c r="D229" s="1" t="s">
        <v>2659</v>
      </c>
      <c r="E229" s="1" t="s">
        <v>2660</v>
      </c>
      <c r="F229" s="1" t="s">
        <v>1290</v>
      </c>
      <c r="H229" s="1" t="s">
        <v>2661</v>
      </c>
      <c r="I229" s="1" t="s">
        <v>3394</v>
      </c>
      <c r="J229" s="1" t="s">
        <v>3394</v>
      </c>
      <c r="L229" s="3">
        <v>46233</v>
      </c>
    </row>
    <row r="230" spans="1:12" x14ac:dyDescent="0.2">
      <c r="A230" s="1" t="s">
        <v>2662</v>
      </c>
      <c r="B230" s="1" t="s">
        <v>1314</v>
      </c>
      <c r="C230" s="1" t="s">
        <v>3382</v>
      </c>
      <c r="D230" s="1" t="s">
        <v>2663</v>
      </c>
      <c r="E230" s="12" t="s">
        <v>2664</v>
      </c>
      <c r="F230" s="1" t="s">
        <v>1290</v>
      </c>
      <c r="G230" s="1" t="s">
        <v>163</v>
      </c>
      <c r="H230" s="1" t="s">
        <v>163</v>
      </c>
      <c r="I230" s="1" t="s">
        <v>3394</v>
      </c>
      <c r="J230" s="1" t="s">
        <v>3394</v>
      </c>
      <c r="K230" s="1" t="s">
        <v>162</v>
      </c>
      <c r="L230" s="3">
        <v>46233</v>
      </c>
    </row>
    <row r="231" spans="1:12" x14ac:dyDescent="0.2">
      <c r="A231" s="1" t="s">
        <v>2665</v>
      </c>
      <c r="B231" s="1" t="s">
        <v>1291</v>
      </c>
      <c r="C231" s="1" t="s">
        <v>3382</v>
      </c>
      <c r="D231" s="1" t="s">
        <v>2666</v>
      </c>
      <c r="E231" s="1" t="s">
        <v>2667</v>
      </c>
      <c r="F231" s="1" t="s">
        <v>1289</v>
      </c>
      <c r="G231" s="1" t="s">
        <v>73</v>
      </c>
      <c r="H231" s="1" t="s">
        <v>2668</v>
      </c>
      <c r="I231" s="1" t="s">
        <v>3394</v>
      </c>
      <c r="J231" s="1" t="s">
        <v>3394</v>
      </c>
      <c r="K231" s="1" t="s">
        <v>72</v>
      </c>
      <c r="L231" s="3">
        <v>46233</v>
      </c>
    </row>
    <row r="232" spans="1:12" x14ac:dyDescent="0.2">
      <c r="A232" s="1" t="s">
        <v>2741</v>
      </c>
      <c r="B232" s="1" t="s">
        <v>41</v>
      </c>
      <c r="C232" s="1" t="s">
        <v>3382</v>
      </c>
      <c r="D232" s="1" t="s">
        <v>2742</v>
      </c>
      <c r="E232" s="17" t="s">
        <v>2743</v>
      </c>
      <c r="F232" s="1" t="s">
        <v>1289</v>
      </c>
      <c r="G232" s="1" t="s">
        <v>2744</v>
      </c>
      <c r="H232" s="1" t="s">
        <v>1520</v>
      </c>
      <c r="I232" s="1" t="s">
        <v>3394</v>
      </c>
      <c r="J232" s="1" t="s">
        <v>3394</v>
      </c>
      <c r="K232" s="1" t="s">
        <v>1292</v>
      </c>
      <c r="L232" s="3">
        <v>46233</v>
      </c>
    </row>
    <row r="233" spans="1:12" x14ac:dyDescent="0.2">
      <c r="A233" s="1" t="s">
        <v>1260</v>
      </c>
      <c r="B233" s="1" t="s">
        <v>8</v>
      </c>
      <c r="C233" s="1" t="s">
        <v>3380</v>
      </c>
      <c r="E233" s="1" t="s">
        <v>1261</v>
      </c>
      <c r="F233" s="1" t="s">
        <v>43</v>
      </c>
      <c r="I233" s="1" t="s">
        <v>3393</v>
      </c>
      <c r="J233" s="1" t="s">
        <v>3393</v>
      </c>
      <c r="L233" s="3">
        <v>46233</v>
      </c>
    </row>
    <row r="234" spans="1:12" x14ac:dyDescent="0.2">
      <c r="A234" s="1" t="s">
        <v>2748</v>
      </c>
      <c r="B234" s="1" t="s">
        <v>41</v>
      </c>
      <c r="C234" s="1" t="s">
        <v>3382</v>
      </c>
      <c r="D234" s="1" t="s">
        <v>2749</v>
      </c>
      <c r="E234" s="1" t="s">
        <v>2750</v>
      </c>
      <c r="F234" s="1" t="s">
        <v>1289</v>
      </c>
      <c r="G234" s="1" t="s">
        <v>294</v>
      </c>
      <c r="H234" s="1" t="s">
        <v>294</v>
      </c>
      <c r="I234" s="1" t="s">
        <v>3394</v>
      </c>
      <c r="J234" s="1" t="s">
        <v>3394</v>
      </c>
      <c r="K234" s="1" t="s">
        <v>293</v>
      </c>
      <c r="L234" s="3">
        <v>46233</v>
      </c>
    </row>
    <row r="235" spans="1:12" x14ac:dyDescent="0.2">
      <c r="A235" s="1" t="s">
        <v>2751</v>
      </c>
      <c r="B235" s="1" t="s">
        <v>41</v>
      </c>
      <c r="C235" s="1" t="s">
        <v>3382</v>
      </c>
      <c r="D235" s="1" t="s">
        <v>2752</v>
      </c>
      <c r="E235" s="1" t="s">
        <v>2753</v>
      </c>
      <c r="F235" s="1" t="s">
        <v>43</v>
      </c>
      <c r="G235" s="1" t="s">
        <v>2754</v>
      </c>
      <c r="H235" s="1" t="s">
        <v>1520</v>
      </c>
      <c r="I235" s="1" t="s">
        <v>3394</v>
      </c>
      <c r="J235" s="1" t="s">
        <v>3394</v>
      </c>
      <c r="K235" s="1" t="s">
        <v>1292</v>
      </c>
      <c r="L235" s="3">
        <v>46233</v>
      </c>
    </row>
    <row r="236" spans="1:12" x14ac:dyDescent="0.2">
      <c r="A236" s="1" t="s">
        <v>2755</v>
      </c>
      <c r="B236" s="1" t="s">
        <v>929</v>
      </c>
      <c r="C236" s="1" t="s">
        <v>3382</v>
      </c>
      <c r="D236" s="1" t="s">
        <v>2756</v>
      </c>
      <c r="E236" s="1" t="s">
        <v>2757</v>
      </c>
      <c r="F236" s="1" t="s">
        <v>1290</v>
      </c>
      <c r="G236" s="1" t="s">
        <v>2758</v>
      </c>
      <c r="H236" s="1" t="s">
        <v>73</v>
      </c>
      <c r="I236" s="1" t="s">
        <v>3394</v>
      </c>
      <c r="J236" s="1" t="s">
        <v>3394</v>
      </c>
      <c r="K236" s="1" t="s">
        <v>1396</v>
      </c>
      <c r="L236" s="3">
        <v>46233</v>
      </c>
    </row>
    <row r="237" spans="1:12" x14ac:dyDescent="0.2">
      <c r="A237" s="1" t="s">
        <v>2759</v>
      </c>
      <c r="B237" s="1" t="s">
        <v>1291</v>
      </c>
      <c r="C237" s="1" t="s">
        <v>3382</v>
      </c>
      <c r="D237" s="1" t="s">
        <v>2760</v>
      </c>
      <c r="E237" s="1" t="s">
        <v>2761</v>
      </c>
      <c r="F237" s="1" t="s">
        <v>1290</v>
      </c>
      <c r="G237" s="1" t="s">
        <v>163</v>
      </c>
      <c r="H237" s="1" t="s">
        <v>163</v>
      </c>
      <c r="I237" s="1" t="s">
        <v>3394</v>
      </c>
      <c r="J237" s="1" t="s">
        <v>3394</v>
      </c>
      <c r="K237" s="1" t="s">
        <v>72</v>
      </c>
      <c r="L237" s="3">
        <v>46233</v>
      </c>
    </row>
    <row r="238" spans="1:12" x14ac:dyDescent="0.2">
      <c r="A238" s="1" t="s">
        <v>2800</v>
      </c>
      <c r="B238" s="1" t="s">
        <v>1314</v>
      </c>
      <c r="C238" s="1" t="s">
        <v>3382</v>
      </c>
      <c r="D238" s="1" t="s">
        <v>2801</v>
      </c>
      <c r="E238" s="1" t="s">
        <v>2802</v>
      </c>
      <c r="F238" s="1" t="s">
        <v>1289</v>
      </c>
      <c r="G238" s="1" t="s">
        <v>163</v>
      </c>
      <c r="H238" s="1" t="s">
        <v>163</v>
      </c>
      <c r="I238" s="1" t="s">
        <v>3394</v>
      </c>
      <c r="J238" s="1" t="s">
        <v>3394</v>
      </c>
      <c r="K238" s="1" t="s">
        <v>1438</v>
      </c>
      <c r="L238" s="3">
        <v>46233</v>
      </c>
    </row>
    <row r="239" spans="1:12" x14ac:dyDescent="0.2">
      <c r="A239" s="1" t="s">
        <v>2831</v>
      </c>
      <c r="B239" s="1" t="s">
        <v>8</v>
      </c>
      <c r="C239" s="1" t="s">
        <v>3382</v>
      </c>
      <c r="D239" s="1" t="s">
        <v>2832</v>
      </c>
      <c r="E239" s="18" t="s">
        <v>2833</v>
      </c>
      <c r="F239" s="1" t="s">
        <v>1293</v>
      </c>
      <c r="G239" s="1" t="s">
        <v>163</v>
      </c>
      <c r="H239" s="1" t="s">
        <v>163</v>
      </c>
      <c r="I239" s="1" t="s">
        <v>3394</v>
      </c>
      <c r="J239" s="1" t="s">
        <v>3394</v>
      </c>
      <c r="K239" s="1" t="s">
        <v>1439</v>
      </c>
      <c r="L239" s="3">
        <v>46233</v>
      </c>
    </row>
    <row r="240" spans="1:12" x14ac:dyDescent="0.2">
      <c r="A240" s="1" t="s">
        <v>1115</v>
      </c>
      <c r="B240" s="1" t="s">
        <v>41</v>
      </c>
      <c r="C240" s="1" t="s">
        <v>3381</v>
      </c>
      <c r="E240" s="1" t="s">
        <v>1116</v>
      </c>
      <c r="F240" s="1" t="s">
        <v>43</v>
      </c>
      <c r="I240" s="1" t="s">
        <v>3393</v>
      </c>
      <c r="J240" s="1" t="s">
        <v>3393</v>
      </c>
      <c r="L240" s="3">
        <v>46233</v>
      </c>
    </row>
    <row r="241" spans="1:12" x14ac:dyDescent="0.2">
      <c r="A241" s="1" t="s">
        <v>2837</v>
      </c>
      <c r="B241" s="1" t="s">
        <v>41</v>
      </c>
      <c r="C241" s="1" t="s">
        <v>3382</v>
      </c>
      <c r="D241" s="1" t="s">
        <v>2838</v>
      </c>
      <c r="E241" s="1" t="s">
        <v>2839</v>
      </c>
      <c r="F241" s="1" t="s">
        <v>1289</v>
      </c>
      <c r="G241" s="1" t="s">
        <v>163</v>
      </c>
      <c r="H241" s="1" t="s">
        <v>163</v>
      </c>
      <c r="I241" s="1" t="s">
        <v>3394</v>
      </c>
      <c r="J241" s="1" t="s">
        <v>3394</v>
      </c>
      <c r="K241" s="1" t="s">
        <v>1189</v>
      </c>
      <c r="L241" s="3">
        <v>46233</v>
      </c>
    </row>
    <row r="242" spans="1:12" x14ac:dyDescent="0.2">
      <c r="A242" s="1" t="s">
        <v>1117</v>
      </c>
      <c r="B242" s="1" t="s">
        <v>41</v>
      </c>
      <c r="C242" s="1" t="s">
        <v>3381</v>
      </c>
      <c r="E242" s="1" t="s">
        <v>1118</v>
      </c>
      <c r="F242" s="1" t="s">
        <v>43</v>
      </c>
      <c r="I242" s="1" t="s">
        <v>3393</v>
      </c>
      <c r="J242" s="1" t="s">
        <v>3393</v>
      </c>
      <c r="L242" s="3">
        <v>46233</v>
      </c>
    </row>
    <row r="243" spans="1:12" x14ac:dyDescent="0.2">
      <c r="A243" s="1" t="s">
        <v>2884</v>
      </c>
      <c r="B243" s="1" t="s">
        <v>8</v>
      </c>
      <c r="C243" s="1" t="s">
        <v>3382</v>
      </c>
      <c r="D243" s="1" t="s">
        <v>2885</v>
      </c>
      <c r="E243" s="1" t="s">
        <v>2886</v>
      </c>
      <c r="F243" s="1" t="s">
        <v>1293</v>
      </c>
      <c r="G243" s="1" t="s">
        <v>163</v>
      </c>
      <c r="H243" s="1" t="s">
        <v>163</v>
      </c>
      <c r="I243" s="1" t="s">
        <v>3394</v>
      </c>
      <c r="J243" s="1" t="s">
        <v>3394</v>
      </c>
      <c r="K243" s="1" t="s">
        <v>1439</v>
      </c>
      <c r="L243" s="3">
        <v>46233</v>
      </c>
    </row>
    <row r="244" spans="1:12" x14ac:dyDescent="0.2">
      <c r="A244" s="1" t="s">
        <v>2893</v>
      </c>
      <c r="B244" s="1" t="s">
        <v>1314</v>
      </c>
      <c r="C244" s="1" t="s">
        <v>3382</v>
      </c>
      <c r="D244" s="1" t="s">
        <v>2894</v>
      </c>
      <c r="E244" s="18" t="s">
        <v>2895</v>
      </c>
      <c r="F244" s="1" t="s">
        <v>1287</v>
      </c>
      <c r="G244" s="1" t="s">
        <v>1632</v>
      </c>
      <c r="H244" s="1" t="s">
        <v>2371</v>
      </c>
      <c r="I244" s="1" t="s">
        <v>3394</v>
      </c>
      <c r="J244" s="1" t="s">
        <v>3394</v>
      </c>
      <c r="K244" s="1" t="s">
        <v>44</v>
      </c>
      <c r="L244" s="3">
        <v>46233</v>
      </c>
    </row>
    <row r="245" spans="1:12" x14ac:dyDescent="0.2">
      <c r="A245" s="1" t="s">
        <v>2928</v>
      </c>
      <c r="B245" s="1" t="s">
        <v>8</v>
      </c>
      <c r="C245" s="1" t="s">
        <v>3382</v>
      </c>
      <c r="D245" s="1" t="s">
        <v>2929</v>
      </c>
      <c r="E245" s="1" t="s">
        <v>2930</v>
      </c>
      <c r="F245" s="1" t="s">
        <v>1293</v>
      </c>
      <c r="G245" s="1" t="s">
        <v>163</v>
      </c>
      <c r="H245" s="1" t="s">
        <v>163</v>
      </c>
      <c r="I245" s="1" t="s">
        <v>3394</v>
      </c>
      <c r="J245" s="1" t="s">
        <v>3394</v>
      </c>
      <c r="K245" s="1" t="s">
        <v>1439</v>
      </c>
      <c r="L245" s="3">
        <v>46233</v>
      </c>
    </row>
    <row r="246" spans="1:12" x14ac:dyDescent="0.2">
      <c r="A246" s="1" t="s">
        <v>2931</v>
      </c>
      <c r="B246" s="1" t="s">
        <v>41</v>
      </c>
      <c r="C246" s="1" t="s">
        <v>3382</v>
      </c>
      <c r="D246" s="1" t="s">
        <v>1575</v>
      </c>
      <c r="E246" s="1" t="s">
        <v>2932</v>
      </c>
      <c r="F246" s="1" t="s">
        <v>49</v>
      </c>
      <c r="G246" s="1" t="s">
        <v>2933</v>
      </c>
      <c r="H246" s="1" t="s">
        <v>2934</v>
      </c>
      <c r="I246" s="1" t="s">
        <v>3394</v>
      </c>
      <c r="J246" s="1" t="s">
        <v>3394</v>
      </c>
      <c r="K246" s="1" t="s">
        <v>1292</v>
      </c>
      <c r="L246" s="3">
        <v>46233</v>
      </c>
    </row>
    <row r="247" spans="1:12" x14ac:dyDescent="0.2">
      <c r="A247" s="1" t="s">
        <v>1119</v>
      </c>
      <c r="B247" s="1" t="s">
        <v>41</v>
      </c>
      <c r="C247" s="1" t="s">
        <v>3381</v>
      </c>
      <c r="E247" s="1" t="s">
        <v>1120</v>
      </c>
      <c r="F247" s="1" t="s">
        <v>43</v>
      </c>
      <c r="I247" s="1" t="s">
        <v>3393</v>
      </c>
      <c r="J247" s="1" t="s">
        <v>3393</v>
      </c>
      <c r="L247" s="3">
        <v>46233</v>
      </c>
    </row>
    <row r="248" spans="1:12" x14ac:dyDescent="0.2">
      <c r="A248" s="1" t="s">
        <v>3331</v>
      </c>
      <c r="B248" s="1" t="s">
        <v>8</v>
      </c>
      <c r="C248" s="1" t="s">
        <v>3382</v>
      </c>
      <c r="D248" s="1" t="s">
        <v>3332</v>
      </c>
      <c r="E248" s="1" t="s">
        <v>3333</v>
      </c>
      <c r="F248" s="1" t="s">
        <v>291</v>
      </c>
      <c r="G248" s="1" t="s">
        <v>294</v>
      </c>
      <c r="H248" s="1" t="s">
        <v>294</v>
      </c>
      <c r="I248" s="1" t="s">
        <v>3394</v>
      </c>
      <c r="J248" s="1" t="s">
        <v>3394</v>
      </c>
      <c r="K248" s="1" t="s">
        <v>293</v>
      </c>
      <c r="L248" s="3">
        <v>46233</v>
      </c>
    </row>
    <row r="249" spans="1:12" x14ac:dyDescent="0.2">
      <c r="A249" s="1" t="s">
        <v>1121</v>
      </c>
      <c r="B249" s="1" t="s">
        <v>41</v>
      </c>
      <c r="C249" s="1" t="s">
        <v>3381</v>
      </c>
      <c r="E249" s="1" t="s">
        <v>1122</v>
      </c>
      <c r="F249" s="1" t="s">
        <v>43</v>
      </c>
      <c r="I249" s="1" t="s">
        <v>3393</v>
      </c>
      <c r="J249" s="1" t="s">
        <v>3393</v>
      </c>
      <c r="L249" s="3">
        <v>46233</v>
      </c>
    </row>
    <row r="250" spans="1:12" x14ac:dyDescent="0.2">
      <c r="A250" s="1" t="s">
        <v>1204</v>
      </c>
      <c r="B250" s="1" t="s">
        <v>8</v>
      </c>
      <c r="C250" s="1" t="s">
        <v>3381</v>
      </c>
      <c r="E250" s="1" t="s">
        <v>1205</v>
      </c>
      <c r="F250" s="1" t="s">
        <v>43</v>
      </c>
      <c r="I250" s="1" t="s">
        <v>3393</v>
      </c>
      <c r="J250" s="1" t="s">
        <v>3393</v>
      </c>
      <c r="L250" s="3">
        <v>46233</v>
      </c>
    </row>
    <row r="251" spans="1:12" x14ac:dyDescent="0.2">
      <c r="A251" s="1" t="s">
        <v>1218</v>
      </c>
      <c r="B251" s="1" t="s">
        <v>8</v>
      </c>
      <c r="C251" s="1" t="s">
        <v>3381</v>
      </c>
      <c r="E251" s="1" t="s">
        <v>1219</v>
      </c>
      <c r="F251" s="1" t="s">
        <v>43</v>
      </c>
      <c r="I251" s="1" t="s">
        <v>3394</v>
      </c>
      <c r="J251" s="1" t="s">
        <v>3402</v>
      </c>
      <c r="L251" s="3">
        <v>46233</v>
      </c>
    </row>
    <row r="252" spans="1:12" x14ac:dyDescent="0.2">
      <c r="A252" s="1" t="s">
        <v>1588</v>
      </c>
      <c r="B252" s="1" t="s">
        <v>8</v>
      </c>
      <c r="C252" s="1" t="s">
        <v>3383</v>
      </c>
      <c r="D252" s="1" t="s">
        <v>1589</v>
      </c>
      <c r="E252" s="1" t="s">
        <v>73</v>
      </c>
      <c r="F252" s="1" t="s">
        <v>1293</v>
      </c>
      <c r="G252" s="1" t="s">
        <v>163</v>
      </c>
      <c r="H252" s="1" t="s">
        <v>163</v>
      </c>
      <c r="I252" s="1" t="s">
        <v>3394</v>
      </c>
      <c r="J252" s="1" t="s">
        <v>3394</v>
      </c>
      <c r="K252" s="1" t="s">
        <v>1279</v>
      </c>
      <c r="L252" s="3">
        <v>46233</v>
      </c>
    </row>
    <row r="253" spans="1:12" x14ac:dyDescent="0.2">
      <c r="A253" s="1" t="s">
        <v>1590</v>
      </c>
      <c r="B253" s="1" t="s">
        <v>8</v>
      </c>
      <c r="C253" s="1" t="s">
        <v>3383</v>
      </c>
      <c r="D253" s="1" t="s">
        <v>1591</v>
      </c>
      <c r="E253" s="1" t="s">
        <v>73</v>
      </c>
      <c r="F253" s="1" t="s">
        <v>1293</v>
      </c>
      <c r="G253" s="1" t="s">
        <v>163</v>
      </c>
      <c r="H253" s="1" t="s">
        <v>163</v>
      </c>
      <c r="I253" s="1" t="s">
        <v>3394</v>
      </c>
      <c r="J253" s="1" t="s">
        <v>3394</v>
      </c>
      <c r="K253" s="1" t="s">
        <v>1592</v>
      </c>
      <c r="L253" s="3">
        <v>46233</v>
      </c>
    </row>
    <row r="254" spans="1:12" x14ac:dyDescent="0.2">
      <c r="A254" s="1" t="s">
        <v>1593</v>
      </c>
      <c r="B254" s="1" t="s">
        <v>1314</v>
      </c>
      <c r="C254" s="1" t="s">
        <v>3383</v>
      </c>
      <c r="D254" s="1" t="s">
        <v>1594</v>
      </c>
      <c r="E254" s="1" t="s">
        <v>1595</v>
      </c>
      <c r="F254" s="1" t="s">
        <v>1287</v>
      </c>
      <c r="G254" s="1" t="s">
        <v>1596</v>
      </c>
      <c r="H254" s="1" t="s">
        <v>1520</v>
      </c>
      <c r="I254" s="1" t="s">
        <v>3394</v>
      </c>
      <c r="J254" s="1" t="s">
        <v>3394</v>
      </c>
      <c r="K254" s="1" t="s">
        <v>1292</v>
      </c>
      <c r="L254" s="3">
        <v>46233</v>
      </c>
    </row>
    <row r="255" spans="1:12" x14ac:dyDescent="0.2">
      <c r="A255" s="1" t="s">
        <v>1597</v>
      </c>
      <c r="B255" s="1" t="s">
        <v>41</v>
      </c>
      <c r="C255" s="1" t="s">
        <v>3383</v>
      </c>
      <c r="D255" s="1" t="s">
        <v>1598</v>
      </c>
      <c r="E255" s="1" t="s">
        <v>1599</v>
      </c>
      <c r="F255" s="1" t="s">
        <v>1289</v>
      </c>
      <c r="G255" s="1" t="s">
        <v>163</v>
      </c>
      <c r="H255" s="1" t="s">
        <v>163</v>
      </c>
      <c r="I255" s="1" t="s">
        <v>3394</v>
      </c>
      <c r="J255" s="1" t="s">
        <v>3394</v>
      </c>
      <c r="K255" s="1" t="s">
        <v>442</v>
      </c>
      <c r="L255" s="3">
        <v>46233</v>
      </c>
    </row>
    <row r="256" spans="1:12" x14ac:dyDescent="0.2">
      <c r="A256" s="1" t="s">
        <v>1600</v>
      </c>
      <c r="B256" s="1" t="s">
        <v>1314</v>
      </c>
      <c r="C256" s="1" t="s">
        <v>3383</v>
      </c>
      <c r="D256" s="1" t="s">
        <v>1601</v>
      </c>
      <c r="E256" s="1" t="s">
        <v>1602</v>
      </c>
      <c r="F256" s="1" t="s">
        <v>1289</v>
      </c>
      <c r="G256" s="1" t="s">
        <v>1603</v>
      </c>
      <c r="H256" s="1" t="s">
        <v>1520</v>
      </c>
      <c r="I256" s="1" t="s">
        <v>3394</v>
      </c>
      <c r="J256" s="1" t="s">
        <v>3394</v>
      </c>
      <c r="K256" s="1" t="s">
        <v>1292</v>
      </c>
      <c r="L256" s="3">
        <v>46233</v>
      </c>
    </row>
    <row r="257" spans="1:12" x14ac:dyDescent="0.2">
      <c r="A257" s="1" t="s">
        <v>1604</v>
      </c>
      <c r="B257" s="1" t="s">
        <v>1297</v>
      </c>
      <c r="C257" s="1" t="s">
        <v>3383</v>
      </c>
      <c r="D257" s="1" t="s">
        <v>1605</v>
      </c>
      <c r="E257" s="16" t="s">
        <v>1606</v>
      </c>
      <c r="F257" s="1" t="s">
        <v>1289</v>
      </c>
      <c r="G257" s="1" t="s">
        <v>163</v>
      </c>
      <c r="H257" s="1" t="s">
        <v>163</v>
      </c>
      <c r="I257" s="1" t="s">
        <v>3394</v>
      </c>
      <c r="J257" s="1" t="s">
        <v>3394</v>
      </c>
      <c r="K257" s="1" t="s">
        <v>443</v>
      </c>
      <c r="L257" s="3">
        <v>46233</v>
      </c>
    </row>
    <row r="258" spans="1:12" x14ac:dyDescent="0.2">
      <c r="A258" s="1" t="s">
        <v>1607</v>
      </c>
      <c r="B258" s="1" t="s">
        <v>8</v>
      </c>
      <c r="C258" s="1" t="s">
        <v>3383</v>
      </c>
      <c r="D258" s="1" t="s">
        <v>1608</v>
      </c>
      <c r="E258" s="1" t="s">
        <v>1609</v>
      </c>
      <c r="F258" s="1" t="s">
        <v>1289</v>
      </c>
      <c r="G258" s="1" t="s">
        <v>1610</v>
      </c>
      <c r="H258" s="1" t="s">
        <v>1520</v>
      </c>
      <c r="I258" s="1" t="s">
        <v>3394</v>
      </c>
      <c r="J258" s="1" t="s">
        <v>3394</v>
      </c>
      <c r="K258" s="1" t="s">
        <v>1292</v>
      </c>
      <c r="L258" s="3">
        <v>46233</v>
      </c>
    </row>
    <row r="259" spans="1:12" x14ac:dyDescent="0.2">
      <c r="A259" s="1" t="s">
        <v>1220</v>
      </c>
      <c r="B259" s="1" t="s">
        <v>8</v>
      </c>
      <c r="C259" s="1" t="s">
        <v>3381</v>
      </c>
      <c r="E259" s="1" t="s">
        <v>1221</v>
      </c>
      <c r="F259" s="1" t="s">
        <v>43</v>
      </c>
      <c r="I259" s="1" t="s">
        <v>3394</v>
      </c>
      <c r="J259" s="1" t="s">
        <v>3402</v>
      </c>
      <c r="L259" s="3">
        <v>46233</v>
      </c>
    </row>
    <row r="260" spans="1:12" x14ac:dyDescent="0.2">
      <c r="A260" s="1" t="s">
        <v>1616</v>
      </c>
      <c r="B260" s="1" t="s">
        <v>1291</v>
      </c>
      <c r="C260" s="1" t="s">
        <v>3383</v>
      </c>
      <c r="D260" s="1" t="s">
        <v>1617</v>
      </c>
      <c r="E260" s="12" t="s">
        <v>1618</v>
      </c>
      <c r="F260" s="1" t="s">
        <v>1290</v>
      </c>
      <c r="G260" s="1" t="s">
        <v>1619</v>
      </c>
      <c r="H260" s="1" t="s">
        <v>1520</v>
      </c>
      <c r="I260" s="1" t="s">
        <v>3394</v>
      </c>
      <c r="J260" s="1" t="s">
        <v>3394</v>
      </c>
      <c r="K260" s="1" t="s">
        <v>1292</v>
      </c>
      <c r="L260" s="3">
        <v>46233</v>
      </c>
    </row>
    <row r="261" spans="1:12" x14ac:dyDescent="0.2">
      <c r="A261" s="1" t="s">
        <v>1620</v>
      </c>
      <c r="B261" s="1" t="s">
        <v>41</v>
      </c>
      <c r="C261" s="1" t="s">
        <v>3383</v>
      </c>
      <c r="D261" s="1" t="s">
        <v>1621</v>
      </c>
      <c r="E261" s="1" t="s">
        <v>1622</v>
      </c>
      <c r="F261" s="1" t="s">
        <v>1290</v>
      </c>
      <c r="G261" s="1" t="s">
        <v>163</v>
      </c>
      <c r="H261" s="1" t="s">
        <v>163</v>
      </c>
      <c r="I261" s="1" t="s">
        <v>3394</v>
      </c>
      <c r="J261" s="1" t="s">
        <v>3394</v>
      </c>
      <c r="K261" s="1" t="s">
        <v>1292</v>
      </c>
      <c r="L261" s="3">
        <v>46233</v>
      </c>
    </row>
    <row r="262" spans="1:12" x14ac:dyDescent="0.2">
      <c r="A262" s="1" t="s">
        <v>1623</v>
      </c>
      <c r="B262" s="1" t="s">
        <v>929</v>
      </c>
      <c r="C262" s="1" t="s">
        <v>3383</v>
      </c>
      <c r="D262" s="1" t="s">
        <v>1624</v>
      </c>
      <c r="E262" s="1" t="s">
        <v>1625</v>
      </c>
      <c r="F262" s="1" t="s">
        <v>1290</v>
      </c>
      <c r="G262" s="1" t="s">
        <v>163</v>
      </c>
      <c r="H262" s="1" t="s">
        <v>163</v>
      </c>
      <c r="I262" s="1" t="s">
        <v>3394</v>
      </c>
      <c r="J262" s="1" t="s">
        <v>3394</v>
      </c>
      <c r="K262" s="1" t="s">
        <v>1438</v>
      </c>
      <c r="L262" s="3">
        <v>46233</v>
      </c>
    </row>
    <row r="263" spans="1:12" x14ac:dyDescent="0.2">
      <c r="A263" s="1" t="s">
        <v>1626</v>
      </c>
      <c r="B263" s="1" t="s">
        <v>41</v>
      </c>
      <c r="C263" s="1" t="s">
        <v>3383</v>
      </c>
      <c r="D263" s="1" t="s">
        <v>1627</v>
      </c>
      <c r="E263" s="1" t="s">
        <v>1628</v>
      </c>
      <c r="F263" s="1" t="s">
        <v>1501</v>
      </c>
      <c r="G263" s="1" t="s">
        <v>1286</v>
      </c>
      <c r="H263" s="1" t="s">
        <v>1286</v>
      </c>
      <c r="I263" s="1" t="s">
        <v>3394</v>
      </c>
      <c r="J263" s="1" t="s">
        <v>3394</v>
      </c>
      <c r="K263" s="1" t="s">
        <v>1285</v>
      </c>
      <c r="L263" s="3">
        <v>46233</v>
      </c>
    </row>
    <row r="264" spans="1:12" x14ac:dyDescent="0.2">
      <c r="A264" s="1" t="s">
        <v>1643</v>
      </c>
      <c r="B264" s="1" t="s">
        <v>41</v>
      </c>
      <c r="C264" s="1" t="s">
        <v>3383</v>
      </c>
      <c r="D264" s="1" t="s">
        <v>1644</v>
      </c>
      <c r="E264" s="16" t="s">
        <v>1645</v>
      </c>
      <c r="F264" s="1" t="s">
        <v>1289</v>
      </c>
      <c r="G264" s="1" t="s">
        <v>1645</v>
      </c>
      <c r="H264" s="1" t="s">
        <v>1520</v>
      </c>
      <c r="I264" s="1" t="s">
        <v>3394</v>
      </c>
      <c r="J264" s="1" t="s">
        <v>3394</v>
      </c>
      <c r="K264" s="1" t="s">
        <v>1292</v>
      </c>
      <c r="L264" s="3">
        <v>46233</v>
      </c>
    </row>
    <row r="265" spans="1:12" x14ac:dyDescent="0.2">
      <c r="A265" s="1" t="s">
        <v>1646</v>
      </c>
      <c r="B265" s="1" t="s">
        <v>41</v>
      </c>
      <c r="C265" s="1" t="s">
        <v>3383</v>
      </c>
      <c r="D265" s="1" t="s">
        <v>1647</v>
      </c>
      <c r="E265" s="1" t="s">
        <v>1648</v>
      </c>
      <c r="F265" s="1" t="s">
        <v>1289</v>
      </c>
      <c r="G265" s="1" t="s">
        <v>1649</v>
      </c>
      <c r="H265" s="1" t="s">
        <v>1520</v>
      </c>
      <c r="I265" s="1" t="s">
        <v>3394</v>
      </c>
      <c r="J265" s="1" t="s">
        <v>3394</v>
      </c>
      <c r="K265" s="1" t="s">
        <v>1292</v>
      </c>
      <c r="L265" s="3">
        <v>46233</v>
      </c>
    </row>
    <row r="266" spans="1:12" x14ac:dyDescent="0.2">
      <c r="A266" s="1" t="s">
        <v>1732</v>
      </c>
      <c r="B266" s="1" t="s">
        <v>8</v>
      </c>
      <c r="C266" s="1" t="s">
        <v>3383</v>
      </c>
      <c r="D266" s="1" t="s">
        <v>1733</v>
      </c>
      <c r="E266" s="1" t="s">
        <v>73</v>
      </c>
      <c r="F266" s="1" t="s">
        <v>1293</v>
      </c>
      <c r="G266" s="1" t="s">
        <v>163</v>
      </c>
      <c r="H266" s="1" t="s">
        <v>163</v>
      </c>
      <c r="I266" s="1" t="s">
        <v>3394</v>
      </c>
      <c r="J266" s="1" t="s">
        <v>3394</v>
      </c>
      <c r="K266" s="1" t="s">
        <v>1279</v>
      </c>
      <c r="L266" s="3">
        <v>46233</v>
      </c>
    </row>
    <row r="267" spans="1:12" x14ac:dyDescent="0.2">
      <c r="A267" s="1" t="s">
        <v>1734</v>
      </c>
      <c r="B267" s="1" t="s">
        <v>1314</v>
      </c>
      <c r="C267" s="1" t="s">
        <v>3383</v>
      </c>
      <c r="D267" s="1" t="s">
        <v>1735</v>
      </c>
      <c r="E267" s="1" t="s">
        <v>1736</v>
      </c>
      <c r="F267" s="1" t="s">
        <v>1289</v>
      </c>
      <c r="G267" s="1" t="s">
        <v>163</v>
      </c>
      <c r="H267" s="1" t="s">
        <v>163</v>
      </c>
      <c r="I267" s="1" t="s">
        <v>3394</v>
      </c>
      <c r="J267" s="1" t="s">
        <v>3394</v>
      </c>
      <c r="K267" s="1" t="s">
        <v>442</v>
      </c>
      <c r="L267" s="3">
        <v>46233</v>
      </c>
    </row>
    <row r="268" spans="1:12" x14ac:dyDescent="0.2">
      <c r="A268" s="1" t="s">
        <v>1737</v>
      </c>
      <c r="B268" s="1" t="s">
        <v>1291</v>
      </c>
      <c r="C268" s="1" t="s">
        <v>3383</v>
      </c>
      <c r="D268" s="1" t="s">
        <v>1738</v>
      </c>
      <c r="E268" s="1" t="s">
        <v>1739</v>
      </c>
      <c r="F268" s="1" t="s">
        <v>1289</v>
      </c>
      <c r="G268" s="1" t="s">
        <v>1649</v>
      </c>
      <c r="H268" s="1" t="s">
        <v>1520</v>
      </c>
      <c r="I268" s="1" t="s">
        <v>3394</v>
      </c>
      <c r="J268" s="1" t="s">
        <v>3394</v>
      </c>
      <c r="K268" s="1" t="s">
        <v>1292</v>
      </c>
      <c r="L268" s="3">
        <v>46233</v>
      </c>
    </row>
    <row r="269" spans="1:12" x14ac:dyDescent="0.2">
      <c r="A269" s="1" t="s">
        <v>1766</v>
      </c>
      <c r="B269" s="1" t="s">
        <v>8</v>
      </c>
      <c r="C269" s="1" t="s">
        <v>3383</v>
      </c>
      <c r="D269" s="1" t="s">
        <v>1767</v>
      </c>
      <c r="E269" s="1" t="s">
        <v>1768</v>
      </c>
      <c r="F269" s="1" t="s">
        <v>1293</v>
      </c>
      <c r="G269" s="1" t="s">
        <v>1770</v>
      </c>
      <c r="H269" s="1" t="s">
        <v>1770</v>
      </c>
      <c r="I269" s="1" t="s">
        <v>3394</v>
      </c>
      <c r="J269" s="1" t="s">
        <v>3394</v>
      </c>
      <c r="K269" s="1" t="s">
        <v>1769</v>
      </c>
      <c r="L269" s="3">
        <v>46233</v>
      </c>
    </row>
    <row r="270" spans="1:12" x14ac:dyDescent="0.2">
      <c r="A270" s="1" t="s">
        <v>1777</v>
      </c>
      <c r="B270" s="1" t="s">
        <v>8</v>
      </c>
      <c r="C270" s="1" t="s">
        <v>3383</v>
      </c>
      <c r="D270" s="1" t="s">
        <v>1778</v>
      </c>
      <c r="E270" s="1" t="s">
        <v>263</v>
      </c>
      <c r="F270" s="1" t="s">
        <v>1293</v>
      </c>
      <c r="G270" s="1" t="s">
        <v>163</v>
      </c>
      <c r="H270" s="1" t="s">
        <v>163</v>
      </c>
      <c r="I270" s="1" t="s">
        <v>3394</v>
      </c>
      <c r="J270" s="1" t="s">
        <v>3394</v>
      </c>
      <c r="K270" s="1" t="s">
        <v>292</v>
      </c>
      <c r="L270" s="3">
        <v>46233</v>
      </c>
    </row>
    <row r="271" spans="1:12" x14ac:dyDescent="0.2">
      <c r="A271" s="1" t="s">
        <v>1782</v>
      </c>
      <c r="B271" s="1" t="s">
        <v>41</v>
      </c>
      <c r="C271" s="1" t="s">
        <v>3383</v>
      </c>
      <c r="D271" s="1" t="s">
        <v>1783</v>
      </c>
      <c r="E271" s="12" t="s">
        <v>1784</v>
      </c>
      <c r="F271" s="1" t="s">
        <v>1289</v>
      </c>
      <c r="G271" s="1" t="s">
        <v>1785</v>
      </c>
      <c r="H271" s="1" t="s">
        <v>1520</v>
      </c>
      <c r="I271" s="1" t="s">
        <v>3394</v>
      </c>
      <c r="J271" s="1" t="s">
        <v>3394</v>
      </c>
      <c r="K271" s="1" t="s">
        <v>1292</v>
      </c>
      <c r="L271" s="3">
        <v>46233</v>
      </c>
    </row>
    <row r="272" spans="1:12" x14ac:dyDescent="0.2">
      <c r="A272" s="1" t="s">
        <v>1789</v>
      </c>
      <c r="B272" s="1" t="s">
        <v>41</v>
      </c>
      <c r="C272" s="1" t="s">
        <v>3383</v>
      </c>
      <c r="D272" s="1" t="s">
        <v>1790</v>
      </c>
      <c r="E272" s="1" t="s">
        <v>1791</v>
      </c>
      <c r="F272" s="1" t="s">
        <v>1289</v>
      </c>
      <c r="G272" s="1" t="s">
        <v>1520</v>
      </c>
      <c r="H272" s="1" t="s">
        <v>1520</v>
      </c>
      <c r="I272" s="1" t="s">
        <v>3394</v>
      </c>
      <c r="J272" s="1" t="s">
        <v>3394</v>
      </c>
      <c r="K272" s="1" t="s">
        <v>1292</v>
      </c>
      <c r="L272" s="3">
        <v>46233</v>
      </c>
    </row>
    <row r="273" spans="1:12" x14ac:dyDescent="0.2">
      <c r="A273" s="1" t="s">
        <v>1262</v>
      </c>
      <c r="B273" s="1" t="s">
        <v>8</v>
      </c>
      <c r="C273" s="1" t="s">
        <v>3381</v>
      </c>
      <c r="E273" s="1" t="s">
        <v>1263</v>
      </c>
      <c r="F273" s="1" t="s">
        <v>43</v>
      </c>
      <c r="I273" s="1" t="s">
        <v>3393</v>
      </c>
      <c r="J273" s="1" t="s">
        <v>3393</v>
      </c>
      <c r="L273" s="3">
        <v>46233</v>
      </c>
    </row>
    <row r="274" spans="1:12" x14ac:dyDescent="0.2">
      <c r="A274" s="1" t="s">
        <v>2088</v>
      </c>
      <c r="B274" s="1" t="s">
        <v>1291</v>
      </c>
      <c r="C274" s="1" t="s">
        <v>3381</v>
      </c>
      <c r="D274" s="1" t="s">
        <v>2089</v>
      </c>
      <c r="E274" s="1" t="s">
        <v>2090</v>
      </c>
      <c r="F274" s="1" t="s">
        <v>43</v>
      </c>
      <c r="I274" s="1" t="s">
        <v>3394</v>
      </c>
      <c r="J274" s="1" t="s">
        <v>3402</v>
      </c>
      <c r="L274" s="3">
        <v>46233</v>
      </c>
    </row>
    <row r="275" spans="1:12" x14ac:dyDescent="0.2">
      <c r="A275" s="1" t="s">
        <v>1861</v>
      </c>
      <c r="B275" s="1" t="s">
        <v>41</v>
      </c>
      <c r="C275" s="1" t="s">
        <v>3383</v>
      </c>
      <c r="D275" s="1" t="s">
        <v>1862</v>
      </c>
      <c r="E275" s="1" t="s">
        <v>1863</v>
      </c>
      <c r="F275" s="1" t="s">
        <v>1290</v>
      </c>
      <c r="G275" s="1" t="s">
        <v>1864</v>
      </c>
      <c r="H275" s="1" t="s">
        <v>73</v>
      </c>
      <c r="I275" s="1" t="s">
        <v>3394</v>
      </c>
      <c r="J275" s="1" t="s">
        <v>3394</v>
      </c>
      <c r="K275" s="1" t="s">
        <v>1396</v>
      </c>
      <c r="L275" s="3">
        <v>46233</v>
      </c>
    </row>
    <row r="276" spans="1:12" x14ac:dyDescent="0.2">
      <c r="A276" s="1" t="s">
        <v>1868</v>
      </c>
      <c r="B276" s="1" t="s">
        <v>41</v>
      </c>
      <c r="C276" s="1" t="s">
        <v>3383</v>
      </c>
      <c r="D276" s="1" t="s">
        <v>1869</v>
      </c>
      <c r="E276" s="1" t="s">
        <v>1870</v>
      </c>
      <c r="F276" s="1" t="s">
        <v>1290</v>
      </c>
      <c r="G276" s="1" t="s">
        <v>163</v>
      </c>
      <c r="H276" s="1" t="s">
        <v>163</v>
      </c>
      <c r="I276" s="1" t="s">
        <v>3394</v>
      </c>
      <c r="J276" s="1" t="s">
        <v>3394</v>
      </c>
      <c r="K276" s="1" t="s">
        <v>45</v>
      </c>
      <c r="L276" s="3">
        <v>46233</v>
      </c>
    </row>
    <row r="277" spans="1:12" x14ac:dyDescent="0.2">
      <c r="A277" s="1" t="s">
        <v>1918</v>
      </c>
      <c r="B277" s="1" t="s">
        <v>8</v>
      </c>
      <c r="C277" s="1" t="s">
        <v>3383</v>
      </c>
      <c r="D277" s="1" t="s">
        <v>1919</v>
      </c>
      <c r="E277" s="1" t="s">
        <v>263</v>
      </c>
      <c r="F277" s="1" t="s">
        <v>1293</v>
      </c>
      <c r="G277" s="1" t="s">
        <v>163</v>
      </c>
      <c r="H277" s="1" t="s">
        <v>163</v>
      </c>
      <c r="I277" s="1" t="s">
        <v>3394</v>
      </c>
      <c r="J277" s="1" t="s">
        <v>3394</v>
      </c>
      <c r="K277" s="1" t="s">
        <v>292</v>
      </c>
      <c r="L277" s="3">
        <v>46233</v>
      </c>
    </row>
    <row r="278" spans="1:12" x14ac:dyDescent="0.2">
      <c r="A278" s="1" t="s">
        <v>1206</v>
      </c>
      <c r="B278" s="1" t="s">
        <v>8</v>
      </c>
      <c r="C278" s="1" t="s">
        <v>3382</v>
      </c>
      <c r="E278" s="1" t="s">
        <v>1207</v>
      </c>
      <c r="F278" s="1" t="s">
        <v>43</v>
      </c>
      <c r="I278" s="1" t="s">
        <v>3393</v>
      </c>
      <c r="J278" s="1" t="s">
        <v>3393</v>
      </c>
      <c r="L278" s="3">
        <v>46233</v>
      </c>
    </row>
    <row r="279" spans="1:12" x14ac:dyDescent="0.2">
      <c r="A279" s="1" t="s">
        <v>1926</v>
      </c>
      <c r="B279" s="1" t="s">
        <v>41</v>
      </c>
      <c r="C279" s="1" t="s">
        <v>3383</v>
      </c>
      <c r="D279" s="1" t="s">
        <v>1927</v>
      </c>
      <c r="E279" s="1" t="s">
        <v>1928</v>
      </c>
      <c r="F279" s="1" t="s">
        <v>1289</v>
      </c>
      <c r="G279" s="1" t="s">
        <v>1929</v>
      </c>
      <c r="H279" s="1" t="s">
        <v>1520</v>
      </c>
      <c r="I279" s="1" t="s">
        <v>3394</v>
      </c>
      <c r="J279" s="1" t="s">
        <v>3394</v>
      </c>
      <c r="K279" s="1" t="s">
        <v>1292</v>
      </c>
      <c r="L279" s="3">
        <v>46233</v>
      </c>
    </row>
    <row r="280" spans="1:12" x14ac:dyDescent="0.2">
      <c r="A280" s="1" t="s">
        <v>1248</v>
      </c>
      <c r="B280" s="1" t="s">
        <v>8</v>
      </c>
      <c r="C280" s="1" t="s">
        <v>3382</v>
      </c>
      <c r="E280" s="1" t="s">
        <v>1249</v>
      </c>
      <c r="F280" s="1" t="s">
        <v>43</v>
      </c>
      <c r="I280" s="1" t="s">
        <v>3393</v>
      </c>
      <c r="J280" s="1" t="s">
        <v>3393</v>
      </c>
      <c r="L280" s="3">
        <v>46233</v>
      </c>
    </row>
    <row r="281" spans="1:12" x14ac:dyDescent="0.2">
      <c r="A281" s="1" t="s">
        <v>1264</v>
      </c>
      <c r="B281" s="1" t="s">
        <v>8</v>
      </c>
      <c r="C281" s="1" t="s">
        <v>3382</v>
      </c>
      <c r="E281" s="1" t="s">
        <v>1265</v>
      </c>
      <c r="F281" s="1" t="s">
        <v>43</v>
      </c>
      <c r="I281" s="1" t="s">
        <v>3393</v>
      </c>
      <c r="J281" s="1" t="s">
        <v>3393</v>
      </c>
      <c r="L281" s="3">
        <v>46233</v>
      </c>
    </row>
    <row r="282" spans="1:12" x14ac:dyDescent="0.2">
      <c r="A282" s="1" t="s">
        <v>2033</v>
      </c>
      <c r="B282" s="1" t="s">
        <v>41</v>
      </c>
      <c r="C282" s="1" t="s">
        <v>3383</v>
      </c>
      <c r="D282" s="1" t="s">
        <v>2034</v>
      </c>
      <c r="E282" s="1" t="s">
        <v>2035</v>
      </c>
      <c r="F282" s="1" t="s">
        <v>1289</v>
      </c>
      <c r="G282" s="1" t="s">
        <v>2036</v>
      </c>
      <c r="H282" s="1" t="s">
        <v>1520</v>
      </c>
      <c r="I282" s="1" t="s">
        <v>3394</v>
      </c>
      <c r="J282" s="1" t="s">
        <v>3394</v>
      </c>
      <c r="K282" s="1" t="s">
        <v>1292</v>
      </c>
      <c r="L282" s="3">
        <v>46233</v>
      </c>
    </row>
    <row r="283" spans="1:12" x14ac:dyDescent="0.2">
      <c r="A283" s="1" t="s">
        <v>1187</v>
      </c>
      <c r="B283" s="1" t="s">
        <v>8</v>
      </c>
      <c r="C283" s="1" t="s">
        <v>3383</v>
      </c>
      <c r="E283" s="1" t="s">
        <v>1188</v>
      </c>
      <c r="F283" s="1" t="s">
        <v>43</v>
      </c>
      <c r="I283" s="1" t="s">
        <v>3393</v>
      </c>
      <c r="J283" s="1" t="s">
        <v>3393</v>
      </c>
      <c r="L283" s="3">
        <v>46233</v>
      </c>
    </row>
    <row r="284" spans="1:12" x14ac:dyDescent="0.2">
      <c r="A284" s="1" t="s">
        <v>2040</v>
      </c>
      <c r="B284" s="1" t="s">
        <v>1291</v>
      </c>
      <c r="C284" s="1" t="s">
        <v>3383</v>
      </c>
      <c r="D284" s="1" t="s">
        <v>2041</v>
      </c>
      <c r="E284" s="1" t="s">
        <v>2042</v>
      </c>
      <c r="F284" s="1" t="s">
        <v>1290</v>
      </c>
      <c r="G284" s="1" t="s">
        <v>2043</v>
      </c>
      <c r="H284" s="1" t="s">
        <v>1520</v>
      </c>
      <c r="I284" s="1" t="s">
        <v>3394</v>
      </c>
      <c r="J284" s="1" t="s">
        <v>3394</v>
      </c>
      <c r="K284" s="1" t="s">
        <v>1292</v>
      </c>
      <c r="L284" s="3">
        <v>46233</v>
      </c>
    </row>
    <row r="285" spans="1:12" x14ac:dyDescent="0.2">
      <c r="A285" s="1" t="s">
        <v>2097</v>
      </c>
      <c r="B285" s="1" t="s">
        <v>41</v>
      </c>
      <c r="C285" s="1" t="s">
        <v>3383</v>
      </c>
      <c r="D285" s="1" t="s">
        <v>2098</v>
      </c>
      <c r="E285" s="1" t="s">
        <v>2099</v>
      </c>
      <c r="F285" s="1" t="s">
        <v>1289</v>
      </c>
      <c r="G285" s="1" t="s">
        <v>2100</v>
      </c>
      <c r="H285" s="1" t="s">
        <v>1520</v>
      </c>
      <c r="I285" s="1" t="s">
        <v>3394</v>
      </c>
      <c r="J285" s="1" t="s">
        <v>3394</v>
      </c>
      <c r="K285" s="1" t="s">
        <v>1292</v>
      </c>
      <c r="L285" s="3">
        <v>46233</v>
      </c>
    </row>
    <row r="286" spans="1:12" x14ac:dyDescent="0.2">
      <c r="A286" s="1" t="s">
        <v>2101</v>
      </c>
      <c r="B286" s="1" t="s">
        <v>1291</v>
      </c>
      <c r="C286" s="1" t="s">
        <v>3383</v>
      </c>
      <c r="D286" s="1" t="s">
        <v>2102</v>
      </c>
      <c r="E286" s="1" t="s">
        <v>2103</v>
      </c>
      <c r="F286" s="1" t="s">
        <v>1290</v>
      </c>
      <c r="G286" s="1" t="s">
        <v>163</v>
      </c>
      <c r="H286" s="1" t="s">
        <v>163</v>
      </c>
      <c r="I286" s="1" t="s">
        <v>3394</v>
      </c>
      <c r="J286" s="1" t="s">
        <v>3394</v>
      </c>
      <c r="K286" s="1" t="s">
        <v>1292</v>
      </c>
      <c r="L286" s="3">
        <v>46233</v>
      </c>
    </row>
    <row r="287" spans="1:12" x14ac:dyDescent="0.2">
      <c r="A287" s="1" t="s">
        <v>1208</v>
      </c>
      <c r="B287" s="1" t="s">
        <v>8</v>
      </c>
      <c r="C287" s="1" t="s">
        <v>3383</v>
      </c>
      <c r="E287" s="1" t="s">
        <v>1209</v>
      </c>
      <c r="F287" s="1" t="s">
        <v>43</v>
      </c>
      <c r="I287" s="1" t="s">
        <v>3393</v>
      </c>
      <c r="J287" s="1" t="s">
        <v>3393</v>
      </c>
      <c r="L287" s="3">
        <v>46233</v>
      </c>
    </row>
    <row r="288" spans="1:12" x14ac:dyDescent="0.2">
      <c r="A288" s="1" t="s">
        <v>1482</v>
      </c>
      <c r="B288" s="1" t="s">
        <v>8</v>
      </c>
      <c r="C288" s="1" t="s">
        <v>3380</v>
      </c>
      <c r="D288" s="1" t="s">
        <v>1483</v>
      </c>
      <c r="E288" s="1" t="s">
        <v>1484</v>
      </c>
      <c r="F288" s="1" t="s">
        <v>1287</v>
      </c>
      <c r="I288" s="1" t="s">
        <v>3394</v>
      </c>
      <c r="J288" s="1" t="s">
        <v>3394</v>
      </c>
      <c r="K288" s="3">
        <v>46237</v>
      </c>
      <c r="L288" s="3">
        <v>46233</v>
      </c>
    </row>
    <row r="289" spans="1:12" x14ac:dyDescent="0.2">
      <c r="A289" s="1" t="s">
        <v>2139</v>
      </c>
      <c r="B289" s="1" t="s">
        <v>41</v>
      </c>
      <c r="C289" s="1" t="s">
        <v>3383</v>
      </c>
      <c r="D289" s="1" t="s">
        <v>2140</v>
      </c>
      <c r="E289" s="1" t="s">
        <v>2141</v>
      </c>
      <c r="F289" s="1" t="s">
        <v>1289</v>
      </c>
      <c r="G289" s="1" t="s">
        <v>2142</v>
      </c>
      <c r="H289" s="1" t="s">
        <v>1520</v>
      </c>
      <c r="I289" s="1" t="s">
        <v>3394</v>
      </c>
      <c r="J289" s="1" t="s">
        <v>3394</v>
      </c>
      <c r="K289" s="1" t="s">
        <v>1292</v>
      </c>
      <c r="L289" s="3">
        <v>46233</v>
      </c>
    </row>
    <row r="290" spans="1:12" x14ac:dyDescent="0.2">
      <c r="A290" s="1" t="s">
        <v>2143</v>
      </c>
      <c r="B290" s="1" t="s">
        <v>41</v>
      </c>
      <c r="C290" s="1" t="s">
        <v>3383</v>
      </c>
      <c r="D290" s="1" t="s">
        <v>2144</v>
      </c>
      <c r="E290" s="12" t="s">
        <v>2145</v>
      </c>
      <c r="F290" s="1" t="s">
        <v>1289</v>
      </c>
      <c r="G290" s="1" t="s">
        <v>163</v>
      </c>
      <c r="H290" s="1" t="s">
        <v>163</v>
      </c>
      <c r="I290" s="1" t="s">
        <v>3394</v>
      </c>
      <c r="J290" s="1" t="s">
        <v>3394</v>
      </c>
      <c r="K290" s="1" t="s">
        <v>443</v>
      </c>
      <c r="L290" s="3">
        <v>46233</v>
      </c>
    </row>
    <row r="291" spans="1:12" x14ac:dyDescent="0.2">
      <c r="A291" s="1" t="s">
        <v>2146</v>
      </c>
      <c r="B291" s="1" t="s">
        <v>41</v>
      </c>
      <c r="C291" s="1" t="s">
        <v>3383</v>
      </c>
      <c r="D291" s="1" t="s">
        <v>2147</v>
      </c>
      <c r="E291" s="1" t="s">
        <v>2148</v>
      </c>
      <c r="F291" s="1" t="s">
        <v>1290</v>
      </c>
      <c r="G291" s="1" t="s">
        <v>2149</v>
      </c>
      <c r="H291" s="1" t="s">
        <v>1520</v>
      </c>
      <c r="I291" s="1" t="s">
        <v>3394</v>
      </c>
      <c r="J291" s="1" t="s">
        <v>3394</v>
      </c>
      <c r="K291" s="1" t="s">
        <v>1292</v>
      </c>
      <c r="L291" s="3">
        <v>46233</v>
      </c>
    </row>
    <row r="292" spans="1:12" x14ac:dyDescent="0.2">
      <c r="A292" s="1" t="s">
        <v>2150</v>
      </c>
      <c r="B292" s="1" t="s">
        <v>8</v>
      </c>
      <c r="C292" s="1" t="s">
        <v>3383</v>
      </c>
      <c r="D292" s="1" t="s">
        <v>2151</v>
      </c>
      <c r="E292" s="1" t="s">
        <v>2152</v>
      </c>
      <c r="F292" s="1" t="s">
        <v>1501</v>
      </c>
      <c r="G292" s="1" t="s">
        <v>2153</v>
      </c>
      <c r="H292" s="1" t="s">
        <v>73</v>
      </c>
      <c r="I292" s="1" t="s">
        <v>3394</v>
      </c>
      <c r="J292" s="1" t="s">
        <v>3394</v>
      </c>
      <c r="K292" s="1" t="s">
        <v>1592</v>
      </c>
      <c r="L292" s="3">
        <v>46233</v>
      </c>
    </row>
    <row r="293" spans="1:12" x14ac:dyDescent="0.2">
      <c r="A293" s="1" t="s">
        <v>2171</v>
      </c>
      <c r="B293" s="1" t="s">
        <v>8</v>
      </c>
      <c r="C293" s="1" t="s">
        <v>3383</v>
      </c>
      <c r="D293" s="1" t="s">
        <v>2172</v>
      </c>
      <c r="E293" s="1" t="s">
        <v>263</v>
      </c>
      <c r="F293" s="1" t="s">
        <v>1293</v>
      </c>
      <c r="G293" s="1" t="s">
        <v>163</v>
      </c>
      <c r="H293" s="1" t="s">
        <v>163</v>
      </c>
      <c r="I293" s="1" t="s">
        <v>3394</v>
      </c>
      <c r="J293" s="1" t="s">
        <v>3394</v>
      </c>
      <c r="K293" s="1" t="s">
        <v>292</v>
      </c>
      <c r="L293" s="3">
        <v>46233</v>
      </c>
    </row>
    <row r="294" spans="1:12" x14ac:dyDescent="0.2">
      <c r="A294" s="1" t="s">
        <v>2173</v>
      </c>
      <c r="B294" s="1" t="s">
        <v>1291</v>
      </c>
      <c r="C294" s="1" t="s">
        <v>3383</v>
      </c>
      <c r="D294" s="1" t="s">
        <v>2174</v>
      </c>
      <c r="E294" s="12" t="s">
        <v>2175</v>
      </c>
      <c r="F294" s="1" t="s">
        <v>1290</v>
      </c>
      <c r="G294" s="1" t="s">
        <v>163</v>
      </c>
      <c r="H294" s="1" t="s">
        <v>163</v>
      </c>
      <c r="I294" s="1" t="s">
        <v>3394</v>
      </c>
      <c r="J294" s="1" t="s">
        <v>3394</v>
      </c>
      <c r="K294" s="1" t="s">
        <v>1438</v>
      </c>
      <c r="L294" s="3">
        <v>46233</v>
      </c>
    </row>
    <row r="295" spans="1:12" x14ac:dyDescent="0.2">
      <c r="A295" s="1" t="s">
        <v>1542</v>
      </c>
      <c r="B295" s="1" t="s">
        <v>8</v>
      </c>
      <c r="C295" s="1" t="s">
        <v>3380</v>
      </c>
      <c r="D295" s="1" t="s">
        <v>1543</v>
      </c>
      <c r="E295" s="18" t="s">
        <v>1544</v>
      </c>
      <c r="F295" s="1" t="s">
        <v>1287</v>
      </c>
      <c r="I295" s="1" t="s">
        <v>3394</v>
      </c>
      <c r="J295" s="1" t="s">
        <v>3394</v>
      </c>
      <c r="K295" s="3">
        <v>46237</v>
      </c>
      <c r="L295" s="3">
        <v>46233</v>
      </c>
    </row>
    <row r="296" spans="1:12" x14ac:dyDescent="0.2">
      <c r="A296" s="1" t="s">
        <v>2205</v>
      </c>
      <c r="B296" s="1" t="s">
        <v>1291</v>
      </c>
      <c r="C296" s="1" t="s">
        <v>3383</v>
      </c>
      <c r="D296" s="1" t="s">
        <v>2206</v>
      </c>
      <c r="E296" s="1" t="s">
        <v>2207</v>
      </c>
      <c r="F296" s="1" t="s">
        <v>1290</v>
      </c>
      <c r="G296" s="1" t="s">
        <v>163</v>
      </c>
      <c r="H296" s="1" t="s">
        <v>163</v>
      </c>
      <c r="I296" s="1" t="s">
        <v>3394</v>
      </c>
      <c r="J296" s="1" t="s">
        <v>3394</v>
      </c>
      <c r="K296" s="1" t="s">
        <v>45</v>
      </c>
      <c r="L296" s="3">
        <v>46233</v>
      </c>
    </row>
    <row r="297" spans="1:12" x14ac:dyDescent="0.2">
      <c r="A297" s="1" t="s">
        <v>2215</v>
      </c>
      <c r="B297" s="1" t="s">
        <v>8</v>
      </c>
      <c r="C297" s="1" t="s">
        <v>3383</v>
      </c>
      <c r="D297" s="1" t="s">
        <v>2216</v>
      </c>
      <c r="E297" s="1" t="s">
        <v>2217</v>
      </c>
      <c r="F297" s="1" t="s">
        <v>1293</v>
      </c>
      <c r="G297" s="1" t="s">
        <v>2218</v>
      </c>
      <c r="H297" s="1" t="s">
        <v>1520</v>
      </c>
      <c r="I297" s="1" t="s">
        <v>3394</v>
      </c>
      <c r="J297" s="1" t="s">
        <v>3394</v>
      </c>
      <c r="K297" s="1" t="s">
        <v>1292</v>
      </c>
      <c r="L297" s="3">
        <v>46233</v>
      </c>
    </row>
    <row r="298" spans="1:12" x14ac:dyDescent="0.2">
      <c r="A298" s="1" t="s">
        <v>2219</v>
      </c>
      <c r="B298" s="1" t="s">
        <v>8</v>
      </c>
      <c r="C298" s="1" t="s">
        <v>3383</v>
      </c>
      <c r="D298" s="1" t="s">
        <v>2220</v>
      </c>
      <c r="E298" s="1" t="s">
        <v>73</v>
      </c>
      <c r="F298" s="1" t="s">
        <v>1293</v>
      </c>
      <c r="G298" s="1" t="s">
        <v>163</v>
      </c>
      <c r="H298" s="1" t="s">
        <v>163</v>
      </c>
      <c r="I298" s="1" t="s">
        <v>3394</v>
      </c>
      <c r="J298" s="1" t="s">
        <v>3394</v>
      </c>
      <c r="K298" s="1" t="s">
        <v>1279</v>
      </c>
      <c r="L298" s="3">
        <v>46233</v>
      </c>
    </row>
    <row r="299" spans="1:12" x14ac:dyDescent="0.2">
      <c r="A299" s="1" t="s">
        <v>2221</v>
      </c>
      <c r="B299" s="1" t="s">
        <v>8</v>
      </c>
      <c r="C299" s="1" t="s">
        <v>3383</v>
      </c>
      <c r="D299" s="1" t="s">
        <v>2222</v>
      </c>
      <c r="E299" s="1" t="s">
        <v>263</v>
      </c>
      <c r="F299" s="1" t="s">
        <v>1293</v>
      </c>
      <c r="G299" s="1" t="s">
        <v>163</v>
      </c>
      <c r="H299" s="1" t="s">
        <v>163</v>
      </c>
      <c r="I299" s="1" t="s">
        <v>3394</v>
      </c>
      <c r="J299" s="1" t="s">
        <v>3394</v>
      </c>
      <c r="K299" s="1" t="s">
        <v>292</v>
      </c>
      <c r="L299" s="3">
        <v>46233</v>
      </c>
    </row>
    <row r="300" spans="1:12" x14ac:dyDescent="0.2">
      <c r="A300" s="1" t="s">
        <v>2223</v>
      </c>
      <c r="B300" s="1" t="s">
        <v>8</v>
      </c>
      <c r="C300" s="1" t="s">
        <v>3383</v>
      </c>
      <c r="D300" s="1" t="s">
        <v>2224</v>
      </c>
      <c r="E300" s="1" t="s">
        <v>263</v>
      </c>
      <c r="F300" s="1" t="s">
        <v>1293</v>
      </c>
      <c r="G300" s="1" t="s">
        <v>163</v>
      </c>
      <c r="H300" s="1" t="s">
        <v>163</v>
      </c>
      <c r="I300" s="1" t="s">
        <v>3394</v>
      </c>
      <c r="J300" s="1" t="s">
        <v>3394</v>
      </c>
      <c r="K300" s="1" t="s">
        <v>292</v>
      </c>
      <c r="L300" s="3">
        <v>46233</v>
      </c>
    </row>
    <row r="301" spans="1:12" x14ac:dyDescent="0.2">
      <c r="A301" s="1" t="s">
        <v>2053</v>
      </c>
      <c r="B301" s="1" t="s">
        <v>1314</v>
      </c>
      <c r="C301" s="1" t="s">
        <v>3381</v>
      </c>
      <c r="D301" s="1" t="s">
        <v>2054</v>
      </c>
      <c r="E301" s="1" t="s">
        <v>2055</v>
      </c>
      <c r="F301" s="1" t="s">
        <v>1287</v>
      </c>
      <c r="I301" s="1" t="s">
        <v>3394</v>
      </c>
      <c r="J301" s="1" t="s">
        <v>3394</v>
      </c>
      <c r="K301" s="3">
        <v>46237</v>
      </c>
      <c r="L301" s="3">
        <v>46233</v>
      </c>
    </row>
    <row r="302" spans="1:12" x14ac:dyDescent="0.2">
      <c r="A302" s="1" t="s">
        <v>2269</v>
      </c>
      <c r="B302" s="1" t="s">
        <v>41</v>
      </c>
      <c r="C302" s="1" t="s">
        <v>3383</v>
      </c>
      <c r="D302" s="1" t="s">
        <v>2270</v>
      </c>
      <c r="E302" s="16" t="s">
        <v>2271</v>
      </c>
      <c r="F302" s="1" t="s">
        <v>1289</v>
      </c>
      <c r="G302" s="1" t="s">
        <v>163</v>
      </c>
      <c r="H302" s="1" t="s">
        <v>163</v>
      </c>
      <c r="I302" s="1" t="s">
        <v>3394</v>
      </c>
      <c r="J302" s="1" t="s">
        <v>3394</v>
      </c>
      <c r="K302" s="1" t="s">
        <v>442</v>
      </c>
      <c r="L302" s="3">
        <v>46233</v>
      </c>
    </row>
    <row r="303" spans="1:12" x14ac:dyDescent="0.2">
      <c r="A303" s="1" t="s">
        <v>2272</v>
      </c>
      <c r="B303" s="1" t="s">
        <v>8</v>
      </c>
      <c r="C303" s="1" t="s">
        <v>3383</v>
      </c>
      <c r="D303" s="1" t="s">
        <v>2273</v>
      </c>
      <c r="E303" s="1" t="s">
        <v>263</v>
      </c>
      <c r="F303" s="1" t="s">
        <v>1293</v>
      </c>
      <c r="G303" s="1" t="s">
        <v>163</v>
      </c>
      <c r="H303" s="1" t="s">
        <v>163</v>
      </c>
      <c r="I303" s="1" t="s">
        <v>3394</v>
      </c>
      <c r="J303" s="1" t="s">
        <v>3394</v>
      </c>
      <c r="K303" s="1" t="s">
        <v>292</v>
      </c>
      <c r="L303" s="3">
        <v>46233</v>
      </c>
    </row>
    <row r="304" spans="1:12" x14ac:dyDescent="0.2">
      <c r="A304" s="1" t="s">
        <v>2274</v>
      </c>
      <c r="B304" s="1" t="s">
        <v>1291</v>
      </c>
      <c r="C304" s="1" t="s">
        <v>3383</v>
      </c>
      <c r="D304" s="1" t="s">
        <v>2275</v>
      </c>
      <c r="E304" s="1" t="s">
        <v>2276</v>
      </c>
      <c r="F304" s="1" t="s">
        <v>1289</v>
      </c>
      <c r="G304" s="1" t="s">
        <v>2277</v>
      </c>
      <c r="H304" s="1" t="s">
        <v>1520</v>
      </c>
      <c r="I304" s="1" t="s">
        <v>3394</v>
      </c>
      <c r="J304" s="1" t="s">
        <v>3394</v>
      </c>
      <c r="K304" s="1" t="s">
        <v>1292</v>
      </c>
      <c r="L304" s="3">
        <v>46233</v>
      </c>
    </row>
    <row r="305" spans="1:12" x14ac:dyDescent="0.2">
      <c r="A305" s="1" t="s">
        <v>2278</v>
      </c>
      <c r="B305" s="1" t="s">
        <v>1291</v>
      </c>
      <c r="C305" s="1" t="s">
        <v>3383</v>
      </c>
      <c r="D305" s="1" t="s">
        <v>2279</v>
      </c>
      <c r="E305" s="12" t="s">
        <v>2280</v>
      </c>
      <c r="F305" s="1" t="s">
        <v>1290</v>
      </c>
      <c r="G305" s="1" t="s">
        <v>163</v>
      </c>
      <c r="H305" s="1" t="s">
        <v>163</v>
      </c>
      <c r="I305" s="1" t="s">
        <v>3394</v>
      </c>
      <c r="J305" s="1" t="s">
        <v>3394</v>
      </c>
      <c r="K305" s="1" t="s">
        <v>45</v>
      </c>
      <c r="L305" s="3">
        <v>46233</v>
      </c>
    </row>
    <row r="306" spans="1:12" x14ac:dyDescent="0.2">
      <c r="A306" s="1" t="s">
        <v>2281</v>
      </c>
      <c r="B306" s="1" t="s">
        <v>929</v>
      </c>
      <c r="C306" s="1" t="s">
        <v>3383</v>
      </c>
      <c r="D306" s="1" t="s">
        <v>2282</v>
      </c>
      <c r="E306" s="1" t="s">
        <v>2283</v>
      </c>
      <c r="F306" s="1" t="s">
        <v>1501</v>
      </c>
      <c r="G306" s="1" t="s">
        <v>2284</v>
      </c>
      <c r="H306" s="1" t="s">
        <v>1286</v>
      </c>
      <c r="I306" s="1" t="s">
        <v>3394</v>
      </c>
      <c r="J306" s="1" t="s">
        <v>3394</v>
      </c>
      <c r="K306" s="1" t="s">
        <v>1285</v>
      </c>
      <c r="L306" s="3">
        <v>46233</v>
      </c>
    </row>
    <row r="307" spans="1:12" x14ac:dyDescent="0.2">
      <c r="A307" s="1" t="s">
        <v>2307</v>
      </c>
      <c r="B307" s="1" t="s">
        <v>41</v>
      </c>
      <c r="C307" s="1" t="s">
        <v>3383</v>
      </c>
      <c r="D307" s="1" t="s">
        <v>2308</v>
      </c>
      <c r="E307" s="12" t="s">
        <v>2309</v>
      </c>
      <c r="F307" s="1" t="s">
        <v>1289</v>
      </c>
      <c r="G307" s="1" t="s">
        <v>163</v>
      </c>
      <c r="H307" s="1" t="s">
        <v>163</v>
      </c>
      <c r="I307" s="1" t="s">
        <v>3394</v>
      </c>
      <c r="J307" s="1" t="s">
        <v>3394</v>
      </c>
      <c r="K307" s="1" t="s">
        <v>442</v>
      </c>
      <c r="L307" s="3">
        <v>46233</v>
      </c>
    </row>
    <row r="308" spans="1:12" x14ac:dyDescent="0.2">
      <c r="A308" s="1" t="s">
        <v>2310</v>
      </c>
      <c r="B308" s="1" t="s">
        <v>1291</v>
      </c>
      <c r="C308" s="1" t="s">
        <v>3383</v>
      </c>
      <c r="D308" s="1" t="s">
        <v>2311</v>
      </c>
      <c r="E308" s="1" t="s">
        <v>2312</v>
      </c>
      <c r="F308" s="1" t="s">
        <v>1289</v>
      </c>
      <c r="G308" s="1" t="s">
        <v>2313</v>
      </c>
      <c r="H308" s="1" t="s">
        <v>1520</v>
      </c>
      <c r="I308" s="1" t="s">
        <v>3394</v>
      </c>
      <c r="J308" s="1" t="s">
        <v>3394</v>
      </c>
      <c r="K308" s="1" t="s">
        <v>1292</v>
      </c>
      <c r="L308" s="3">
        <v>46233</v>
      </c>
    </row>
    <row r="309" spans="1:12" x14ac:dyDescent="0.2">
      <c r="A309" s="1" t="s">
        <v>2314</v>
      </c>
      <c r="B309" s="1" t="s">
        <v>1297</v>
      </c>
      <c r="C309" s="1" t="s">
        <v>3383</v>
      </c>
      <c r="D309" s="1" t="s">
        <v>2315</v>
      </c>
      <c r="E309" s="1" t="s">
        <v>2316</v>
      </c>
      <c r="F309" s="1" t="s">
        <v>1290</v>
      </c>
      <c r="G309" s="1" t="s">
        <v>2317</v>
      </c>
      <c r="H309" s="1" t="s">
        <v>1520</v>
      </c>
      <c r="I309" s="1" t="s">
        <v>3394</v>
      </c>
      <c r="J309" s="1" t="s">
        <v>3394</v>
      </c>
      <c r="K309" s="1" t="s">
        <v>1294</v>
      </c>
      <c r="L309" s="3">
        <v>46233</v>
      </c>
    </row>
    <row r="310" spans="1:12" x14ac:dyDescent="0.2">
      <c r="A310" s="1" t="s">
        <v>2085</v>
      </c>
      <c r="B310" s="1" t="s">
        <v>1314</v>
      </c>
      <c r="C310" s="1" t="s">
        <v>3381</v>
      </c>
      <c r="D310" s="1" t="s">
        <v>2086</v>
      </c>
      <c r="E310" s="18" t="s">
        <v>2087</v>
      </c>
      <c r="F310" s="1" t="s">
        <v>1287</v>
      </c>
      <c r="I310" s="1" t="s">
        <v>3394</v>
      </c>
      <c r="J310" s="1" t="s">
        <v>3394</v>
      </c>
      <c r="K310" s="3">
        <v>46237</v>
      </c>
      <c r="L310" s="3">
        <v>46233</v>
      </c>
    </row>
    <row r="311" spans="1:12" x14ac:dyDescent="0.2">
      <c r="A311" s="1" t="s">
        <v>2341</v>
      </c>
      <c r="B311" s="1" t="s">
        <v>47</v>
      </c>
      <c r="C311" s="1" t="s">
        <v>3383</v>
      </c>
      <c r="D311" s="1" t="s">
        <v>2342</v>
      </c>
      <c r="E311" s="1" t="s">
        <v>2343</v>
      </c>
      <c r="F311" s="1" t="s">
        <v>1501</v>
      </c>
      <c r="G311" s="1" t="s">
        <v>2344</v>
      </c>
      <c r="H311" s="1" t="s">
        <v>73</v>
      </c>
      <c r="I311" s="1" t="s">
        <v>3394</v>
      </c>
      <c r="J311" s="1" t="s">
        <v>3394</v>
      </c>
      <c r="K311" s="1" t="s">
        <v>1592</v>
      </c>
      <c r="L311" s="3">
        <v>46233</v>
      </c>
    </row>
    <row r="312" spans="1:12" x14ac:dyDescent="0.2">
      <c r="A312" s="1" t="s">
        <v>2345</v>
      </c>
      <c r="B312" s="1" t="s">
        <v>8</v>
      </c>
      <c r="C312" s="1" t="s">
        <v>3383</v>
      </c>
      <c r="D312" s="1" t="s">
        <v>2346</v>
      </c>
      <c r="E312" s="1" t="s">
        <v>2347</v>
      </c>
      <c r="F312" s="1" t="s">
        <v>1293</v>
      </c>
      <c r="G312" s="1" t="s">
        <v>2348</v>
      </c>
      <c r="H312" s="1" t="s">
        <v>2348</v>
      </c>
      <c r="I312" s="1" t="s">
        <v>3394</v>
      </c>
      <c r="J312" s="1" t="s">
        <v>3394</v>
      </c>
      <c r="K312" s="1" t="s">
        <v>1279</v>
      </c>
      <c r="L312" s="3">
        <v>46233</v>
      </c>
    </row>
    <row r="313" spans="1:12" x14ac:dyDescent="0.2">
      <c r="A313" s="1" t="s">
        <v>2349</v>
      </c>
      <c r="B313" s="1" t="s">
        <v>1297</v>
      </c>
      <c r="C313" s="1" t="s">
        <v>3383</v>
      </c>
      <c r="D313" s="1" t="s">
        <v>2350</v>
      </c>
      <c r="E313" s="1" t="s">
        <v>2351</v>
      </c>
      <c r="F313" s="1" t="s">
        <v>1290</v>
      </c>
      <c r="G313" s="1" t="s">
        <v>163</v>
      </c>
      <c r="H313" s="1" t="s">
        <v>163</v>
      </c>
      <c r="I313" s="1" t="s">
        <v>3394</v>
      </c>
      <c r="J313" s="1" t="s">
        <v>3394</v>
      </c>
      <c r="K313" s="1" t="s">
        <v>1438</v>
      </c>
      <c r="L313" s="3">
        <v>46233</v>
      </c>
    </row>
    <row r="314" spans="1:12" x14ac:dyDescent="0.2">
      <c r="A314" s="1" t="s">
        <v>2352</v>
      </c>
      <c r="B314" s="1" t="s">
        <v>41</v>
      </c>
      <c r="C314" s="1" t="s">
        <v>3383</v>
      </c>
      <c r="D314" s="1" t="s">
        <v>2353</v>
      </c>
      <c r="E314" s="1" t="s">
        <v>2354</v>
      </c>
      <c r="F314" s="1" t="s">
        <v>1290</v>
      </c>
      <c r="G314" s="1" t="s">
        <v>163</v>
      </c>
      <c r="H314" s="1" t="s">
        <v>163</v>
      </c>
      <c r="I314" s="1" t="s">
        <v>3394</v>
      </c>
      <c r="J314" s="1" t="s">
        <v>3394</v>
      </c>
      <c r="K314" s="1" t="s">
        <v>45</v>
      </c>
      <c r="L314" s="3">
        <v>46233</v>
      </c>
    </row>
    <row r="315" spans="1:12" x14ac:dyDescent="0.2">
      <c r="A315" s="1" t="s">
        <v>2355</v>
      </c>
      <c r="B315" s="1" t="s">
        <v>929</v>
      </c>
      <c r="C315" s="1" t="s">
        <v>3383</v>
      </c>
      <c r="D315" s="1" t="s">
        <v>2356</v>
      </c>
      <c r="E315" s="1" t="s">
        <v>2357</v>
      </c>
      <c r="F315" s="1" t="s">
        <v>1501</v>
      </c>
      <c r="G315" s="1" t="s">
        <v>1286</v>
      </c>
      <c r="H315" s="1" t="s">
        <v>1286</v>
      </c>
      <c r="I315" s="1" t="s">
        <v>3394</v>
      </c>
      <c r="J315" s="1" t="s">
        <v>3394</v>
      </c>
      <c r="K315" s="1" t="s">
        <v>1285</v>
      </c>
      <c r="L315" s="3">
        <v>46233</v>
      </c>
    </row>
    <row r="316" spans="1:12" x14ac:dyDescent="0.2">
      <c r="A316" s="1" t="s">
        <v>2512</v>
      </c>
      <c r="B316" s="1" t="s">
        <v>8</v>
      </c>
      <c r="C316" s="1" t="s">
        <v>3383</v>
      </c>
      <c r="D316" s="1" t="s">
        <v>2513</v>
      </c>
      <c r="E316" s="1" t="s">
        <v>2514</v>
      </c>
      <c r="F316" s="1" t="s">
        <v>1289</v>
      </c>
      <c r="G316" s="1" t="s">
        <v>163</v>
      </c>
      <c r="H316" s="1" t="s">
        <v>163</v>
      </c>
      <c r="I316" s="1" t="s">
        <v>3394</v>
      </c>
      <c r="J316" s="1" t="s">
        <v>3394</v>
      </c>
      <c r="K316" s="1" t="s">
        <v>443</v>
      </c>
      <c r="L316" s="3">
        <v>46233</v>
      </c>
    </row>
    <row r="317" spans="1:12" x14ac:dyDescent="0.2">
      <c r="A317" s="1" t="s">
        <v>2538</v>
      </c>
      <c r="B317" s="1" t="s">
        <v>8</v>
      </c>
      <c r="C317" s="1" t="s">
        <v>3383</v>
      </c>
      <c r="D317" s="1" t="s">
        <v>2539</v>
      </c>
      <c r="E317" s="1" t="s">
        <v>2540</v>
      </c>
      <c r="F317" s="1" t="s">
        <v>1293</v>
      </c>
      <c r="G317" s="1" t="s">
        <v>2541</v>
      </c>
      <c r="H317" s="1" t="s">
        <v>1520</v>
      </c>
      <c r="I317" s="1" t="s">
        <v>3394</v>
      </c>
      <c r="J317" s="1" t="s">
        <v>3394</v>
      </c>
      <c r="K317" s="1" t="s">
        <v>1292</v>
      </c>
      <c r="L317" s="3">
        <v>46233</v>
      </c>
    </row>
    <row r="318" spans="1:12" x14ac:dyDescent="0.2">
      <c r="A318" s="1" t="s">
        <v>2554</v>
      </c>
      <c r="B318" s="1" t="s">
        <v>1291</v>
      </c>
      <c r="C318" s="1" t="s">
        <v>3383</v>
      </c>
      <c r="D318" s="1" t="s">
        <v>2555</v>
      </c>
      <c r="E318" s="12" t="s">
        <v>2556</v>
      </c>
      <c r="F318" s="1" t="s">
        <v>1290</v>
      </c>
      <c r="G318" s="1" t="s">
        <v>163</v>
      </c>
      <c r="H318" s="1" t="s">
        <v>163</v>
      </c>
      <c r="I318" s="1" t="s">
        <v>3394</v>
      </c>
      <c r="J318" s="1" t="s">
        <v>3394</v>
      </c>
      <c r="K318" s="1" t="s">
        <v>45</v>
      </c>
      <c r="L318" s="3">
        <v>46233</v>
      </c>
    </row>
    <row r="319" spans="1:12" x14ac:dyDescent="0.2">
      <c r="A319" s="1" t="s">
        <v>2557</v>
      </c>
      <c r="B319" s="1" t="s">
        <v>41</v>
      </c>
      <c r="C319" s="1" t="s">
        <v>3383</v>
      </c>
      <c r="D319" s="1" t="s">
        <v>2558</v>
      </c>
      <c r="E319" s="1" t="s">
        <v>2559</v>
      </c>
      <c r="F319" s="1" t="s">
        <v>1289</v>
      </c>
      <c r="G319" s="1" t="s">
        <v>2560</v>
      </c>
      <c r="H319" s="1" t="s">
        <v>1520</v>
      </c>
      <c r="I319" s="1" t="s">
        <v>3394</v>
      </c>
      <c r="J319" s="1" t="s">
        <v>3394</v>
      </c>
      <c r="K319" s="1" t="s">
        <v>1292</v>
      </c>
      <c r="L319" s="3">
        <v>46233</v>
      </c>
    </row>
    <row r="320" spans="1:12" x14ac:dyDescent="0.2">
      <c r="A320" s="1" t="s">
        <v>2563</v>
      </c>
      <c r="B320" s="1" t="s">
        <v>41</v>
      </c>
      <c r="C320" s="1" t="s">
        <v>3383</v>
      </c>
      <c r="D320" s="1" t="s">
        <v>2564</v>
      </c>
      <c r="E320" s="1" t="s">
        <v>2565</v>
      </c>
      <c r="F320" s="1" t="s">
        <v>1289</v>
      </c>
      <c r="G320" s="1" t="s">
        <v>163</v>
      </c>
      <c r="H320" s="1" t="s">
        <v>163</v>
      </c>
      <c r="I320" s="1" t="s">
        <v>3394</v>
      </c>
      <c r="J320" s="1" t="s">
        <v>3394</v>
      </c>
      <c r="K320" s="1" t="s">
        <v>442</v>
      </c>
      <c r="L320" s="3">
        <v>46233</v>
      </c>
    </row>
    <row r="321" spans="1:12" x14ac:dyDescent="0.2">
      <c r="A321" s="1" t="s">
        <v>2566</v>
      </c>
      <c r="B321" s="1" t="s">
        <v>41</v>
      </c>
      <c r="C321" s="1" t="s">
        <v>3383</v>
      </c>
      <c r="D321" s="1" t="s">
        <v>2567</v>
      </c>
      <c r="E321" s="1" t="s">
        <v>2568</v>
      </c>
      <c r="F321" s="1" t="s">
        <v>1287</v>
      </c>
      <c r="G321" s="1" t="s">
        <v>2569</v>
      </c>
      <c r="H321" s="1" t="s">
        <v>1520</v>
      </c>
      <c r="I321" s="1" t="s">
        <v>3394</v>
      </c>
      <c r="J321" s="1" t="s">
        <v>3394</v>
      </c>
      <c r="K321" s="1" t="s">
        <v>1294</v>
      </c>
      <c r="L321" s="3">
        <v>46233</v>
      </c>
    </row>
    <row r="322" spans="1:12" x14ac:dyDescent="0.2">
      <c r="A322" s="1" t="s">
        <v>2636</v>
      </c>
      <c r="B322" s="1" t="s">
        <v>8</v>
      </c>
      <c r="C322" s="1" t="s">
        <v>3383</v>
      </c>
      <c r="D322" s="1" t="s">
        <v>2637</v>
      </c>
      <c r="E322" s="1" t="s">
        <v>263</v>
      </c>
      <c r="F322" s="1" t="s">
        <v>1293</v>
      </c>
      <c r="G322" s="1" t="s">
        <v>163</v>
      </c>
      <c r="H322" s="1" t="s">
        <v>163</v>
      </c>
      <c r="I322" s="1" t="s">
        <v>3394</v>
      </c>
      <c r="J322" s="1" t="s">
        <v>3394</v>
      </c>
      <c r="K322" s="1" t="s">
        <v>292</v>
      </c>
      <c r="L322" s="3">
        <v>46233</v>
      </c>
    </row>
    <row r="323" spans="1:12" x14ac:dyDescent="0.2">
      <c r="A323" s="1" t="s">
        <v>2723</v>
      </c>
      <c r="B323" s="1" t="s">
        <v>8</v>
      </c>
      <c r="C323" s="1" t="s">
        <v>3383</v>
      </c>
      <c r="D323" s="1" t="s">
        <v>2724</v>
      </c>
      <c r="E323" s="12" t="s">
        <v>2725</v>
      </c>
      <c r="F323" s="1" t="s">
        <v>1293</v>
      </c>
      <c r="G323" s="1" t="s">
        <v>1770</v>
      </c>
      <c r="H323" s="1" t="s">
        <v>1770</v>
      </c>
      <c r="I323" s="1" t="s">
        <v>3394</v>
      </c>
      <c r="J323" s="1" t="s">
        <v>3394</v>
      </c>
      <c r="K323" s="1" t="s">
        <v>1769</v>
      </c>
      <c r="L323" s="3">
        <v>46233</v>
      </c>
    </row>
    <row r="324" spans="1:12" x14ac:dyDescent="0.2">
      <c r="A324" s="1" t="s">
        <v>2726</v>
      </c>
      <c r="B324" s="1" t="s">
        <v>8</v>
      </c>
      <c r="C324" s="1" t="s">
        <v>3383</v>
      </c>
      <c r="D324" s="1" t="s">
        <v>2727</v>
      </c>
      <c r="E324" s="1" t="s">
        <v>263</v>
      </c>
      <c r="F324" s="1" t="s">
        <v>1293</v>
      </c>
      <c r="G324" s="1" t="s">
        <v>163</v>
      </c>
      <c r="H324" s="1" t="s">
        <v>163</v>
      </c>
      <c r="I324" s="1" t="s">
        <v>3394</v>
      </c>
      <c r="J324" s="1" t="s">
        <v>3394</v>
      </c>
      <c r="K324" s="1" t="s">
        <v>292</v>
      </c>
      <c r="L324" s="3">
        <v>46233</v>
      </c>
    </row>
    <row r="325" spans="1:12" x14ac:dyDescent="0.2">
      <c r="A325" s="1" t="s">
        <v>2728</v>
      </c>
      <c r="B325" s="1" t="s">
        <v>8</v>
      </c>
      <c r="C325" s="1" t="s">
        <v>3383</v>
      </c>
      <c r="D325" s="1" t="s">
        <v>2729</v>
      </c>
      <c r="E325" s="1" t="s">
        <v>2730</v>
      </c>
      <c r="F325" s="1" t="s">
        <v>1289</v>
      </c>
      <c r="G325" s="1" t="s">
        <v>2731</v>
      </c>
      <c r="I325" s="1" t="s">
        <v>3394</v>
      </c>
      <c r="J325" s="1" t="s">
        <v>3394</v>
      </c>
      <c r="L325" s="3">
        <v>46233</v>
      </c>
    </row>
    <row r="326" spans="1:12" x14ac:dyDescent="0.2">
      <c r="A326" s="1" t="s">
        <v>2732</v>
      </c>
      <c r="B326" s="1" t="s">
        <v>1314</v>
      </c>
      <c r="C326" s="1" t="s">
        <v>3383</v>
      </c>
      <c r="D326" s="1" t="s">
        <v>2733</v>
      </c>
      <c r="E326" s="1" t="s">
        <v>2734</v>
      </c>
      <c r="F326" s="1" t="s">
        <v>1289</v>
      </c>
      <c r="G326" s="1" t="s">
        <v>163</v>
      </c>
      <c r="H326" s="1" t="s">
        <v>163</v>
      </c>
      <c r="I326" s="1" t="s">
        <v>3394</v>
      </c>
      <c r="J326" s="1" t="s">
        <v>3394</v>
      </c>
      <c r="K326" s="1" t="s">
        <v>442</v>
      </c>
      <c r="L326" s="3">
        <v>46233</v>
      </c>
    </row>
    <row r="327" spans="1:12" x14ac:dyDescent="0.2">
      <c r="A327" s="1" t="s">
        <v>2735</v>
      </c>
      <c r="B327" s="1" t="s">
        <v>41</v>
      </c>
      <c r="C327" s="1" t="s">
        <v>3383</v>
      </c>
      <c r="D327" s="1" t="s">
        <v>2736</v>
      </c>
      <c r="E327" s="1" t="s">
        <v>2737</v>
      </c>
      <c r="F327" s="1" t="s">
        <v>1289</v>
      </c>
      <c r="G327" s="1" t="s">
        <v>163</v>
      </c>
      <c r="H327" s="1" t="s">
        <v>163</v>
      </c>
      <c r="I327" s="1" t="s">
        <v>3394</v>
      </c>
      <c r="J327" s="1" t="s">
        <v>3394</v>
      </c>
      <c r="K327" s="1" t="s">
        <v>443</v>
      </c>
      <c r="L327" s="3">
        <v>46233</v>
      </c>
    </row>
    <row r="328" spans="1:12" x14ac:dyDescent="0.2">
      <c r="A328" s="1" t="s">
        <v>2738</v>
      </c>
      <c r="B328" s="1" t="s">
        <v>8</v>
      </c>
      <c r="C328" s="1" t="s">
        <v>3383</v>
      </c>
      <c r="D328" s="1" t="s">
        <v>2739</v>
      </c>
      <c r="E328" s="12" t="s">
        <v>2740</v>
      </c>
      <c r="F328" s="1" t="s">
        <v>1289</v>
      </c>
      <c r="G328" s="1" t="s">
        <v>163</v>
      </c>
      <c r="H328" s="1" t="s">
        <v>163</v>
      </c>
      <c r="I328" s="1" t="s">
        <v>3394</v>
      </c>
      <c r="J328" s="1" t="s">
        <v>3394</v>
      </c>
      <c r="K328" s="1" t="s">
        <v>443</v>
      </c>
      <c r="L328" s="3">
        <v>46233</v>
      </c>
    </row>
    <row r="329" spans="1:12" x14ac:dyDescent="0.2">
      <c r="A329" s="1" t="s">
        <v>2840</v>
      </c>
      <c r="B329" s="1" t="s">
        <v>8</v>
      </c>
      <c r="C329" s="1" t="s">
        <v>3381</v>
      </c>
      <c r="D329" s="1" t="s">
        <v>2841</v>
      </c>
      <c r="E329" s="18" t="s">
        <v>2842</v>
      </c>
      <c r="F329" s="1" t="s">
        <v>1287</v>
      </c>
      <c r="I329" s="1" t="s">
        <v>3394</v>
      </c>
      <c r="J329" s="1" t="s">
        <v>3394</v>
      </c>
      <c r="K329" s="3">
        <v>46237</v>
      </c>
      <c r="L329" s="3">
        <v>46233</v>
      </c>
    </row>
    <row r="330" spans="1:12" x14ac:dyDescent="0.2">
      <c r="A330" s="1" t="s">
        <v>2896</v>
      </c>
      <c r="B330" s="1" t="s">
        <v>1314</v>
      </c>
      <c r="C330" s="1" t="s">
        <v>3381</v>
      </c>
      <c r="D330" s="1" t="s">
        <v>2897</v>
      </c>
      <c r="E330" s="1" t="s">
        <v>2898</v>
      </c>
      <c r="F330" s="1" t="s">
        <v>1287</v>
      </c>
      <c r="I330" s="1" t="s">
        <v>3394</v>
      </c>
      <c r="J330" s="1" t="s">
        <v>3394</v>
      </c>
      <c r="K330" s="3">
        <v>46237</v>
      </c>
      <c r="L330" s="3">
        <v>46233</v>
      </c>
    </row>
    <row r="331" spans="1:12" x14ac:dyDescent="0.2">
      <c r="A331" s="1" t="s">
        <v>2899</v>
      </c>
      <c r="B331" s="1" t="s">
        <v>1314</v>
      </c>
      <c r="C331" s="1" t="s">
        <v>3381</v>
      </c>
      <c r="D331" s="1" t="s">
        <v>2900</v>
      </c>
      <c r="E331" s="18" t="s">
        <v>2901</v>
      </c>
      <c r="F331" s="1" t="s">
        <v>1287</v>
      </c>
      <c r="I331" s="1" t="s">
        <v>3394</v>
      </c>
      <c r="J331" s="1" t="s">
        <v>3394</v>
      </c>
      <c r="K331" s="3">
        <v>46237</v>
      </c>
      <c r="L331" s="3">
        <v>46233</v>
      </c>
    </row>
    <row r="332" spans="1:12" x14ac:dyDescent="0.2">
      <c r="A332" s="1" t="s">
        <v>2871</v>
      </c>
      <c r="B332" s="1" t="s">
        <v>41</v>
      </c>
      <c r="C332" s="1" t="s">
        <v>3383</v>
      </c>
      <c r="D332" s="1" t="s">
        <v>2872</v>
      </c>
      <c r="E332" s="1" t="s">
        <v>2873</v>
      </c>
      <c r="F332" s="1" t="s">
        <v>1289</v>
      </c>
      <c r="G332" s="1" t="s">
        <v>2874</v>
      </c>
      <c r="I332" s="1" t="s">
        <v>3394</v>
      </c>
      <c r="J332" s="1" t="s">
        <v>3394</v>
      </c>
      <c r="L332" s="3">
        <v>46233</v>
      </c>
    </row>
    <row r="333" spans="1:12" x14ac:dyDescent="0.2">
      <c r="A333" s="1" t="s">
        <v>2875</v>
      </c>
      <c r="B333" s="1" t="s">
        <v>41</v>
      </c>
      <c r="C333" s="1" t="s">
        <v>3383</v>
      </c>
      <c r="D333" s="1" t="s">
        <v>2876</v>
      </c>
      <c r="E333" s="1" t="s">
        <v>2877</v>
      </c>
      <c r="F333" s="1" t="s">
        <v>1290</v>
      </c>
      <c r="G333" s="1" t="s">
        <v>163</v>
      </c>
      <c r="H333" s="1" t="s">
        <v>163</v>
      </c>
      <c r="I333" s="1" t="s">
        <v>3394</v>
      </c>
      <c r="J333" s="1" t="s">
        <v>3394</v>
      </c>
      <c r="K333" s="1" t="s">
        <v>45</v>
      </c>
      <c r="L333" s="3">
        <v>46233</v>
      </c>
    </row>
    <row r="334" spans="1:12" x14ac:dyDescent="0.2">
      <c r="A334" s="1" t="s">
        <v>2878</v>
      </c>
      <c r="B334" s="1" t="s">
        <v>929</v>
      </c>
      <c r="C334" s="1" t="s">
        <v>3383</v>
      </c>
      <c r="D334" s="1" t="s">
        <v>2879</v>
      </c>
      <c r="E334" s="1" t="s">
        <v>2880</v>
      </c>
      <c r="F334" s="1" t="s">
        <v>1290</v>
      </c>
      <c r="G334" s="1" t="s">
        <v>163</v>
      </c>
      <c r="H334" s="1" t="s">
        <v>163</v>
      </c>
      <c r="I334" s="1" t="s">
        <v>3394</v>
      </c>
      <c r="J334" s="1" t="s">
        <v>3394</v>
      </c>
      <c r="K334" s="1" t="s">
        <v>1438</v>
      </c>
      <c r="L334" s="3">
        <v>46233</v>
      </c>
    </row>
    <row r="335" spans="1:12" x14ac:dyDescent="0.2">
      <c r="A335" s="1" t="s">
        <v>2917</v>
      </c>
      <c r="B335" s="1" t="s">
        <v>41</v>
      </c>
      <c r="C335" s="1" t="s">
        <v>3383</v>
      </c>
      <c r="D335" s="1" t="s">
        <v>2918</v>
      </c>
      <c r="E335" s="1" t="s">
        <v>2919</v>
      </c>
      <c r="F335" s="1" t="s">
        <v>1289</v>
      </c>
      <c r="G335" s="1" t="s">
        <v>2920</v>
      </c>
      <c r="H335" s="1" t="s">
        <v>1520</v>
      </c>
      <c r="I335" s="1" t="s">
        <v>3394</v>
      </c>
      <c r="J335" s="1" t="s">
        <v>3394</v>
      </c>
      <c r="K335" s="1" t="s">
        <v>1292</v>
      </c>
      <c r="L335" s="3">
        <v>46233</v>
      </c>
    </row>
    <row r="336" spans="1:12" x14ac:dyDescent="0.2">
      <c r="A336" s="1" t="s">
        <v>2921</v>
      </c>
      <c r="B336" s="1" t="s">
        <v>929</v>
      </c>
      <c r="C336" s="1" t="s">
        <v>3383</v>
      </c>
      <c r="D336" s="1" t="s">
        <v>2922</v>
      </c>
      <c r="E336" s="1" t="s">
        <v>2923</v>
      </c>
      <c r="F336" s="1" t="s">
        <v>1290</v>
      </c>
      <c r="H336" s="1" t="s">
        <v>2924</v>
      </c>
      <c r="I336" s="1" t="s">
        <v>3394</v>
      </c>
      <c r="J336" s="1" t="s">
        <v>3394</v>
      </c>
      <c r="K336" s="1" t="s">
        <v>1292</v>
      </c>
      <c r="L336" s="3">
        <v>46233</v>
      </c>
    </row>
    <row r="337" spans="1:12" x14ac:dyDescent="0.2">
      <c r="A337" s="1" t="s">
        <v>2136</v>
      </c>
      <c r="B337" s="1" t="s">
        <v>1314</v>
      </c>
      <c r="C337" s="1" t="s">
        <v>3383</v>
      </c>
      <c r="D337" s="1" t="s">
        <v>2137</v>
      </c>
      <c r="E337" s="18" t="s">
        <v>2138</v>
      </c>
      <c r="F337" s="1" t="s">
        <v>1287</v>
      </c>
      <c r="I337" s="1" t="s">
        <v>3394</v>
      </c>
      <c r="J337" s="1" t="s">
        <v>3394</v>
      </c>
      <c r="K337" s="3">
        <v>46237</v>
      </c>
      <c r="L337" s="3">
        <v>46233</v>
      </c>
    </row>
    <row r="338" spans="1:12" x14ac:dyDescent="0.2">
      <c r="A338" s="1" t="s">
        <v>3328</v>
      </c>
      <c r="B338" s="1" t="s">
        <v>8</v>
      </c>
      <c r="C338" s="1" t="s">
        <v>3382</v>
      </c>
      <c r="D338" s="1" t="s">
        <v>3329</v>
      </c>
      <c r="E338" s="1" t="s">
        <v>3330</v>
      </c>
      <c r="F338" s="1" t="s">
        <v>291</v>
      </c>
      <c r="I338" s="1" t="s">
        <v>3393</v>
      </c>
      <c r="J338" s="1" t="s">
        <v>3393</v>
      </c>
      <c r="L338" s="3">
        <v>46233</v>
      </c>
    </row>
  </sheetData>
  <pageMargins left="3.937007874015748E-2" right="3.937007874015748E-2" top="0.19685039370078741" bottom="0.19685039370078741" header="0.31496062992125984" footer="0.31496062992125984"/>
  <pageSetup paperSize="9" scale="55"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76FC-6DEC-42E1-8E4C-24785BD438F2}">
  <sheetPr>
    <pageSetUpPr fitToPage="1"/>
  </sheetPr>
  <dimension ref="A1:L366"/>
  <sheetViews>
    <sheetView zoomScaleNormal="100" workbookViewId="0">
      <selection activeCell="A301" sqref="A301"/>
    </sheetView>
  </sheetViews>
  <sheetFormatPr baseColWidth="10" defaultColWidth="8.83203125" defaultRowHeight="15" outlineLevelCol="1" x14ac:dyDescent="0.2"/>
  <cols>
    <col min="1" max="1" width="9.5" style="1" customWidth="1"/>
    <col min="2" max="3" width="8.83203125" style="1"/>
    <col min="4" max="4" width="19.5" style="1" customWidth="1"/>
    <col min="5" max="5" width="75.5" style="1" customWidth="1"/>
    <col min="6" max="6" width="17" style="1" customWidth="1"/>
    <col min="7" max="7" width="17.1640625" style="1" customWidth="1" outlineLevel="1"/>
    <col min="8" max="8" width="16.6640625" style="1" customWidth="1" outlineLevel="1"/>
    <col min="9" max="9" width="17.6640625" style="1" customWidth="1"/>
    <col min="10" max="10" width="12.83203125" style="1" customWidth="1"/>
    <col min="11" max="11" width="20" style="1" customWidth="1" outlineLevel="1"/>
    <col min="12" max="12" width="24.83203125" style="1" customWidth="1" outlineLevel="1"/>
    <col min="13" max="16384" width="8.83203125" style="1"/>
  </cols>
  <sheetData>
    <row r="1" spans="1:12" x14ac:dyDescent="0.2">
      <c r="A1" s="2" t="s">
        <v>0</v>
      </c>
      <c r="B1" s="2" t="s">
        <v>1</v>
      </c>
      <c r="C1" s="2" t="s">
        <v>3374</v>
      </c>
      <c r="D1" s="2" t="s">
        <v>5</v>
      </c>
      <c r="E1" s="2" t="s">
        <v>2</v>
      </c>
      <c r="F1" s="2" t="s">
        <v>4</v>
      </c>
      <c r="G1" s="2" t="s">
        <v>3</v>
      </c>
      <c r="H1" s="2" t="s">
        <v>6</v>
      </c>
      <c r="I1" s="2" t="s">
        <v>3371</v>
      </c>
      <c r="J1" s="2" t="s">
        <v>3370</v>
      </c>
      <c r="K1" s="2" t="s">
        <v>3373</v>
      </c>
      <c r="L1" s="2" t="s">
        <v>3372</v>
      </c>
    </row>
    <row r="2" spans="1:12" x14ac:dyDescent="0.2">
      <c r="A2" s="1" t="s">
        <v>1352</v>
      </c>
      <c r="B2" s="1" t="s">
        <v>1295</v>
      </c>
      <c r="C2" s="1" t="s">
        <v>3384</v>
      </c>
      <c r="D2" s="1" t="s">
        <v>1353</v>
      </c>
      <c r="E2" s="1" t="s">
        <v>1354</v>
      </c>
      <c r="F2" s="1" t="s">
        <v>1289</v>
      </c>
      <c r="I2" s="1" t="s">
        <v>3394</v>
      </c>
      <c r="J2" s="1" t="s">
        <v>3393</v>
      </c>
    </row>
    <row r="3" spans="1:12" x14ac:dyDescent="0.2">
      <c r="A3" s="1" t="s">
        <v>1571</v>
      </c>
      <c r="B3" s="1" t="s">
        <v>41</v>
      </c>
      <c r="C3" s="1" t="s">
        <v>3384</v>
      </c>
      <c r="D3" s="1" t="s">
        <v>1572</v>
      </c>
      <c r="E3" s="17" t="s">
        <v>1573</v>
      </c>
      <c r="F3" s="1" t="s">
        <v>1289</v>
      </c>
      <c r="I3" s="1" t="s">
        <v>3393</v>
      </c>
      <c r="J3" s="1" t="s">
        <v>3393</v>
      </c>
    </row>
    <row r="4" spans="1:12" x14ac:dyDescent="0.2">
      <c r="A4" s="1" t="s">
        <v>64</v>
      </c>
      <c r="B4" s="1" t="s">
        <v>47</v>
      </c>
      <c r="C4" s="1" t="s">
        <v>3384</v>
      </c>
      <c r="E4" s="1" t="s">
        <v>65</v>
      </c>
      <c r="F4" s="1" t="s">
        <v>49</v>
      </c>
      <c r="I4" s="1" t="s">
        <v>3394</v>
      </c>
      <c r="J4" s="1" t="s">
        <v>3393</v>
      </c>
    </row>
    <row r="5" spans="1:12" x14ac:dyDescent="0.2">
      <c r="A5" s="1" t="s">
        <v>2009</v>
      </c>
      <c r="B5" s="1" t="s">
        <v>41</v>
      </c>
      <c r="C5" s="1" t="s">
        <v>3384</v>
      </c>
      <c r="D5" s="1" t="s">
        <v>2010</v>
      </c>
      <c r="E5" s="1" t="s">
        <v>2011</v>
      </c>
      <c r="F5" s="1" t="s">
        <v>49</v>
      </c>
      <c r="I5" s="1" t="s">
        <v>3394</v>
      </c>
      <c r="J5" s="1" t="s">
        <v>3393</v>
      </c>
    </row>
    <row r="6" spans="1:12" x14ac:dyDescent="0.2">
      <c r="A6" s="1" t="s">
        <v>2420</v>
      </c>
      <c r="B6" s="1" t="s">
        <v>41</v>
      </c>
      <c r="C6" s="1" t="s">
        <v>3384</v>
      </c>
      <c r="D6" s="1" t="s">
        <v>2010</v>
      </c>
      <c r="E6" s="1" t="s">
        <v>2421</v>
      </c>
      <c r="F6" s="1" t="s">
        <v>49</v>
      </c>
      <c r="I6" s="1" t="s">
        <v>3394</v>
      </c>
      <c r="J6" s="1" t="s">
        <v>3393</v>
      </c>
    </row>
    <row r="7" spans="1:12" x14ac:dyDescent="0.2">
      <c r="A7" s="1" t="s">
        <v>2422</v>
      </c>
      <c r="B7" s="1" t="s">
        <v>41</v>
      </c>
      <c r="C7" s="1" t="s">
        <v>3384</v>
      </c>
      <c r="D7" s="1" t="s">
        <v>2010</v>
      </c>
      <c r="E7" s="1" t="s">
        <v>2423</v>
      </c>
      <c r="F7" s="1" t="s">
        <v>49</v>
      </c>
      <c r="I7" s="1" t="s">
        <v>3394</v>
      </c>
      <c r="J7" s="1" t="s">
        <v>3393</v>
      </c>
    </row>
    <row r="8" spans="1:12" x14ac:dyDescent="0.2">
      <c r="A8" s="1" t="s">
        <v>2656</v>
      </c>
      <c r="B8" s="1" t="s">
        <v>41</v>
      </c>
      <c r="C8" s="1" t="s">
        <v>3384</v>
      </c>
      <c r="D8" s="1" t="s">
        <v>2010</v>
      </c>
      <c r="E8" s="1" t="s">
        <v>2657</v>
      </c>
      <c r="F8" s="1" t="s">
        <v>49</v>
      </c>
      <c r="I8" s="1" t="s">
        <v>3394</v>
      </c>
      <c r="J8" s="1" t="s">
        <v>3393</v>
      </c>
    </row>
    <row r="9" spans="1:12" x14ac:dyDescent="0.2">
      <c r="A9" s="1" t="s">
        <v>1579</v>
      </c>
      <c r="B9" s="1" t="s">
        <v>929</v>
      </c>
      <c r="C9" s="1" t="s">
        <v>3384</v>
      </c>
      <c r="D9" s="1" t="s">
        <v>1580</v>
      </c>
      <c r="E9" s="12" t="s">
        <v>1581</v>
      </c>
      <c r="F9" s="1" t="s">
        <v>1290</v>
      </c>
      <c r="I9" s="1" t="s">
        <v>3394</v>
      </c>
      <c r="J9" s="1" t="s">
        <v>3402</v>
      </c>
    </row>
    <row r="10" spans="1:12" x14ac:dyDescent="0.2">
      <c r="A10" s="1" t="s">
        <v>1679</v>
      </c>
      <c r="B10" s="1" t="s">
        <v>8</v>
      </c>
      <c r="C10" s="1" t="s">
        <v>3384</v>
      </c>
      <c r="D10" s="1" t="s">
        <v>1680</v>
      </c>
      <c r="E10" s="1" t="s">
        <v>263</v>
      </c>
      <c r="F10" s="1" t="s">
        <v>1293</v>
      </c>
      <c r="G10" s="1" t="s">
        <v>163</v>
      </c>
      <c r="H10" s="1" t="s">
        <v>163</v>
      </c>
      <c r="I10" s="1" t="s">
        <v>3394</v>
      </c>
      <c r="J10" s="1" t="s">
        <v>3394</v>
      </c>
      <c r="K10" s="1" t="s">
        <v>292</v>
      </c>
      <c r="L10" s="1" t="s">
        <v>292</v>
      </c>
    </row>
    <row r="11" spans="1:12" x14ac:dyDescent="0.2">
      <c r="A11" s="1" t="s">
        <v>1585</v>
      </c>
      <c r="B11" s="1" t="s">
        <v>8</v>
      </c>
      <c r="C11" s="1" t="s">
        <v>3384</v>
      </c>
      <c r="D11" s="1" t="s">
        <v>1586</v>
      </c>
      <c r="E11" s="1" t="s">
        <v>1587</v>
      </c>
      <c r="F11" s="1" t="s">
        <v>1290</v>
      </c>
      <c r="I11" s="1" t="s">
        <v>3394</v>
      </c>
      <c r="J11" s="1" t="s">
        <v>3393</v>
      </c>
    </row>
    <row r="12" spans="1:12" x14ac:dyDescent="0.2">
      <c r="A12" s="1" t="s">
        <v>1676</v>
      </c>
      <c r="B12" s="1" t="s">
        <v>8</v>
      </c>
      <c r="C12" s="1" t="s">
        <v>3384</v>
      </c>
      <c r="D12" s="1" t="s">
        <v>1677</v>
      </c>
      <c r="E12" s="1" t="s">
        <v>1678</v>
      </c>
      <c r="F12" s="1" t="s">
        <v>1290</v>
      </c>
      <c r="I12" s="1" t="s">
        <v>3393</v>
      </c>
      <c r="J12" s="1" t="s">
        <v>3393</v>
      </c>
    </row>
    <row r="13" spans="1:12" x14ac:dyDescent="0.2">
      <c r="A13" s="1" t="s">
        <v>1682</v>
      </c>
      <c r="B13" s="1" t="s">
        <v>8</v>
      </c>
      <c r="C13" s="1" t="s">
        <v>3384</v>
      </c>
      <c r="D13" s="1" t="s">
        <v>1683</v>
      </c>
      <c r="E13" s="12" t="s">
        <v>808</v>
      </c>
      <c r="F13" s="1" t="s">
        <v>1290</v>
      </c>
      <c r="I13" s="1" t="s">
        <v>3394</v>
      </c>
      <c r="J13" s="1" t="s">
        <v>3402</v>
      </c>
    </row>
    <row r="14" spans="1:12" x14ac:dyDescent="0.2">
      <c r="A14" s="1" t="s">
        <v>1684</v>
      </c>
      <c r="B14" s="1" t="s">
        <v>8</v>
      </c>
      <c r="C14" s="1" t="s">
        <v>3384</v>
      </c>
      <c r="D14" s="1" t="s">
        <v>1685</v>
      </c>
      <c r="E14" s="1" t="s">
        <v>1686</v>
      </c>
      <c r="F14" s="1" t="s">
        <v>1290</v>
      </c>
      <c r="I14" s="1" t="s">
        <v>3394</v>
      </c>
      <c r="J14" s="121" t="s">
        <v>3394</v>
      </c>
      <c r="K14" s="3">
        <v>46293</v>
      </c>
    </row>
    <row r="15" spans="1:12" x14ac:dyDescent="0.2">
      <c r="A15" s="1" t="s">
        <v>1687</v>
      </c>
      <c r="B15" s="1" t="s">
        <v>8</v>
      </c>
      <c r="C15" s="1" t="s">
        <v>3384</v>
      </c>
      <c r="D15" s="1" t="s">
        <v>1688</v>
      </c>
      <c r="E15" s="1" t="s">
        <v>1689</v>
      </c>
      <c r="F15" s="1" t="s">
        <v>1290</v>
      </c>
      <c r="I15" s="1" t="s">
        <v>3394</v>
      </c>
      <c r="J15" s="1" t="s">
        <v>3393</v>
      </c>
    </row>
    <row r="16" spans="1:12" x14ac:dyDescent="0.2">
      <c r="A16" s="1" t="s">
        <v>1690</v>
      </c>
      <c r="B16" s="1" t="s">
        <v>8</v>
      </c>
      <c r="C16" s="1" t="s">
        <v>3384</v>
      </c>
      <c r="D16" s="1" t="s">
        <v>1691</v>
      </c>
      <c r="E16" s="1" t="s">
        <v>1692</v>
      </c>
      <c r="F16" s="1" t="s">
        <v>1290</v>
      </c>
      <c r="I16" s="1" t="s">
        <v>3394</v>
      </c>
      <c r="J16" s="1" t="s">
        <v>3393</v>
      </c>
    </row>
    <row r="17" spans="1:12" x14ac:dyDescent="0.2">
      <c r="A17" s="1" t="s">
        <v>1807</v>
      </c>
      <c r="B17" s="1" t="s">
        <v>8</v>
      </c>
      <c r="C17" s="1" t="s">
        <v>3384</v>
      </c>
      <c r="D17" s="1" t="s">
        <v>1808</v>
      </c>
      <c r="E17" s="1" t="s">
        <v>1809</v>
      </c>
      <c r="F17" s="1" t="s">
        <v>1290</v>
      </c>
      <c r="G17" s="1" t="s">
        <v>1810</v>
      </c>
      <c r="H17" s="1" t="s">
        <v>1810</v>
      </c>
      <c r="I17" s="1" t="s">
        <v>3394</v>
      </c>
      <c r="J17" s="1" t="s">
        <v>3394</v>
      </c>
      <c r="K17" s="1" t="s">
        <v>1769</v>
      </c>
      <c r="L17" s="1" t="s">
        <v>1769</v>
      </c>
    </row>
    <row r="18" spans="1:12" x14ac:dyDescent="0.2">
      <c r="A18" s="1" t="s">
        <v>1811</v>
      </c>
      <c r="B18" s="1" t="s">
        <v>41</v>
      </c>
      <c r="C18" s="1" t="s">
        <v>3384</v>
      </c>
      <c r="D18" s="1" t="s">
        <v>1812</v>
      </c>
      <c r="E18" s="1" t="s">
        <v>1813</v>
      </c>
      <c r="F18" s="1" t="s">
        <v>1290</v>
      </c>
      <c r="G18" s="1" t="s">
        <v>163</v>
      </c>
      <c r="H18" s="1" t="s">
        <v>163</v>
      </c>
      <c r="I18" s="1" t="s">
        <v>3394</v>
      </c>
      <c r="J18" s="1" t="s">
        <v>3394</v>
      </c>
      <c r="K18" s="1" t="s">
        <v>162</v>
      </c>
      <c r="L18" s="1" t="s">
        <v>162</v>
      </c>
    </row>
    <row r="19" spans="1:12" x14ac:dyDescent="0.2">
      <c r="A19" s="1" t="s">
        <v>1814</v>
      </c>
      <c r="B19" s="1" t="s">
        <v>8</v>
      </c>
      <c r="C19" s="1" t="s">
        <v>3384</v>
      </c>
      <c r="D19" s="1" t="s">
        <v>1815</v>
      </c>
      <c r="E19" s="1" t="s">
        <v>263</v>
      </c>
      <c r="F19" s="1" t="s">
        <v>1293</v>
      </c>
      <c r="G19" s="1" t="s">
        <v>163</v>
      </c>
      <c r="H19" s="1" t="s">
        <v>163</v>
      </c>
      <c r="I19" s="1" t="s">
        <v>3394</v>
      </c>
      <c r="J19" s="1" t="s">
        <v>3394</v>
      </c>
      <c r="K19" s="1" t="s">
        <v>292</v>
      </c>
      <c r="L19" s="1" t="s">
        <v>292</v>
      </c>
    </row>
    <row r="20" spans="1:12" x14ac:dyDescent="0.2">
      <c r="A20" s="1" t="s">
        <v>1693</v>
      </c>
      <c r="B20" s="1" t="s">
        <v>1371</v>
      </c>
      <c r="C20" s="1" t="s">
        <v>3384</v>
      </c>
      <c r="D20" s="1" t="s">
        <v>1694</v>
      </c>
      <c r="E20" s="12" t="s">
        <v>1695</v>
      </c>
      <c r="F20" s="1" t="s">
        <v>1290</v>
      </c>
      <c r="I20" s="1" t="s">
        <v>3394</v>
      </c>
      <c r="J20" s="1" t="s">
        <v>3402</v>
      </c>
    </row>
    <row r="21" spans="1:12" x14ac:dyDescent="0.2">
      <c r="A21" s="1" t="s">
        <v>1804</v>
      </c>
      <c r="B21" s="1" t="s">
        <v>8</v>
      </c>
      <c r="C21" s="1" t="s">
        <v>3384</v>
      </c>
      <c r="D21" s="1" t="s">
        <v>1805</v>
      </c>
      <c r="E21" s="16" t="s">
        <v>1806</v>
      </c>
      <c r="F21" s="1" t="s">
        <v>1290</v>
      </c>
      <c r="I21" s="1" t="s">
        <v>3394</v>
      </c>
      <c r="J21" s="121" t="s">
        <v>3394</v>
      </c>
      <c r="K21" s="3">
        <v>46293</v>
      </c>
    </row>
    <row r="22" spans="1:12" x14ac:dyDescent="0.2">
      <c r="A22" s="1" t="s">
        <v>1817</v>
      </c>
      <c r="B22" s="1" t="s">
        <v>8</v>
      </c>
      <c r="C22" s="1" t="s">
        <v>3384</v>
      </c>
      <c r="D22" s="1" t="s">
        <v>1818</v>
      </c>
      <c r="E22" s="1" t="s">
        <v>1819</v>
      </c>
      <c r="F22" s="1" t="s">
        <v>1290</v>
      </c>
      <c r="I22" s="1" t="s">
        <v>3394</v>
      </c>
      <c r="J22" s="1" t="s">
        <v>3393</v>
      </c>
    </row>
    <row r="23" spans="1:12" x14ac:dyDescent="0.2">
      <c r="A23" s="1" t="s">
        <v>1838</v>
      </c>
      <c r="B23" s="1" t="s">
        <v>1291</v>
      </c>
      <c r="C23" s="1" t="s">
        <v>3384</v>
      </c>
      <c r="D23" s="1" t="s">
        <v>1839</v>
      </c>
      <c r="E23" s="1" t="s">
        <v>1840</v>
      </c>
      <c r="F23" s="1" t="s">
        <v>1290</v>
      </c>
      <c r="G23" s="1" t="s">
        <v>163</v>
      </c>
      <c r="H23" s="1" t="s">
        <v>163</v>
      </c>
      <c r="I23" s="1" t="s">
        <v>3394</v>
      </c>
      <c r="J23" s="1" t="s">
        <v>3394</v>
      </c>
      <c r="K23" s="1" t="s">
        <v>162</v>
      </c>
      <c r="L23" s="1" t="s">
        <v>162</v>
      </c>
    </row>
    <row r="24" spans="1:12" x14ac:dyDescent="0.2">
      <c r="A24" s="1" t="s">
        <v>1835</v>
      </c>
      <c r="B24" s="1" t="s">
        <v>8</v>
      </c>
      <c r="C24" s="1" t="s">
        <v>3384</v>
      </c>
      <c r="D24" s="1" t="s">
        <v>1836</v>
      </c>
      <c r="E24" s="1" t="s">
        <v>1837</v>
      </c>
      <c r="F24" s="1" t="s">
        <v>1290</v>
      </c>
      <c r="I24" s="1" t="s">
        <v>3394</v>
      </c>
      <c r="J24" s="1" t="s">
        <v>3393</v>
      </c>
    </row>
    <row r="25" spans="1:12" x14ac:dyDescent="0.2">
      <c r="A25" s="1" t="s">
        <v>1894</v>
      </c>
      <c r="B25" s="1" t="s">
        <v>8</v>
      </c>
      <c r="C25" s="1" t="s">
        <v>3384</v>
      </c>
      <c r="D25" s="1" t="s">
        <v>1895</v>
      </c>
      <c r="E25" s="1" t="s">
        <v>263</v>
      </c>
      <c r="F25" s="1" t="s">
        <v>1293</v>
      </c>
      <c r="G25" s="1" t="s">
        <v>163</v>
      </c>
      <c r="H25" s="1" t="s">
        <v>163</v>
      </c>
      <c r="I25" s="1" t="s">
        <v>3394</v>
      </c>
      <c r="J25" s="1" t="s">
        <v>3394</v>
      </c>
      <c r="K25" s="1" t="s">
        <v>292</v>
      </c>
      <c r="L25" s="1" t="s">
        <v>292</v>
      </c>
    </row>
    <row r="26" spans="1:12" x14ac:dyDescent="0.2">
      <c r="A26" s="1" t="s">
        <v>1897</v>
      </c>
      <c r="B26" s="1" t="s">
        <v>8</v>
      </c>
      <c r="C26" s="1" t="s">
        <v>3384</v>
      </c>
      <c r="D26" s="1" t="s">
        <v>1898</v>
      </c>
      <c r="E26" s="1" t="s">
        <v>263</v>
      </c>
      <c r="F26" s="1" t="s">
        <v>1293</v>
      </c>
      <c r="G26" s="1" t="s">
        <v>163</v>
      </c>
      <c r="H26" s="1" t="s">
        <v>163</v>
      </c>
      <c r="I26" s="1" t="s">
        <v>3394</v>
      </c>
      <c r="J26" s="1" t="s">
        <v>3394</v>
      </c>
      <c r="K26" s="1" t="s">
        <v>292</v>
      </c>
      <c r="L26" s="1" t="s">
        <v>292</v>
      </c>
    </row>
    <row r="27" spans="1:12" x14ac:dyDescent="0.2">
      <c r="A27" s="1" t="s">
        <v>1841</v>
      </c>
      <c r="B27" s="1" t="s">
        <v>1314</v>
      </c>
      <c r="C27" s="1" t="s">
        <v>3384</v>
      </c>
      <c r="D27" s="1" t="s">
        <v>1842</v>
      </c>
      <c r="E27" s="1" t="s">
        <v>1843</v>
      </c>
      <c r="F27" s="1" t="s">
        <v>1290</v>
      </c>
      <c r="I27" s="1" t="s">
        <v>3394</v>
      </c>
      <c r="J27" s="1" t="s">
        <v>3393</v>
      </c>
    </row>
    <row r="28" spans="1:12" x14ac:dyDescent="0.2">
      <c r="A28" s="1" t="s">
        <v>1979</v>
      </c>
      <c r="B28" s="1" t="s">
        <v>8</v>
      </c>
      <c r="C28" s="1" t="s">
        <v>3384</v>
      </c>
      <c r="D28" s="1" t="s">
        <v>1980</v>
      </c>
      <c r="E28" s="16" t="s">
        <v>1981</v>
      </c>
      <c r="F28" s="1" t="s">
        <v>1290</v>
      </c>
      <c r="I28" s="1" t="s">
        <v>3394</v>
      </c>
      <c r="J28" s="1" t="s">
        <v>3402</v>
      </c>
    </row>
    <row r="29" spans="1:12" x14ac:dyDescent="0.2">
      <c r="A29" s="1" t="s">
        <v>1985</v>
      </c>
      <c r="B29" s="1" t="s">
        <v>8</v>
      </c>
      <c r="C29" s="1" t="s">
        <v>3384</v>
      </c>
      <c r="D29" s="1" t="s">
        <v>1986</v>
      </c>
      <c r="E29" s="12" t="s">
        <v>1987</v>
      </c>
      <c r="F29" s="1" t="s">
        <v>1290</v>
      </c>
      <c r="I29" s="1" t="s">
        <v>3394</v>
      </c>
      <c r="J29" s="1" t="s">
        <v>3402</v>
      </c>
    </row>
    <row r="30" spans="1:12" x14ac:dyDescent="0.2">
      <c r="A30" s="1" t="s">
        <v>1988</v>
      </c>
      <c r="B30" s="1" t="s">
        <v>41</v>
      </c>
      <c r="C30" s="1" t="s">
        <v>3384</v>
      </c>
      <c r="D30" s="1" t="s">
        <v>1989</v>
      </c>
      <c r="E30" s="12" t="s">
        <v>1990</v>
      </c>
      <c r="F30" s="1" t="s">
        <v>1290</v>
      </c>
      <c r="I30" s="1" t="s">
        <v>3394</v>
      </c>
      <c r="J30" s="1" t="s">
        <v>3402</v>
      </c>
    </row>
    <row r="31" spans="1:12" x14ac:dyDescent="0.2">
      <c r="A31" s="1" t="s">
        <v>1991</v>
      </c>
      <c r="B31" s="1" t="s">
        <v>1314</v>
      </c>
      <c r="C31" s="1" t="s">
        <v>3384</v>
      </c>
      <c r="D31" s="1" t="s">
        <v>1992</v>
      </c>
      <c r="E31" s="12" t="s">
        <v>1993</v>
      </c>
      <c r="F31" s="1" t="s">
        <v>1290</v>
      </c>
      <c r="I31" s="1" t="s">
        <v>3394</v>
      </c>
      <c r="J31" s="1" t="s">
        <v>3402</v>
      </c>
    </row>
    <row r="32" spans="1:12" x14ac:dyDescent="0.2">
      <c r="A32" s="1" t="s">
        <v>1994</v>
      </c>
      <c r="B32" s="1" t="s">
        <v>1266</v>
      </c>
      <c r="C32" s="1" t="s">
        <v>3384</v>
      </c>
      <c r="D32" s="1" t="s">
        <v>1995</v>
      </c>
      <c r="E32" s="12" t="s">
        <v>1996</v>
      </c>
      <c r="F32" s="1" t="s">
        <v>1290</v>
      </c>
      <c r="I32" s="1" t="s">
        <v>3394</v>
      </c>
      <c r="J32" s="1" t="s">
        <v>3402</v>
      </c>
    </row>
    <row r="33" spans="1:12" x14ac:dyDescent="0.2">
      <c r="A33" s="1" t="s">
        <v>2012</v>
      </c>
      <c r="B33" s="1" t="s">
        <v>1314</v>
      </c>
      <c r="C33" s="1" t="s">
        <v>3384</v>
      </c>
      <c r="D33" s="1" t="s">
        <v>2013</v>
      </c>
      <c r="E33" s="12" t="s">
        <v>2014</v>
      </c>
      <c r="F33" s="1" t="s">
        <v>1290</v>
      </c>
      <c r="I33" s="1" t="s">
        <v>3394</v>
      </c>
      <c r="J33" s="1" t="s">
        <v>3402</v>
      </c>
    </row>
    <row r="34" spans="1:12" x14ac:dyDescent="0.2">
      <c r="A34" s="1" t="s">
        <v>2015</v>
      </c>
      <c r="B34" s="1" t="s">
        <v>1297</v>
      </c>
      <c r="C34" s="1" t="s">
        <v>3384</v>
      </c>
      <c r="D34" s="1" t="s">
        <v>2016</v>
      </c>
      <c r="E34" s="1" t="s">
        <v>2017</v>
      </c>
      <c r="F34" s="1" t="s">
        <v>1290</v>
      </c>
      <c r="I34" s="1" t="s">
        <v>3394</v>
      </c>
      <c r="J34" s="1" t="s">
        <v>3393</v>
      </c>
    </row>
    <row r="35" spans="1:12" x14ac:dyDescent="0.2">
      <c r="A35" s="1" t="s">
        <v>2061</v>
      </c>
      <c r="B35" s="1" t="s">
        <v>1314</v>
      </c>
      <c r="C35" s="1" t="s">
        <v>3384</v>
      </c>
      <c r="D35" s="1" t="s">
        <v>2062</v>
      </c>
      <c r="E35" s="12" t="s">
        <v>2063</v>
      </c>
      <c r="F35" s="1" t="s">
        <v>1290</v>
      </c>
      <c r="I35" s="1" t="s">
        <v>3394</v>
      </c>
      <c r="J35" s="1" t="s">
        <v>3402</v>
      </c>
    </row>
    <row r="36" spans="1:12" x14ac:dyDescent="0.2">
      <c r="A36" s="1" t="s">
        <v>2298</v>
      </c>
      <c r="B36" s="1" t="s">
        <v>1314</v>
      </c>
      <c r="C36" s="1" t="s">
        <v>3384</v>
      </c>
      <c r="D36" s="1" t="s">
        <v>2299</v>
      </c>
      <c r="E36" s="1" t="s">
        <v>2300</v>
      </c>
      <c r="F36" s="1" t="s">
        <v>1290</v>
      </c>
      <c r="I36" s="1" t="s">
        <v>3394</v>
      </c>
      <c r="J36" s="1" t="s">
        <v>3393</v>
      </c>
    </row>
    <row r="37" spans="1:12" x14ac:dyDescent="0.2">
      <c r="A37" s="1" t="s">
        <v>2428</v>
      </c>
      <c r="B37" s="1" t="s">
        <v>8</v>
      </c>
      <c r="C37" s="1" t="s">
        <v>3384</v>
      </c>
      <c r="D37" s="1" t="s">
        <v>2429</v>
      </c>
      <c r="E37" s="16" t="s">
        <v>2430</v>
      </c>
      <c r="F37" s="1" t="s">
        <v>1290</v>
      </c>
      <c r="I37" s="1" t="s">
        <v>3394</v>
      </c>
      <c r="J37" s="121" t="s">
        <v>3394</v>
      </c>
      <c r="K37" s="3">
        <v>46293</v>
      </c>
    </row>
    <row r="38" spans="1:12" x14ac:dyDescent="0.2">
      <c r="A38" s="1" t="s">
        <v>2372</v>
      </c>
      <c r="B38" s="1" t="s">
        <v>8</v>
      </c>
      <c r="C38" s="1" t="s">
        <v>3384</v>
      </c>
      <c r="D38" s="1" t="s">
        <v>2373</v>
      </c>
      <c r="E38" s="1" t="s">
        <v>2374</v>
      </c>
      <c r="F38" s="1" t="s">
        <v>1293</v>
      </c>
      <c r="G38" s="1" t="s">
        <v>2375</v>
      </c>
      <c r="H38" s="1" t="s">
        <v>2375</v>
      </c>
      <c r="I38" s="1" t="s">
        <v>3394</v>
      </c>
      <c r="J38" s="1" t="s">
        <v>3394</v>
      </c>
      <c r="K38" s="1" t="s">
        <v>1279</v>
      </c>
      <c r="L38" s="1" t="s">
        <v>1279</v>
      </c>
    </row>
    <row r="39" spans="1:12" x14ac:dyDescent="0.2">
      <c r="A39" s="1" t="s">
        <v>2431</v>
      </c>
      <c r="B39" s="1" t="s">
        <v>1291</v>
      </c>
      <c r="C39" s="1" t="s">
        <v>3384</v>
      </c>
      <c r="D39" s="1" t="s">
        <v>2432</v>
      </c>
      <c r="E39" s="1" t="s">
        <v>2433</v>
      </c>
      <c r="F39" s="1" t="s">
        <v>1290</v>
      </c>
      <c r="I39" s="1" t="s">
        <v>3394</v>
      </c>
      <c r="J39" s="121" t="s">
        <v>3394</v>
      </c>
      <c r="K39" s="3">
        <v>46293</v>
      </c>
    </row>
    <row r="40" spans="1:12" x14ac:dyDescent="0.2">
      <c r="A40" s="1" t="s">
        <v>2434</v>
      </c>
      <c r="B40" s="1" t="s">
        <v>1314</v>
      </c>
      <c r="C40" s="1" t="s">
        <v>3384</v>
      </c>
      <c r="D40" s="1" t="s">
        <v>2435</v>
      </c>
      <c r="E40" s="1" t="s">
        <v>2436</v>
      </c>
      <c r="F40" s="1" t="s">
        <v>1290</v>
      </c>
      <c r="I40" s="1" t="s">
        <v>3394</v>
      </c>
      <c r="J40" s="121" t="s">
        <v>3394</v>
      </c>
      <c r="K40" s="3">
        <v>46293</v>
      </c>
    </row>
    <row r="41" spans="1:12" x14ac:dyDescent="0.2">
      <c r="A41" s="1" t="s">
        <v>2437</v>
      </c>
      <c r="B41" s="1" t="s">
        <v>1314</v>
      </c>
      <c r="C41" s="1" t="s">
        <v>3384</v>
      </c>
      <c r="D41" s="1" t="s">
        <v>2438</v>
      </c>
      <c r="E41" s="12" t="s">
        <v>2439</v>
      </c>
      <c r="F41" s="1" t="s">
        <v>1290</v>
      </c>
      <c r="I41" s="1" t="s">
        <v>3394</v>
      </c>
      <c r="J41" s="1" t="s">
        <v>3402</v>
      </c>
    </row>
    <row r="42" spans="1:12" x14ac:dyDescent="0.2">
      <c r="A42" s="1" t="s">
        <v>2491</v>
      </c>
      <c r="B42" s="1" t="s">
        <v>1295</v>
      </c>
      <c r="C42" s="1" t="s">
        <v>3384</v>
      </c>
      <c r="D42" s="1" t="s">
        <v>2492</v>
      </c>
      <c r="E42" s="1" t="s">
        <v>1359</v>
      </c>
      <c r="F42" s="1" t="s">
        <v>1290</v>
      </c>
      <c r="I42" s="1" t="s">
        <v>3393</v>
      </c>
      <c r="J42" s="1" t="s">
        <v>3393</v>
      </c>
    </row>
    <row r="43" spans="1:12" x14ac:dyDescent="0.2">
      <c r="A43" s="1" t="s">
        <v>2551</v>
      </c>
      <c r="B43" s="1" t="s">
        <v>8</v>
      </c>
      <c r="C43" s="1" t="s">
        <v>3384</v>
      </c>
      <c r="D43" s="1" t="s">
        <v>2552</v>
      </c>
      <c r="E43" s="12" t="s">
        <v>2553</v>
      </c>
      <c r="F43" s="1" t="s">
        <v>1290</v>
      </c>
      <c r="I43" s="1" t="s">
        <v>3394</v>
      </c>
      <c r="J43" s="1" t="s">
        <v>3402</v>
      </c>
    </row>
    <row r="44" spans="1:12" x14ac:dyDescent="0.2">
      <c r="A44" s="1" t="s">
        <v>2577</v>
      </c>
      <c r="B44" s="1" t="s">
        <v>8</v>
      </c>
      <c r="C44" s="1" t="s">
        <v>3384</v>
      </c>
      <c r="D44" s="1" t="s">
        <v>2578</v>
      </c>
      <c r="E44" s="1" t="s">
        <v>2579</v>
      </c>
      <c r="F44" s="1" t="s">
        <v>1290</v>
      </c>
      <c r="I44" s="1" t="s">
        <v>3394</v>
      </c>
      <c r="J44" s="1" t="s">
        <v>3393</v>
      </c>
    </row>
    <row r="45" spans="1:12" x14ac:dyDescent="0.2">
      <c r="A45" s="1" t="s">
        <v>2580</v>
      </c>
      <c r="B45" s="1" t="s">
        <v>8</v>
      </c>
      <c r="C45" s="1" t="s">
        <v>3384</v>
      </c>
      <c r="D45" s="1" t="s">
        <v>2581</v>
      </c>
      <c r="E45" s="1" t="s">
        <v>2582</v>
      </c>
      <c r="F45" s="1" t="s">
        <v>1290</v>
      </c>
      <c r="I45" s="1" t="s">
        <v>3394</v>
      </c>
      <c r="J45" s="1" t="s">
        <v>3393</v>
      </c>
    </row>
    <row r="46" spans="1:12" x14ac:dyDescent="0.2">
      <c r="A46" s="1" t="s">
        <v>2493</v>
      </c>
      <c r="B46" s="1" t="s">
        <v>8</v>
      </c>
      <c r="C46" s="1" t="s">
        <v>3384</v>
      </c>
      <c r="D46" s="1" t="s">
        <v>2494</v>
      </c>
      <c r="E46" s="18" t="s">
        <v>2495</v>
      </c>
      <c r="F46" s="1" t="s">
        <v>1293</v>
      </c>
      <c r="G46" s="1" t="s">
        <v>294</v>
      </c>
      <c r="H46" s="1" t="s">
        <v>294</v>
      </c>
      <c r="I46" s="1" t="s">
        <v>3394</v>
      </c>
      <c r="J46" s="1" t="s">
        <v>3394</v>
      </c>
      <c r="K46" s="1" t="s">
        <v>1279</v>
      </c>
      <c r="L46" s="1" t="s">
        <v>1279</v>
      </c>
    </row>
    <row r="47" spans="1:12" x14ac:dyDescent="0.2">
      <c r="A47" s="1" t="s">
        <v>2606</v>
      </c>
      <c r="B47" s="1" t="s">
        <v>1291</v>
      </c>
      <c r="C47" s="1" t="s">
        <v>3384</v>
      </c>
      <c r="D47" s="1" t="s">
        <v>2607</v>
      </c>
      <c r="E47" s="12" t="s">
        <v>2608</v>
      </c>
      <c r="F47" s="1" t="s">
        <v>1290</v>
      </c>
      <c r="I47" s="1" t="s">
        <v>3394</v>
      </c>
      <c r="J47" s="1" t="s">
        <v>3402</v>
      </c>
    </row>
    <row r="48" spans="1:12" x14ac:dyDescent="0.2">
      <c r="A48" s="1" t="s">
        <v>2609</v>
      </c>
      <c r="B48" s="1" t="s">
        <v>41</v>
      </c>
      <c r="C48" s="1" t="s">
        <v>3384</v>
      </c>
      <c r="D48" s="1" t="s">
        <v>2610</v>
      </c>
      <c r="E48" s="12" t="s">
        <v>2611</v>
      </c>
      <c r="F48" s="1" t="s">
        <v>1290</v>
      </c>
      <c r="I48" s="1" t="s">
        <v>3394</v>
      </c>
      <c r="J48" s="1" t="s">
        <v>3402</v>
      </c>
    </row>
    <row r="49" spans="1:12" x14ac:dyDescent="0.2">
      <c r="A49" s="1" t="s">
        <v>2615</v>
      </c>
      <c r="B49" s="1" t="s">
        <v>1314</v>
      </c>
      <c r="C49" s="1" t="s">
        <v>3384</v>
      </c>
      <c r="D49" s="1" t="s">
        <v>2616</v>
      </c>
      <c r="E49" s="12" t="s">
        <v>2617</v>
      </c>
      <c r="F49" s="1" t="s">
        <v>1290</v>
      </c>
      <c r="I49" s="1" t="s">
        <v>3394</v>
      </c>
      <c r="J49" s="1" t="s">
        <v>3402</v>
      </c>
    </row>
    <row r="50" spans="1:12" x14ac:dyDescent="0.2">
      <c r="A50" s="1" t="s">
        <v>2768</v>
      </c>
      <c r="B50" s="1" t="s">
        <v>1314</v>
      </c>
      <c r="C50" s="1" t="s">
        <v>3384</v>
      </c>
      <c r="D50" s="1" t="s">
        <v>2769</v>
      </c>
      <c r="E50" s="12" t="s">
        <v>2770</v>
      </c>
      <c r="F50" s="1" t="s">
        <v>1290</v>
      </c>
      <c r="I50" s="1" t="s">
        <v>3394</v>
      </c>
      <c r="J50" s="1" t="s">
        <v>3402</v>
      </c>
    </row>
    <row r="51" spans="1:12" x14ac:dyDescent="0.2">
      <c r="A51" s="1" t="s">
        <v>2774</v>
      </c>
      <c r="B51" s="1" t="s">
        <v>1314</v>
      </c>
      <c r="C51" s="1" t="s">
        <v>3384</v>
      </c>
      <c r="D51" s="1" t="s">
        <v>2775</v>
      </c>
      <c r="E51" s="12" t="s">
        <v>2776</v>
      </c>
      <c r="F51" s="1" t="s">
        <v>1290</v>
      </c>
      <c r="I51" s="1" t="s">
        <v>3394</v>
      </c>
      <c r="J51" s="1" t="s">
        <v>3402</v>
      </c>
    </row>
    <row r="52" spans="1:12" x14ac:dyDescent="0.2">
      <c r="A52" s="1" t="s">
        <v>2612</v>
      </c>
      <c r="B52" s="1" t="s">
        <v>8</v>
      </c>
      <c r="C52" s="1" t="s">
        <v>3384</v>
      </c>
      <c r="D52" s="1" t="s">
        <v>2613</v>
      </c>
      <c r="E52" s="1" t="s">
        <v>2614</v>
      </c>
      <c r="F52" s="1" t="s">
        <v>1287</v>
      </c>
      <c r="G52" s="1" t="s">
        <v>163</v>
      </c>
      <c r="H52" s="1" t="s">
        <v>163</v>
      </c>
      <c r="I52" s="1" t="s">
        <v>3394</v>
      </c>
      <c r="J52" s="1" t="s">
        <v>3394</v>
      </c>
      <c r="K52" s="1" t="s">
        <v>162</v>
      </c>
      <c r="L52" s="1" t="s">
        <v>162</v>
      </c>
    </row>
    <row r="53" spans="1:12" x14ac:dyDescent="0.2">
      <c r="A53" s="1" t="s">
        <v>2780</v>
      </c>
      <c r="B53" s="1" t="s">
        <v>41</v>
      </c>
      <c r="C53" s="1" t="s">
        <v>3384</v>
      </c>
      <c r="D53" s="1" t="s">
        <v>2781</v>
      </c>
      <c r="E53" s="12" t="s">
        <v>2782</v>
      </c>
      <c r="F53" s="1" t="s">
        <v>1290</v>
      </c>
      <c r="I53" s="1" t="s">
        <v>3394</v>
      </c>
      <c r="J53" s="1" t="s">
        <v>3402</v>
      </c>
    </row>
    <row r="54" spans="1:12" x14ac:dyDescent="0.2">
      <c r="A54" s="1" t="s">
        <v>2798</v>
      </c>
      <c r="B54" s="1" t="s">
        <v>41</v>
      </c>
      <c r="C54" s="1" t="s">
        <v>3384</v>
      </c>
      <c r="D54" s="1" t="s">
        <v>2670</v>
      </c>
      <c r="E54" s="12" t="s">
        <v>2799</v>
      </c>
      <c r="F54" s="1" t="s">
        <v>1290</v>
      </c>
      <c r="I54" s="1" t="s">
        <v>3394</v>
      </c>
      <c r="J54" s="121" t="s">
        <v>3394</v>
      </c>
      <c r="K54" s="3">
        <v>46293</v>
      </c>
    </row>
    <row r="55" spans="1:12" x14ac:dyDescent="0.2">
      <c r="A55" s="1" t="s">
        <v>2669</v>
      </c>
      <c r="B55" s="1" t="s">
        <v>1291</v>
      </c>
      <c r="C55" s="1" t="s">
        <v>3384</v>
      </c>
      <c r="D55" s="1" t="s">
        <v>2670</v>
      </c>
      <c r="E55" s="12" t="s">
        <v>2671</v>
      </c>
      <c r="F55" s="1" t="s">
        <v>1290</v>
      </c>
      <c r="G55" s="1" t="s">
        <v>163</v>
      </c>
      <c r="H55" s="1" t="s">
        <v>163</v>
      </c>
      <c r="I55" s="1" t="s">
        <v>3394</v>
      </c>
      <c r="J55" s="1" t="s">
        <v>3394</v>
      </c>
      <c r="K55" s="1" t="s">
        <v>162</v>
      </c>
      <c r="L55" s="1" t="s">
        <v>162</v>
      </c>
    </row>
    <row r="56" spans="1:12" x14ac:dyDescent="0.2">
      <c r="A56" s="1" t="s">
        <v>2825</v>
      </c>
      <c r="B56" s="1" t="s">
        <v>8</v>
      </c>
      <c r="C56" s="1" t="s">
        <v>3384</v>
      </c>
      <c r="D56" s="1" t="s">
        <v>2826</v>
      </c>
      <c r="E56" s="12" t="s">
        <v>2827</v>
      </c>
      <c r="F56" s="1" t="s">
        <v>1290</v>
      </c>
      <c r="I56" s="1" t="s">
        <v>3394</v>
      </c>
      <c r="J56" s="1" t="s">
        <v>3402</v>
      </c>
    </row>
    <row r="57" spans="1:12" x14ac:dyDescent="0.2">
      <c r="A57" s="1" t="s">
        <v>2943</v>
      </c>
      <c r="B57" s="1" t="s">
        <v>41</v>
      </c>
      <c r="C57" s="1" t="s">
        <v>3384</v>
      </c>
      <c r="D57" s="1" t="s">
        <v>2944</v>
      </c>
      <c r="E57" s="1" t="s">
        <v>2945</v>
      </c>
      <c r="F57" s="1" t="s">
        <v>1290</v>
      </c>
      <c r="I57" s="1" t="s">
        <v>3394</v>
      </c>
      <c r="J57" s="1" t="s">
        <v>3393</v>
      </c>
    </row>
    <row r="58" spans="1:12" x14ac:dyDescent="0.2">
      <c r="A58" s="1" t="s">
        <v>1355</v>
      </c>
      <c r="B58" s="1" t="s">
        <v>1295</v>
      </c>
      <c r="C58" s="1" t="s">
        <v>3384</v>
      </c>
      <c r="D58" s="1" t="s">
        <v>1356</v>
      </c>
      <c r="E58" s="1" t="s">
        <v>1336</v>
      </c>
      <c r="F58" s="1" t="s">
        <v>1293</v>
      </c>
      <c r="I58" s="1" t="s">
        <v>3393</v>
      </c>
      <c r="J58" s="1" t="s">
        <v>3393</v>
      </c>
    </row>
    <row r="59" spans="1:12" x14ac:dyDescent="0.2">
      <c r="A59" s="1" t="s">
        <v>1832</v>
      </c>
      <c r="B59" s="1" t="s">
        <v>8</v>
      </c>
      <c r="C59" s="1" t="s">
        <v>3384</v>
      </c>
      <c r="D59" s="1" t="s">
        <v>1833</v>
      </c>
      <c r="E59" s="1" t="s">
        <v>1834</v>
      </c>
      <c r="F59" s="1" t="s">
        <v>1293</v>
      </c>
      <c r="I59" s="1" t="s">
        <v>3393</v>
      </c>
      <c r="J59" s="1" t="s">
        <v>3393</v>
      </c>
    </row>
    <row r="60" spans="1:12" x14ac:dyDescent="0.2">
      <c r="A60" s="1" t="s">
        <v>2301</v>
      </c>
      <c r="B60" s="1" t="s">
        <v>8</v>
      </c>
      <c r="C60" s="1" t="s">
        <v>3384</v>
      </c>
      <c r="D60" s="1" t="s">
        <v>2302</v>
      </c>
      <c r="E60" s="1" t="s">
        <v>2303</v>
      </c>
      <c r="F60" s="1" t="s">
        <v>1293</v>
      </c>
      <c r="I60" s="1" t="s">
        <v>3393</v>
      </c>
      <c r="J60" s="1" t="s">
        <v>3393</v>
      </c>
    </row>
    <row r="61" spans="1:12" x14ac:dyDescent="0.2">
      <c r="A61" s="1" t="s">
        <v>1234</v>
      </c>
      <c r="B61" s="1" t="s">
        <v>8</v>
      </c>
      <c r="C61" s="1" t="s">
        <v>3384</v>
      </c>
      <c r="E61" s="1" t="s">
        <v>1235</v>
      </c>
      <c r="F61" s="1" t="s">
        <v>43</v>
      </c>
      <c r="I61" s="1" t="s">
        <v>3394</v>
      </c>
      <c r="J61" s="1" t="s">
        <v>3393</v>
      </c>
    </row>
    <row r="62" spans="1:12" x14ac:dyDescent="0.2">
      <c r="A62" s="1" t="s">
        <v>2672</v>
      </c>
      <c r="B62" s="1" t="s">
        <v>1266</v>
      </c>
      <c r="C62" s="1" t="s">
        <v>3384</v>
      </c>
      <c r="D62" s="1" t="s">
        <v>2673</v>
      </c>
      <c r="E62" s="18" t="s">
        <v>2674</v>
      </c>
      <c r="F62" s="1" t="s">
        <v>1287</v>
      </c>
      <c r="I62" s="1" t="s">
        <v>3394</v>
      </c>
      <c r="J62" s="1" t="s">
        <v>3394</v>
      </c>
      <c r="K62" s="3">
        <v>46237</v>
      </c>
    </row>
    <row r="63" spans="1:12" x14ac:dyDescent="0.2">
      <c r="A63" s="1" t="s">
        <v>2940</v>
      </c>
      <c r="B63" s="1" t="s">
        <v>1291</v>
      </c>
      <c r="C63" s="1" t="s">
        <v>3384</v>
      </c>
      <c r="D63" s="1" t="s">
        <v>2941</v>
      </c>
      <c r="E63" s="18" t="s">
        <v>2942</v>
      </c>
      <c r="F63" s="1" t="s">
        <v>1287</v>
      </c>
      <c r="I63" s="1" t="s">
        <v>3394</v>
      </c>
      <c r="J63" s="1" t="s">
        <v>3393</v>
      </c>
    </row>
    <row r="64" spans="1:12" x14ac:dyDescent="0.2">
      <c r="A64" s="1" t="s">
        <v>2974</v>
      </c>
      <c r="B64" s="1" t="s">
        <v>290</v>
      </c>
      <c r="C64" s="1" t="s">
        <v>3384</v>
      </c>
      <c r="D64" s="1" t="s">
        <v>2975</v>
      </c>
      <c r="E64" s="1" t="s">
        <v>2976</v>
      </c>
      <c r="F64" s="1" t="s">
        <v>291</v>
      </c>
      <c r="I64" s="1" t="s">
        <v>3393</v>
      </c>
      <c r="J64" s="1" t="s">
        <v>3393</v>
      </c>
    </row>
    <row r="65" spans="1:12" x14ac:dyDescent="0.2">
      <c r="A65" s="1" t="s">
        <v>2977</v>
      </c>
      <c r="B65" s="1" t="s">
        <v>290</v>
      </c>
      <c r="C65" s="1" t="s">
        <v>3384</v>
      </c>
      <c r="D65" s="1" t="s">
        <v>2978</v>
      </c>
      <c r="E65" s="1" t="s">
        <v>2979</v>
      </c>
      <c r="F65" s="1" t="s">
        <v>291</v>
      </c>
      <c r="I65" s="1" t="s">
        <v>3394</v>
      </c>
      <c r="J65" s="1" t="s">
        <v>3393</v>
      </c>
    </row>
    <row r="66" spans="1:12" x14ac:dyDescent="0.2">
      <c r="A66" s="1" t="s">
        <v>2980</v>
      </c>
      <c r="B66" s="1" t="s">
        <v>290</v>
      </c>
      <c r="C66" s="1" t="s">
        <v>3384</v>
      </c>
      <c r="D66" s="1" t="s">
        <v>2981</v>
      </c>
      <c r="E66" s="1" t="s">
        <v>2982</v>
      </c>
      <c r="F66" s="1" t="s">
        <v>291</v>
      </c>
      <c r="I66" s="1" t="s">
        <v>3394</v>
      </c>
      <c r="J66" s="1" t="s">
        <v>3393</v>
      </c>
    </row>
    <row r="67" spans="1:12" x14ac:dyDescent="0.2">
      <c r="A67" s="1" t="s">
        <v>3020</v>
      </c>
      <c r="B67" s="1" t="s">
        <v>8</v>
      </c>
      <c r="C67" s="1" t="s">
        <v>3384</v>
      </c>
      <c r="D67" s="1" t="s">
        <v>3021</v>
      </c>
      <c r="E67" s="12" t="s">
        <v>2617</v>
      </c>
      <c r="F67" s="1" t="s">
        <v>291</v>
      </c>
      <c r="G67" s="1" t="s">
        <v>163</v>
      </c>
      <c r="H67" s="1" t="s">
        <v>163</v>
      </c>
      <c r="I67" s="1" t="s">
        <v>3394</v>
      </c>
      <c r="J67" s="1" t="s">
        <v>3394</v>
      </c>
      <c r="K67" s="1" t="s">
        <v>1294</v>
      </c>
      <c r="L67" s="1" t="s">
        <v>1294</v>
      </c>
    </row>
    <row r="68" spans="1:12" x14ac:dyDescent="0.2">
      <c r="A68" s="1" t="s">
        <v>3022</v>
      </c>
      <c r="B68" s="1" t="s">
        <v>8</v>
      </c>
      <c r="C68" s="1" t="s">
        <v>3384</v>
      </c>
      <c r="D68" s="1" t="s">
        <v>3023</v>
      </c>
      <c r="E68" s="1" t="s">
        <v>3024</v>
      </c>
      <c r="F68" s="1" t="s">
        <v>291</v>
      </c>
      <c r="G68" s="1" t="s">
        <v>163</v>
      </c>
      <c r="H68" s="1" t="s">
        <v>163</v>
      </c>
      <c r="I68" s="1" t="s">
        <v>3394</v>
      </c>
      <c r="J68" s="1" t="s">
        <v>3394</v>
      </c>
      <c r="K68" s="1" t="s">
        <v>1294</v>
      </c>
      <c r="L68" s="1" t="s">
        <v>1294</v>
      </c>
    </row>
    <row r="69" spans="1:12" x14ac:dyDescent="0.2">
      <c r="A69" s="1" t="s">
        <v>3025</v>
      </c>
      <c r="B69" s="1" t="s">
        <v>8</v>
      </c>
      <c r="C69" s="1" t="s">
        <v>3384</v>
      </c>
      <c r="D69" s="1" t="s">
        <v>3026</v>
      </c>
      <c r="E69" s="1" t="s">
        <v>2614</v>
      </c>
      <c r="F69" s="1" t="s">
        <v>291</v>
      </c>
      <c r="G69" s="1" t="s">
        <v>163</v>
      </c>
      <c r="H69" s="1" t="s">
        <v>163</v>
      </c>
      <c r="I69" s="1" t="s">
        <v>3394</v>
      </c>
      <c r="J69" s="1" t="s">
        <v>3394</v>
      </c>
      <c r="K69" s="1" t="s">
        <v>1294</v>
      </c>
      <c r="L69" s="1" t="s">
        <v>1294</v>
      </c>
    </row>
    <row r="70" spans="1:12" x14ac:dyDescent="0.2">
      <c r="A70" s="1" t="s">
        <v>3027</v>
      </c>
      <c r="B70" s="1" t="s">
        <v>8</v>
      </c>
      <c r="C70" s="1" t="s">
        <v>3384</v>
      </c>
      <c r="D70" s="1" t="s">
        <v>3028</v>
      </c>
      <c r="E70" s="18" t="s">
        <v>2942</v>
      </c>
      <c r="F70" s="1" t="s">
        <v>291</v>
      </c>
      <c r="G70" s="1" t="s">
        <v>163</v>
      </c>
      <c r="H70" s="1" t="s">
        <v>163</v>
      </c>
      <c r="I70" s="1" t="s">
        <v>3394</v>
      </c>
      <c r="J70" s="1" t="s">
        <v>3394</v>
      </c>
      <c r="K70" s="1" t="s">
        <v>1294</v>
      </c>
      <c r="L70" s="1" t="s">
        <v>1294</v>
      </c>
    </row>
    <row r="71" spans="1:12" x14ac:dyDescent="0.2">
      <c r="A71" s="1" t="s">
        <v>3029</v>
      </c>
      <c r="B71" s="1" t="s">
        <v>8</v>
      </c>
      <c r="C71" s="1" t="s">
        <v>3384</v>
      </c>
      <c r="D71" s="1" t="s">
        <v>3030</v>
      </c>
      <c r="E71" s="18" t="s">
        <v>2674</v>
      </c>
      <c r="F71" s="1" t="s">
        <v>291</v>
      </c>
      <c r="G71" s="1" t="s">
        <v>163</v>
      </c>
      <c r="H71" s="1" t="s">
        <v>163</v>
      </c>
      <c r="I71" s="1" t="s">
        <v>3394</v>
      </c>
      <c r="J71" s="1" t="s">
        <v>3394</v>
      </c>
      <c r="K71" s="1" t="s">
        <v>1294</v>
      </c>
      <c r="L71" s="1" t="s">
        <v>1294</v>
      </c>
    </row>
    <row r="72" spans="1:12" x14ac:dyDescent="0.2">
      <c r="A72" s="1" t="s">
        <v>3031</v>
      </c>
      <c r="B72" s="1" t="s">
        <v>8</v>
      </c>
      <c r="C72" s="1" t="s">
        <v>3384</v>
      </c>
      <c r="D72" s="1" t="s">
        <v>3032</v>
      </c>
      <c r="E72" s="1" t="s">
        <v>1996</v>
      </c>
      <c r="F72" s="1" t="s">
        <v>291</v>
      </c>
      <c r="G72" s="1" t="s">
        <v>163</v>
      </c>
      <c r="H72" s="1" t="s">
        <v>163</v>
      </c>
      <c r="I72" s="1" t="s">
        <v>3394</v>
      </c>
      <c r="J72" s="1" t="s">
        <v>3394</v>
      </c>
      <c r="K72" s="1" t="s">
        <v>1294</v>
      </c>
      <c r="L72" s="1" t="s">
        <v>1294</v>
      </c>
    </row>
    <row r="73" spans="1:12" x14ac:dyDescent="0.2">
      <c r="A73" s="1" t="s">
        <v>3033</v>
      </c>
      <c r="B73" s="1" t="s">
        <v>8</v>
      </c>
      <c r="C73" s="1" t="s">
        <v>3384</v>
      </c>
      <c r="D73" s="1" t="s">
        <v>3034</v>
      </c>
      <c r="E73" s="1" t="s">
        <v>2017</v>
      </c>
      <c r="F73" s="1" t="s">
        <v>291</v>
      </c>
      <c r="G73" s="1" t="s">
        <v>163</v>
      </c>
      <c r="H73" s="1" t="s">
        <v>163</v>
      </c>
      <c r="I73" s="1" t="s">
        <v>3394</v>
      </c>
      <c r="J73" s="1" t="s">
        <v>3394</v>
      </c>
      <c r="K73" s="1" t="s">
        <v>1294</v>
      </c>
      <c r="L73" s="1" t="s">
        <v>1294</v>
      </c>
    </row>
    <row r="74" spans="1:12" x14ac:dyDescent="0.2">
      <c r="A74" s="1" t="s">
        <v>3035</v>
      </c>
      <c r="B74" s="1" t="s">
        <v>8</v>
      </c>
      <c r="C74" s="1" t="s">
        <v>3384</v>
      </c>
      <c r="D74" s="1" t="s">
        <v>3036</v>
      </c>
      <c r="E74" s="1" t="s">
        <v>1695</v>
      </c>
      <c r="F74" s="1" t="s">
        <v>291</v>
      </c>
      <c r="G74" s="1" t="s">
        <v>163</v>
      </c>
      <c r="H74" s="1" t="s">
        <v>163</v>
      </c>
      <c r="I74" s="1" t="s">
        <v>3394</v>
      </c>
      <c r="J74" s="1" t="s">
        <v>3394</v>
      </c>
      <c r="K74" s="1" t="s">
        <v>1294</v>
      </c>
      <c r="L74" s="1" t="s">
        <v>1294</v>
      </c>
    </row>
    <row r="75" spans="1:12" x14ac:dyDescent="0.2">
      <c r="A75" s="1" t="s">
        <v>3037</v>
      </c>
      <c r="B75" s="1" t="s">
        <v>8</v>
      </c>
      <c r="C75" s="1" t="s">
        <v>3384</v>
      </c>
      <c r="D75" s="1" t="s">
        <v>3038</v>
      </c>
      <c r="E75" s="1" t="s">
        <v>2770</v>
      </c>
      <c r="F75" s="1" t="s">
        <v>291</v>
      </c>
      <c r="G75" s="1" t="s">
        <v>163</v>
      </c>
      <c r="H75" s="1" t="s">
        <v>163</v>
      </c>
      <c r="I75" s="1" t="s">
        <v>3394</v>
      </c>
      <c r="J75" s="1" t="s">
        <v>3394</v>
      </c>
      <c r="K75" s="1" t="s">
        <v>1294</v>
      </c>
      <c r="L75" s="1" t="s">
        <v>1294</v>
      </c>
    </row>
    <row r="76" spans="1:12" x14ac:dyDescent="0.2">
      <c r="A76" s="1" t="s">
        <v>3039</v>
      </c>
      <c r="B76" s="1" t="s">
        <v>8</v>
      </c>
      <c r="C76" s="1" t="s">
        <v>3384</v>
      </c>
      <c r="D76" s="1" t="s">
        <v>3040</v>
      </c>
      <c r="E76" s="1" t="s">
        <v>2014</v>
      </c>
      <c r="F76" s="1" t="s">
        <v>291</v>
      </c>
      <c r="G76" s="1" t="s">
        <v>163</v>
      </c>
      <c r="H76" s="1" t="s">
        <v>163</v>
      </c>
      <c r="I76" s="1" t="s">
        <v>3394</v>
      </c>
      <c r="J76" s="1" t="s">
        <v>3394</v>
      </c>
      <c r="K76" s="1" t="s">
        <v>1294</v>
      </c>
      <c r="L76" s="1" t="s">
        <v>1294</v>
      </c>
    </row>
    <row r="77" spans="1:12" x14ac:dyDescent="0.2">
      <c r="A77" s="1" t="s">
        <v>3041</v>
      </c>
      <c r="B77" s="1" t="s">
        <v>8</v>
      </c>
      <c r="C77" s="1" t="s">
        <v>3384</v>
      </c>
      <c r="D77" s="1" t="s">
        <v>3042</v>
      </c>
      <c r="E77" s="1" t="s">
        <v>2439</v>
      </c>
      <c r="F77" s="1" t="s">
        <v>291</v>
      </c>
      <c r="G77" s="1" t="s">
        <v>163</v>
      </c>
      <c r="H77" s="1" t="s">
        <v>163</v>
      </c>
      <c r="I77" s="1" t="s">
        <v>3394</v>
      </c>
      <c r="J77" s="1" t="s">
        <v>3394</v>
      </c>
      <c r="K77" s="1" t="s">
        <v>1294</v>
      </c>
      <c r="L77" s="1" t="s">
        <v>1294</v>
      </c>
    </row>
    <row r="78" spans="1:12" x14ac:dyDescent="0.2">
      <c r="A78" s="1" t="s">
        <v>3043</v>
      </c>
      <c r="B78" s="1" t="s">
        <v>8</v>
      </c>
      <c r="C78" s="1" t="s">
        <v>3384</v>
      </c>
      <c r="D78" s="1" t="s">
        <v>3044</v>
      </c>
      <c r="E78" s="1" t="s">
        <v>2776</v>
      </c>
      <c r="F78" s="1" t="s">
        <v>291</v>
      </c>
      <c r="G78" s="1" t="s">
        <v>163</v>
      </c>
      <c r="H78" s="1" t="s">
        <v>163</v>
      </c>
      <c r="I78" s="1" t="s">
        <v>3394</v>
      </c>
      <c r="J78" s="1" t="s">
        <v>3394</v>
      </c>
      <c r="K78" s="1" t="s">
        <v>1294</v>
      </c>
      <c r="L78" s="1" t="s">
        <v>1294</v>
      </c>
    </row>
    <row r="79" spans="1:12" x14ac:dyDescent="0.2">
      <c r="A79" s="1" t="s">
        <v>3045</v>
      </c>
      <c r="B79" s="1" t="s">
        <v>8</v>
      </c>
      <c r="C79" s="1" t="s">
        <v>3384</v>
      </c>
      <c r="D79" s="1" t="s">
        <v>3046</v>
      </c>
      <c r="E79" s="1" t="s">
        <v>1993</v>
      </c>
      <c r="F79" s="1" t="s">
        <v>291</v>
      </c>
      <c r="G79" s="1" t="s">
        <v>163</v>
      </c>
      <c r="H79" s="1" t="s">
        <v>163</v>
      </c>
      <c r="I79" s="1" t="s">
        <v>3394</v>
      </c>
      <c r="J79" s="1" t="s">
        <v>3394</v>
      </c>
      <c r="K79" s="1" t="s">
        <v>1294</v>
      </c>
      <c r="L79" s="1" t="s">
        <v>1294</v>
      </c>
    </row>
    <row r="80" spans="1:12" x14ac:dyDescent="0.2">
      <c r="A80" s="1" t="s">
        <v>3047</v>
      </c>
      <c r="B80" s="1" t="s">
        <v>8</v>
      </c>
      <c r="C80" s="1" t="s">
        <v>3384</v>
      </c>
      <c r="D80" s="1" t="s">
        <v>3048</v>
      </c>
      <c r="E80" s="1" t="s">
        <v>2782</v>
      </c>
      <c r="F80" s="1" t="s">
        <v>291</v>
      </c>
      <c r="G80" s="1" t="s">
        <v>163</v>
      </c>
      <c r="H80" s="1" t="s">
        <v>163</v>
      </c>
      <c r="I80" s="1" t="s">
        <v>3394</v>
      </c>
      <c r="J80" s="1" t="s">
        <v>3394</v>
      </c>
      <c r="K80" s="1" t="s">
        <v>1294</v>
      </c>
      <c r="L80" s="1" t="s">
        <v>1294</v>
      </c>
    </row>
    <row r="81" spans="1:12" x14ac:dyDescent="0.2">
      <c r="A81" s="1" t="s">
        <v>3049</v>
      </c>
      <c r="B81" s="1" t="s">
        <v>8</v>
      </c>
      <c r="C81" s="1" t="s">
        <v>3384</v>
      </c>
      <c r="D81" s="1" t="s">
        <v>3050</v>
      </c>
      <c r="E81" s="1" t="s">
        <v>3051</v>
      </c>
      <c r="F81" s="1" t="s">
        <v>291</v>
      </c>
      <c r="G81" s="1" t="s">
        <v>163</v>
      </c>
      <c r="H81" s="1" t="s">
        <v>163</v>
      </c>
      <c r="I81" s="1" t="s">
        <v>3394</v>
      </c>
      <c r="J81" s="1" t="s">
        <v>3394</v>
      </c>
      <c r="K81" s="1" t="s">
        <v>1294</v>
      </c>
      <c r="L81" s="1" t="s">
        <v>1294</v>
      </c>
    </row>
    <row r="82" spans="1:12" x14ac:dyDescent="0.2">
      <c r="A82" s="1" t="s">
        <v>3052</v>
      </c>
      <c r="B82" s="1" t="s">
        <v>8</v>
      </c>
      <c r="C82" s="1" t="s">
        <v>3384</v>
      </c>
      <c r="D82" s="1" t="s">
        <v>3053</v>
      </c>
      <c r="E82" s="1" t="s">
        <v>2945</v>
      </c>
      <c r="F82" s="1" t="s">
        <v>291</v>
      </c>
      <c r="G82" s="1" t="s">
        <v>163</v>
      </c>
      <c r="H82" s="1" t="s">
        <v>163</v>
      </c>
      <c r="I82" s="1" t="s">
        <v>3394</v>
      </c>
      <c r="J82" s="1" t="s">
        <v>3394</v>
      </c>
      <c r="K82" s="1" t="s">
        <v>1294</v>
      </c>
      <c r="L82" s="1" t="s">
        <v>1294</v>
      </c>
    </row>
    <row r="83" spans="1:12" x14ac:dyDescent="0.2">
      <c r="A83" s="1" t="s">
        <v>3054</v>
      </c>
      <c r="B83" s="1" t="s">
        <v>8</v>
      </c>
      <c r="C83" s="1" t="s">
        <v>3384</v>
      </c>
      <c r="D83" s="1" t="s">
        <v>3055</v>
      </c>
      <c r="E83" s="1" t="s">
        <v>1692</v>
      </c>
      <c r="F83" s="1" t="s">
        <v>291</v>
      </c>
      <c r="G83" s="1" t="s">
        <v>163</v>
      </c>
      <c r="H83" s="1" t="s">
        <v>163</v>
      </c>
      <c r="I83" s="1" t="s">
        <v>3394</v>
      </c>
      <c r="J83" s="1" t="s">
        <v>3394</v>
      </c>
      <c r="K83" s="1" t="s">
        <v>1294</v>
      </c>
      <c r="L83" s="1" t="s">
        <v>1294</v>
      </c>
    </row>
    <row r="84" spans="1:12" x14ac:dyDescent="0.2">
      <c r="A84" s="1" t="s">
        <v>3056</v>
      </c>
      <c r="B84" s="1" t="s">
        <v>8</v>
      </c>
      <c r="C84" s="1" t="s">
        <v>3384</v>
      </c>
      <c r="D84" s="1" t="s">
        <v>3057</v>
      </c>
      <c r="E84" s="12" t="s">
        <v>2799</v>
      </c>
      <c r="F84" s="1" t="s">
        <v>291</v>
      </c>
      <c r="G84" s="1" t="s">
        <v>163</v>
      </c>
      <c r="H84" s="1" t="s">
        <v>163</v>
      </c>
      <c r="I84" s="1" t="s">
        <v>3394</v>
      </c>
      <c r="J84" s="1" t="s">
        <v>3394</v>
      </c>
      <c r="K84" s="1" t="s">
        <v>1294</v>
      </c>
      <c r="L84" s="1" t="s">
        <v>1294</v>
      </c>
    </row>
    <row r="85" spans="1:12" x14ac:dyDescent="0.2">
      <c r="A85" s="1" t="s">
        <v>3058</v>
      </c>
      <c r="B85" s="1" t="s">
        <v>8</v>
      </c>
      <c r="C85" s="1" t="s">
        <v>3384</v>
      </c>
      <c r="D85" s="1" t="s">
        <v>3059</v>
      </c>
      <c r="E85" s="12" t="s">
        <v>2671</v>
      </c>
      <c r="F85" s="1" t="s">
        <v>291</v>
      </c>
      <c r="G85" s="1" t="s">
        <v>163</v>
      </c>
      <c r="H85" s="1" t="s">
        <v>163</v>
      </c>
      <c r="I85" s="1" t="s">
        <v>3394</v>
      </c>
      <c r="J85" s="1" t="s">
        <v>3394</v>
      </c>
      <c r="K85" s="1" t="s">
        <v>1294</v>
      </c>
      <c r="L85" s="1" t="s">
        <v>1294</v>
      </c>
    </row>
    <row r="86" spans="1:12" x14ac:dyDescent="0.2">
      <c r="A86" s="1" t="s">
        <v>3060</v>
      </c>
      <c r="B86" s="1" t="s">
        <v>8</v>
      </c>
      <c r="C86" s="1" t="s">
        <v>3384</v>
      </c>
      <c r="D86" s="1" t="s">
        <v>3061</v>
      </c>
      <c r="E86" s="17" t="s">
        <v>1573</v>
      </c>
      <c r="F86" s="1" t="s">
        <v>291</v>
      </c>
      <c r="G86" s="1" t="s">
        <v>163</v>
      </c>
      <c r="H86" s="1" t="s">
        <v>163</v>
      </c>
      <c r="I86" s="1" t="s">
        <v>3394</v>
      </c>
      <c r="J86" s="1" t="s">
        <v>3394</v>
      </c>
      <c r="K86" s="1" t="s">
        <v>1294</v>
      </c>
      <c r="L86" s="1" t="s">
        <v>1294</v>
      </c>
    </row>
    <row r="87" spans="1:12" x14ac:dyDescent="0.2">
      <c r="A87" s="1" t="s">
        <v>3062</v>
      </c>
      <c r="B87" s="1" t="s">
        <v>8</v>
      </c>
      <c r="C87" s="1" t="s">
        <v>3384</v>
      </c>
      <c r="D87" s="1" t="s">
        <v>3063</v>
      </c>
      <c r="E87" s="12" t="s">
        <v>2608</v>
      </c>
      <c r="F87" s="1" t="s">
        <v>291</v>
      </c>
      <c r="G87" s="1" t="s">
        <v>163</v>
      </c>
      <c r="H87" s="1" t="s">
        <v>163</v>
      </c>
      <c r="I87" s="1" t="s">
        <v>3394</v>
      </c>
      <c r="J87" s="1" t="s">
        <v>3394</v>
      </c>
      <c r="K87" s="1" t="s">
        <v>1294</v>
      </c>
      <c r="L87" s="1" t="s">
        <v>1294</v>
      </c>
    </row>
    <row r="88" spans="1:12" x14ac:dyDescent="0.2">
      <c r="A88" s="1" t="s">
        <v>3064</v>
      </c>
      <c r="B88" s="1" t="s">
        <v>8</v>
      </c>
      <c r="C88" s="1" t="s">
        <v>3384</v>
      </c>
      <c r="D88" s="1" t="s">
        <v>3065</v>
      </c>
      <c r="E88" s="12" t="s">
        <v>1581</v>
      </c>
      <c r="F88" s="1" t="s">
        <v>291</v>
      </c>
      <c r="G88" s="1" t="s">
        <v>163</v>
      </c>
      <c r="H88" s="1" t="s">
        <v>163</v>
      </c>
      <c r="I88" s="1" t="s">
        <v>3394</v>
      </c>
      <c r="J88" s="1" t="s">
        <v>3394</v>
      </c>
      <c r="K88" s="1" t="s">
        <v>1294</v>
      </c>
      <c r="L88" s="1" t="s">
        <v>1294</v>
      </c>
    </row>
    <row r="89" spans="1:12" x14ac:dyDescent="0.2">
      <c r="A89" s="1" t="s">
        <v>3066</v>
      </c>
      <c r="B89" s="1" t="s">
        <v>8</v>
      </c>
      <c r="C89" s="1" t="s">
        <v>3384</v>
      </c>
      <c r="D89" s="1" t="s">
        <v>3067</v>
      </c>
      <c r="E89" s="1" t="s">
        <v>1587</v>
      </c>
      <c r="F89" s="1" t="s">
        <v>291</v>
      </c>
      <c r="G89" s="1" t="s">
        <v>163</v>
      </c>
      <c r="H89" s="1" t="s">
        <v>163</v>
      </c>
      <c r="I89" s="1" t="s">
        <v>3394</v>
      </c>
      <c r="J89" s="1" t="s">
        <v>3394</v>
      </c>
      <c r="K89" s="1" t="s">
        <v>1294</v>
      </c>
      <c r="L89" s="1" t="s">
        <v>1294</v>
      </c>
    </row>
    <row r="90" spans="1:12" x14ac:dyDescent="0.2">
      <c r="A90" s="1" t="s">
        <v>3074</v>
      </c>
      <c r="B90" s="1" t="s">
        <v>8</v>
      </c>
      <c r="C90" s="1" t="s">
        <v>3384</v>
      </c>
      <c r="D90" s="1" t="s">
        <v>3075</v>
      </c>
      <c r="E90" s="1" t="s">
        <v>1689</v>
      </c>
      <c r="F90" s="1" t="s">
        <v>291</v>
      </c>
      <c r="G90" s="1" t="s">
        <v>163</v>
      </c>
      <c r="H90" s="1" t="s">
        <v>163</v>
      </c>
      <c r="I90" s="1" t="s">
        <v>3394</v>
      </c>
      <c r="J90" s="1" t="s">
        <v>3394</v>
      </c>
      <c r="K90" s="1" t="s">
        <v>1294</v>
      </c>
      <c r="L90" s="1" t="s">
        <v>1294</v>
      </c>
    </row>
    <row r="91" spans="1:12" x14ac:dyDescent="0.2">
      <c r="A91" s="1" t="s">
        <v>3076</v>
      </c>
      <c r="B91" s="1" t="s">
        <v>8</v>
      </c>
      <c r="C91" s="1" t="s">
        <v>3384</v>
      </c>
      <c r="D91" s="1" t="s">
        <v>3077</v>
      </c>
      <c r="E91" s="1" t="s">
        <v>2063</v>
      </c>
      <c r="F91" s="1" t="s">
        <v>291</v>
      </c>
      <c r="G91" s="1" t="s">
        <v>163</v>
      </c>
      <c r="H91" s="1" t="s">
        <v>163</v>
      </c>
      <c r="I91" s="1" t="s">
        <v>3394</v>
      </c>
      <c r="J91" s="1" t="s">
        <v>3394</v>
      </c>
      <c r="K91" s="1" t="s">
        <v>1294</v>
      </c>
      <c r="L91" s="1" t="s">
        <v>1294</v>
      </c>
    </row>
    <row r="92" spans="1:12" x14ac:dyDescent="0.2">
      <c r="A92" s="1" t="s">
        <v>3078</v>
      </c>
      <c r="B92" s="1" t="s">
        <v>8</v>
      </c>
      <c r="C92" s="1" t="s">
        <v>3384</v>
      </c>
      <c r="D92" s="1" t="s">
        <v>3079</v>
      </c>
      <c r="E92" s="1" t="s">
        <v>2300</v>
      </c>
      <c r="F92" s="1" t="s">
        <v>291</v>
      </c>
      <c r="G92" s="1" t="s">
        <v>163</v>
      </c>
      <c r="H92" s="1" t="s">
        <v>163</v>
      </c>
      <c r="I92" s="1" t="s">
        <v>3394</v>
      </c>
      <c r="J92" s="1" t="s">
        <v>3394</v>
      </c>
      <c r="K92" s="1" t="s">
        <v>1294</v>
      </c>
      <c r="L92" s="1" t="s">
        <v>1294</v>
      </c>
    </row>
    <row r="93" spans="1:12" x14ac:dyDescent="0.2">
      <c r="A93" s="1" t="s">
        <v>3080</v>
      </c>
      <c r="B93" s="1" t="s">
        <v>8</v>
      </c>
      <c r="C93" s="1" t="s">
        <v>3384</v>
      </c>
      <c r="D93" s="1" t="s">
        <v>3081</v>
      </c>
      <c r="E93" s="1" t="s">
        <v>1843</v>
      </c>
      <c r="F93" s="1" t="s">
        <v>291</v>
      </c>
      <c r="G93" s="1" t="s">
        <v>163</v>
      </c>
      <c r="H93" s="1" t="s">
        <v>163</v>
      </c>
      <c r="I93" s="1" t="s">
        <v>3394</v>
      </c>
      <c r="J93" s="1" t="s">
        <v>3394</v>
      </c>
      <c r="K93" s="1" t="s">
        <v>1294</v>
      </c>
      <c r="L93" s="1" t="s">
        <v>1294</v>
      </c>
    </row>
    <row r="94" spans="1:12" x14ac:dyDescent="0.2">
      <c r="A94" s="1" t="s">
        <v>3082</v>
      </c>
      <c r="B94" s="1" t="s">
        <v>8</v>
      </c>
      <c r="C94" s="1" t="s">
        <v>3384</v>
      </c>
      <c r="D94" s="1" t="s">
        <v>3083</v>
      </c>
      <c r="E94" s="1" t="s">
        <v>1990</v>
      </c>
      <c r="F94" s="1" t="s">
        <v>291</v>
      </c>
      <c r="G94" s="1" t="s">
        <v>163</v>
      </c>
      <c r="H94" s="1" t="s">
        <v>163</v>
      </c>
      <c r="I94" s="1" t="s">
        <v>3394</v>
      </c>
      <c r="J94" s="1" t="s">
        <v>3394</v>
      </c>
      <c r="K94" s="1" t="s">
        <v>1294</v>
      </c>
      <c r="L94" s="1" t="s">
        <v>1294</v>
      </c>
    </row>
    <row r="95" spans="1:12" x14ac:dyDescent="0.2">
      <c r="A95" s="1" t="s">
        <v>3084</v>
      </c>
      <c r="B95" s="1" t="s">
        <v>8</v>
      </c>
      <c r="C95" s="1" t="s">
        <v>3384</v>
      </c>
      <c r="D95" s="1" t="s">
        <v>3085</v>
      </c>
      <c r="E95" s="1" t="s">
        <v>1813</v>
      </c>
      <c r="F95" s="1" t="s">
        <v>291</v>
      </c>
      <c r="G95" s="1" t="s">
        <v>163</v>
      </c>
      <c r="H95" s="1" t="s">
        <v>163</v>
      </c>
      <c r="I95" s="1" t="s">
        <v>3394</v>
      </c>
      <c r="J95" s="1" t="s">
        <v>3394</v>
      </c>
      <c r="K95" s="1" t="s">
        <v>1294</v>
      </c>
      <c r="L95" s="1" t="s">
        <v>1294</v>
      </c>
    </row>
    <row r="96" spans="1:12" x14ac:dyDescent="0.2">
      <c r="A96" s="1" t="s">
        <v>3086</v>
      </c>
      <c r="B96" s="1" t="s">
        <v>8</v>
      </c>
      <c r="C96" s="1" t="s">
        <v>3384</v>
      </c>
      <c r="D96" s="1" t="s">
        <v>3087</v>
      </c>
      <c r="E96" s="1" t="s">
        <v>1840</v>
      </c>
      <c r="F96" s="1" t="s">
        <v>291</v>
      </c>
      <c r="G96" s="1" t="s">
        <v>163</v>
      </c>
      <c r="H96" s="1" t="s">
        <v>163</v>
      </c>
      <c r="I96" s="1" t="s">
        <v>3394</v>
      </c>
      <c r="J96" s="1" t="s">
        <v>3394</v>
      </c>
      <c r="K96" s="1" t="s">
        <v>1294</v>
      </c>
      <c r="L96" s="1" t="s">
        <v>1294</v>
      </c>
    </row>
    <row r="97" spans="1:12" x14ac:dyDescent="0.2">
      <c r="A97" s="1" t="s">
        <v>3088</v>
      </c>
      <c r="B97" s="1" t="s">
        <v>8</v>
      </c>
      <c r="C97" s="1" t="s">
        <v>3384</v>
      </c>
      <c r="D97" s="1" t="s">
        <v>3089</v>
      </c>
      <c r="E97" s="1" t="s">
        <v>2436</v>
      </c>
      <c r="F97" s="1" t="s">
        <v>291</v>
      </c>
      <c r="G97" s="1" t="s">
        <v>163</v>
      </c>
      <c r="H97" s="1" t="s">
        <v>163</v>
      </c>
      <c r="I97" s="1" t="s">
        <v>3394</v>
      </c>
      <c r="J97" s="1" t="s">
        <v>3394</v>
      </c>
      <c r="K97" s="1" t="s">
        <v>1294</v>
      </c>
      <c r="L97" s="1" t="s">
        <v>1294</v>
      </c>
    </row>
    <row r="98" spans="1:12" x14ac:dyDescent="0.2">
      <c r="A98" s="1" t="s">
        <v>3090</v>
      </c>
      <c r="B98" s="1" t="s">
        <v>8</v>
      </c>
      <c r="C98" s="1" t="s">
        <v>3384</v>
      </c>
      <c r="D98" s="1" t="s">
        <v>3091</v>
      </c>
      <c r="E98" s="1" t="s">
        <v>2433</v>
      </c>
      <c r="F98" s="1" t="s">
        <v>291</v>
      </c>
      <c r="G98" s="1" t="s">
        <v>163</v>
      </c>
      <c r="H98" s="1" t="s">
        <v>163</v>
      </c>
      <c r="I98" s="1" t="s">
        <v>3394</v>
      </c>
      <c r="J98" s="1" t="s">
        <v>3394</v>
      </c>
      <c r="K98" s="1" t="s">
        <v>1294</v>
      </c>
      <c r="L98" s="1" t="s">
        <v>1294</v>
      </c>
    </row>
    <row r="99" spans="1:12" x14ac:dyDescent="0.2">
      <c r="A99" s="1" t="s">
        <v>3092</v>
      </c>
      <c r="B99" s="1" t="s">
        <v>8</v>
      </c>
      <c r="C99" s="1" t="s">
        <v>3384</v>
      </c>
      <c r="D99" s="1" t="s">
        <v>3093</v>
      </c>
      <c r="E99" s="1" t="s">
        <v>1819</v>
      </c>
      <c r="F99" s="1" t="s">
        <v>291</v>
      </c>
      <c r="G99" s="1" t="s">
        <v>163</v>
      </c>
      <c r="H99" s="1" t="s">
        <v>163</v>
      </c>
      <c r="I99" s="1" t="s">
        <v>3394</v>
      </c>
      <c r="J99" s="1" t="s">
        <v>3394</v>
      </c>
      <c r="K99" s="1" t="s">
        <v>1294</v>
      </c>
      <c r="L99" s="1" t="s">
        <v>1294</v>
      </c>
    </row>
    <row r="100" spans="1:12" x14ac:dyDescent="0.2">
      <c r="A100" s="1" t="s">
        <v>3094</v>
      </c>
      <c r="B100" s="1" t="s">
        <v>8</v>
      </c>
      <c r="C100" s="1" t="s">
        <v>3384</v>
      </c>
      <c r="D100" s="1" t="s">
        <v>3095</v>
      </c>
      <c r="E100" s="1" t="s">
        <v>2582</v>
      </c>
      <c r="F100" s="1" t="s">
        <v>291</v>
      </c>
      <c r="G100" s="1" t="s">
        <v>163</v>
      </c>
      <c r="H100" s="1" t="s">
        <v>163</v>
      </c>
      <c r="I100" s="1" t="s">
        <v>3394</v>
      </c>
      <c r="J100" s="1" t="s">
        <v>3394</v>
      </c>
      <c r="K100" s="1" t="s">
        <v>1294</v>
      </c>
      <c r="L100" s="1" t="s">
        <v>1294</v>
      </c>
    </row>
    <row r="101" spans="1:12" x14ac:dyDescent="0.2">
      <c r="A101" s="1" t="s">
        <v>3096</v>
      </c>
      <c r="B101" s="1" t="s">
        <v>8</v>
      </c>
      <c r="C101" s="1" t="s">
        <v>3384</v>
      </c>
      <c r="D101" s="1" t="s">
        <v>3097</v>
      </c>
      <c r="E101" s="1" t="s">
        <v>1837</v>
      </c>
      <c r="F101" s="1" t="s">
        <v>291</v>
      </c>
      <c r="G101" s="1" t="s">
        <v>163</v>
      </c>
      <c r="H101" s="1" t="s">
        <v>163</v>
      </c>
      <c r="I101" s="1" t="s">
        <v>3394</v>
      </c>
      <c r="J101" s="1" t="s">
        <v>3394</v>
      </c>
      <c r="K101" s="1" t="s">
        <v>1294</v>
      </c>
      <c r="L101" s="1" t="s">
        <v>1294</v>
      </c>
    </row>
    <row r="102" spans="1:12" x14ac:dyDescent="0.2">
      <c r="A102" s="1" t="s">
        <v>3098</v>
      </c>
      <c r="B102" s="1" t="s">
        <v>8</v>
      </c>
      <c r="C102" s="1" t="s">
        <v>3384</v>
      </c>
      <c r="D102" s="1" t="s">
        <v>3099</v>
      </c>
      <c r="E102" s="1" t="s">
        <v>2827</v>
      </c>
      <c r="F102" s="1" t="s">
        <v>291</v>
      </c>
      <c r="G102" s="1" t="s">
        <v>163</v>
      </c>
      <c r="H102" s="1" t="s">
        <v>163</v>
      </c>
      <c r="I102" s="1" t="s">
        <v>3394</v>
      </c>
      <c r="J102" s="1" t="s">
        <v>3394</v>
      </c>
      <c r="K102" s="1" t="s">
        <v>1294</v>
      </c>
      <c r="L102" s="1" t="s">
        <v>1294</v>
      </c>
    </row>
    <row r="103" spans="1:12" x14ac:dyDescent="0.2">
      <c r="A103" s="1" t="s">
        <v>3100</v>
      </c>
      <c r="B103" s="1" t="s">
        <v>8</v>
      </c>
      <c r="C103" s="1" t="s">
        <v>3384</v>
      </c>
      <c r="D103" s="1" t="s">
        <v>3101</v>
      </c>
      <c r="E103" s="1" t="s">
        <v>1987</v>
      </c>
      <c r="F103" s="1" t="s">
        <v>291</v>
      </c>
      <c r="G103" s="1" t="s">
        <v>163</v>
      </c>
      <c r="H103" s="1" t="s">
        <v>163</v>
      </c>
      <c r="I103" s="1" t="s">
        <v>3394</v>
      </c>
      <c r="J103" s="1" t="s">
        <v>3394</v>
      </c>
      <c r="K103" s="1" t="s">
        <v>1294</v>
      </c>
      <c r="L103" s="1" t="s">
        <v>1294</v>
      </c>
    </row>
    <row r="104" spans="1:12" x14ac:dyDescent="0.2">
      <c r="A104" s="1" t="s">
        <v>3102</v>
      </c>
      <c r="B104" s="1" t="s">
        <v>8</v>
      </c>
      <c r="C104" s="1" t="s">
        <v>3384</v>
      </c>
      <c r="D104" s="1" t="s">
        <v>3103</v>
      </c>
      <c r="E104" s="12" t="s">
        <v>1981</v>
      </c>
      <c r="F104" s="1" t="s">
        <v>291</v>
      </c>
      <c r="G104" s="1" t="s">
        <v>163</v>
      </c>
      <c r="H104" s="1" t="s">
        <v>163</v>
      </c>
      <c r="I104" s="1" t="s">
        <v>3394</v>
      </c>
      <c r="J104" s="1" t="s">
        <v>3394</v>
      </c>
      <c r="K104" s="1" t="s">
        <v>1294</v>
      </c>
      <c r="L104" s="1" t="s">
        <v>1294</v>
      </c>
    </row>
    <row r="105" spans="1:12" x14ac:dyDescent="0.2">
      <c r="A105" s="1" t="s">
        <v>3104</v>
      </c>
      <c r="B105" s="1" t="s">
        <v>8</v>
      </c>
      <c r="C105" s="1" t="s">
        <v>3384</v>
      </c>
      <c r="D105" s="1" t="s">
        <v>3105</v>
      </c>
      <c r="E105" s="1" t="s">
        <v>1686</v>
      </c>
      <c r="F105" s="1" t="s">
        <v>291</v>
      </c>
      <c r="G105" s="1" t="s">
        <v>163</v>
      </c>
      <c r="H105" s="1" t="s">
        <v>163</v>
      </c>
      <c r="I105" s="1" t="s">
        <v>3394</v>
      </c>
      <c r="J105" s="1" t="s">
        <v>3394</v>
      </c>
      <c r="K105" s="1" t="s">
        <v>1294</v>
      </c>
      <c r="L105" s="1" t="s">
        <v>1294</v>
      </c>
    </row>
    <row r="106" spans="1:12" x14ac:dyDescent="0.2">
      <c r="A106" s="1" t="s">
        <v>3106</v>
      </c>
      <c r="B106" s="1" t="s">
        <v>8</v>
      </c>
      <c r="C106" s="1" t="s">
        <v>3384</v>
      </c>
      <c r="D106" s="1" t="s">
        <v>3107</v>
      </c>
      <c r="E106" s="1" t="s">
        <v>808</v>
      </c>
      <c r="F106" s="1" t="s">
        <v>291</v>
      </c>
      <c r="G106" s="1" t="s">
        <v>163</v>
      </c>
      <c r="H106" s="1" t="s">
        <v>163</v>
      </c>
      <c r="I106" s="1" t="s">
        <v>3394</v>
      </c>
      <c r="J106" s="1" t="s">
        <v>3394</v>
      </c>
      <c r="K106" s="1" t="s">
        <v>1294</v>
      </c>
      <c r="L106" s="1" t="s">
        <v>1294</v>
      </c>
    </row>
    <row r="107" spans="1:12" x14ac:dyDescent="0.2">
      <c r="A107" s="1" t="s">
        <v>3108</v>
      </c>
      <c r="B107" s="1" t="s">
        <v>8</v>
      </c>
      <c r="C107" s="1" t="s">
        <v>3384</v>
      </c>
      <c r="D107" s="1" t="s">
        <v>3109</v>
      </c>
      <c r="E107" s="1" t="s">
        <v>1678</v>
      </c>
      <c r="F107" s="1" t="s">
        <v>291</v>
      </c>
      <c r="G107" s="1" t="s">
        <v>163</v>
      </c>
      <c r="H107" s="1" t="s">
        <v>163</v>
      </c>
      <c r="I107" s="1" t="s">
        <v>3394</v>
      </c>
      <c r="J107" s="1" t="s">
        <v>3394</v>
      </c>
      <c r="K107" s="1" t="s">
        <v>1294</v>
      </c>
      <c r="L107" s="1" t="s">
        <v>1294</v>
      </c>
    </row>
    <row r="108" spans="1:12" x14ac:dyDescent="0.2">
      <c r="A108" s="1" t="s">
        <v>3110</v>
      </c>
      <c r="B108" s="1" t="s">
        <v>8</v>
      </c>
      <c r="C108" s="1" t="s">
        <v>3384</v>
      </c>
      <c r="D108" s="1" t="s">
        <v>3111</v>
      </c>
      <c r="E108" s="12" t="s">
        <v>1806</v>
      </c>
      <c r="F108" s="1" t="s">
        <v>291</v>
      </c>
      <c r="G108" s="1" t="s">
        <v>163</v>
      </c>
      <c r="H108" s="1" t="s">
        <v>163</v>
      </c>
      <c r="I108" s="1" t="s">
        <v>3394</v>
      </c>
      <c r="J108" s="1" t="s">
        <v>3394</v>
      </c>
      <c r="K108" s="1" t="s">
        <v>1294</v>
      </c>
      <c r="L108" s="1" t="s">
        <v>1294</v>
      </c>
    </row>
    <row r="109" spans="1:12" x14ac:dyDescent="0.2">
      <c r="A109" s="1" t="s">
        <v>3114</v>
      </c>
      <c r="B109" s="1" t="s">
        <v>8</v>
      </c>
      <c r="C109" s="1" t="s">
        <v>3384</v>
      </c>
      <c r="D109" s="1" t="s">
        <v>3115</v>
      </c>
      <c r="E109" s="12" t="s">
        <v>2430</v>
      </c>
      <c r="F109" s="1" t="s">
        <v>291</v>
      </c>
      <c r="G109" s="1" t="s">
        <v>163</v>
      </c>
      <c r="H109" s="1" t="s">
        <v>163</v>
      </c>
      <c r="I109" s="1" t="s">
        <v>3394</v>
      </c>
      <c r="J109" s="1" t="s">
        <v>3394</v>
      </c>
      <c r="K109" s="1" t="s">
        <v>1294</v>
      </c>
      <c r="L109" s="1" t="s">
        <v>1294</v>
      </c>
    </row>
    <row r="110" spans="1:12" x14ac:dyDescent="0.2">
      <c r="A110" s="1" t="s">
        <v>3116</v>
      </c>
      <c r="B110" s="1" t="s">
        <v>8</v>
      </c>
      <c r="C110" s="1" t="s">
        <v>3384</v>
      </c>
      <c r="D110" s="1" t="s">
        <v>3117</v>
      </c>
      <c r="E110" s="1" t="s">
        <v>2553</v>
      </c>
      <c r="F110" s="1" t="s">
        <v>291</v>
      </c>
      <c r="G110" s="1" t="s">
        <v>163</v>
      </c>
      <c r="H110" s="1" t="s">
        <v>163</v>
      </c>
      <c r="I110" s="1" t="s">
        <v>3394</v>
      </c>
      <c r="J110" s="1" t="s">
        <v>3394</v>
      </c>
      <c r="K110" s="1" t="s">
        <v>1294</v>
      </c>
      <c r="L110" s="1" t="s">
        <v>1294</v>
      </c>
    </row>
    <row r="111" spans="1:12" x14ac:dyDescent="0.2">
      <c r="A111" s="1" t="s">
        <v>3118</v>
      </c>
      <c r="B111" s="1" t="s">
        <v>8</v>
      </c>
      <c r="C111" s="1" t="s">
        <v>3384</v>
      </c>
      <c r="D111" s="1" t="s">
        <v>3119</v>
      </c>
      <c r="E111" s="1" t="s">
        <v>2579</v>
      </c>
      <c r="F111" s="1" t="s">
        <v>291</v>
      </c>
      <c r="G111" s="1" t="s">
        <v>163</v>
      </c>
      <c r="H111" s="1" t="s">
        <v>163</v>
      </c>
      <c r="I111" s="1" t="s">
        <v>3394</v>
      </c>
      <c r="J111" s="1" t="s">
        <v>3394</v>
      </c>
      <c r="K111" s="1" t="s">
        <v>1294</v>
      </c>
      <c r="L111" s="1" t="s">
        <v>1294</v>
      </c>
    </row>
    <row r="112" spans="1:12" x14ac:dyDescent="0.2">
      <c r="A112" s="1" t="s">
        <v>3120</v>
      </c>
      <c r="B112" s="1" t="s">
        <v>8</v>
      </c>
      <c r="C112" s="1" t="s">
        <v>3384</v>
      </c>
      <c r="D112" s="1" t="s">
        <v>3121</v>
      </c>
      <c r="E112" s="1" t="s">
        <v>1809</v>
      </c>
      <c r="F112" s="1" t="s">
        <v>291</v>
      </c>
      <c r="G112" s="1" t="s">
        <v>163</v>
      </c>
      <c r="H112" s="1" t="s">
        <v>163</v>
      </c>
      <c r="I112" s="1" t="s">
        <v>3394</v>
      </c>
      <c r="J112" s="1" t="s">
        <v>3394</v>
      </c>
      <c r="K112" s="1" t="s">
        <v>1294</v>
      </c>
      <c r="L112" s="1" t="s">
        <v>1294</v>
      </c>
    </row>
    <row r="113" spans="1:12" x14ac:dyDescent="0.2">
      <c r="A113" s="1" t="s">
        <v>3122</v>
      </c>
      <c r="B113" s="1" t="s">
        <v>8</v>
      </c>
      <c r="C113" s="1" t="s">
        <v>3384</v>
      </c>
      <c r="D113" s="1" t="s">
        <v>3123</v>
      </c>
      <c r="E113" s="1" t="s">
        <v>1681</v>
      </c>
      <c r="F113" s="1" t="s">
        <v>291</v>
      </c>
      <c r="G113" s="1" t="s">
        <v>163</v>
      </c>
      <c r="H113" s="1" t="s">
        <v>163</v>
      </c>
      <c r="I113" s="1" t="s">
        <v>3394</v>
      </c>
      <c r="J113" s="1" t="s">
        <v>3394</v>
      </c>
      <c r="K113" s="1" t="s">
        <v>1294</v>
      </c>
      <c r="L113" s="1" t="s">
        <v>1294</v>
      </c>
    </row>
    <row r="114" spans="1:12" x14ac:dyDescent="0.2">
      <c r="A114" s="1" t="s">
        <v>3124</v>
      </c>
      <c r="B114" s="1" t="s">
        <v>8</v>
      </c>
      <c r="C114" s="1" t="s">
        <v>3384</v>
      </c>
      <c r="D114" s="1" t="s">
        <v>3125</v>
      </c>
      <c r="E114" s="1" t="s">
        <v>1816</v>
      </c>
      <c r="F114" s="1" t="s">
        <v>291</v>
      </c>
      <c r="G114" s="1" t="s">
        <v>163</v>
      </c>
      <c r="H114" s="1" t="s">
        <v>163</v>
      </c>
      <c r="I114" s="1" t="s">
        <v>3394</v>
      </c>
      <c r="J114" s="1" t="s">
        <v>3394</v>
      </c>
      <c r="K114" s="1" t="s">
        <v>1294</v>
      </c>
      <c r="L114" s="1" t="s">
        <v>1294</v>
      </c>
    </row>
    <row r="115" spans="1:12" x14ac:dyDescent="0.2">
      <c r="A115" s="1" t="s">
        <v>3126</v>
      </c>
      <c r="B115" s="1" t="s">
        <v>8</v>
      </c>
      <c r="C115" s="1" t="s">
        <v>3384</v>
      </c>
      <c r="D115" s="1" t="s">
        <v>3127</v>
      </c>
      <c r="E115" s="1" t="s">
        <v>2303</v>
      </c>
      <c r="F115" s="1" t="s">
        <v>291</v>
      </c>
      <c r="G115" s="1" t="s">
        <v>163</v>
      </c>
      <c r="H115" s="1" t="s">
        <v>163</v>
      </c>
      <c r="I115" s="1" t="s">
        <v>3394</v>
      </c>
      <c r="J115" s="1" t="s">
        <v>3394</v>
      </c>
      <c r="K115" s="1" t="s">
        <v>1294</v>
      </c>
      <c r="L115" s="1" t="s">
        <v>1294</v>
      </c>
    </row>
    <row r="116" spans="1:12" x14ac:dyDescent="0.2">
      <c r="A116" s="1" t="s">
        <v>3128</v>
      </c>
      <c r="B116" s="1" t="s">
        <v>8</v>
      </c>
      <c r="C116" s="1" t="s">
        <v>3384</v>
      </c>
      <c r="D116" s="1" t="s">
        <v>3129</v>
      </c>
      <c r="E116" s="1" t="s">
        <v>1899</v>
      </c>
      <c r="F116" s="1" t="s">
        <v>291</v>
      </c>
      <c r="G116" s="1" t="s">
        <v>163</v>
      </c>
      <c r="H116" s="1" t="s">
        <v>163</v>
      </c>
      <c r="I116" s="1" t="s">
        <v>3394</v>
      </c>
      <c r="J116" s="1" t="s">
        <v>3394</v>
      </c>
      <c r="K116" s="1" t="s">
        <v>1294</v>
      </c>
      <c r="L116" s="1" t="s">
        <v>1294</v>
      </c>
    </row>
    <row r="117" spans="1:12" x14ac:dyDescent="0.2">
      <c r="A117" s="1" t="s">
        <v>3130</v>
      </c>
      <c r="B117" s="1" t="s">
        <v>8</v>
      </c>
      <c r="C117" s="1" t="s">
        <v>3384</v>
      </c>
      <c r="D117" s="1" t="s">
        <v>3131</v>
      </c>
      <c r="E117" s="1" t="s">
        <v>1834</v>
      </c>
      <c r="F117" s="1" t="s">
        <v>291</v>
      </c>
      <c r="G117" s="1" t="s">
        <v>163</v>
      </c>
      <c r="H117" s="1" t="s">
        <v>163</v>
      </c>
      <c r="I117" s="1" t="s">
        <v>3394</v>
      </c>
      <c r="J117" s="1" t="s">
        <v>3394</v>
      </c>
      <c r="K117" s="1" t="s">
        <v>1294</v>
      </c>
      <c r="L117" s="1" t="s">
        <v>1294</v>
      </c>
    </row>
    <row r="118" spans="1:12" x14ac:dyDescent="0.2">
      <c r="A118" s="1" t="s">
        <v>3132</v>
      </c>
      <c r="B118" s="1" t="s">
        <v>8</v>
      </c>
      <c r="C118" s="1" t="s">
        <v>3384</v>
      </c>
      <c r="D118" s="1" t="s">
        <v>3133</v>
      </c>
      <c r="E118" s="1" t="s">
        <v>1896</v>
      </c>
      <c r="F118" s="1" t="s">
        <v>291</v>
      </c>
      <c r="G118" s="1" t="s">
        <v>163</v>
      </c>
      <c r="H118" s="1" t="s">
        <v>163</v>
      </c>
      <c r="I118" s="1" t="s">
        <v>3394</v>
      </c>
      <c r="J118" s="1" t="s">
        <v>3394</v>
      </c>
      <c r="K118" s="1" t="s">
        <v>1294</v>
      </c>
      <c r="L118" s="1" t="s">
        <v>1294</v>
      </c>
    </row>
    <row r="119" spans="1:12" x14ac:dyDescent="0.2">
      <c r="A119" s="1" t="s">
        <v>3134</v>
      </c>
      <c r="B119" s="1" t="s">
        <v>8</v>
      </c>
      <c r="C119" s="1" t="s">
        <v>3384</v>
      </c>
      <c r="D119" s="1" t="s">
        <v>3135</v>
      </c>
      <c r="E119" s="18" t="s">
        <v>2495</v>
      </c>
      <c r="F119" s="1" t="s">
        <v>291</v>
      </c>
      <c r="G119" s="1" t="s">
        <v>163</v>
      </c>
      <c r="H119" s="1" t="s">
        <v>163</v>
      </c>
      <c r="I119" s="1" t="s">
        <v>3394</v>
      </c>
      <c r="J119" s="1" t="s">
        <v>3394</v>
      </c>
      <c r="K119" s="1" t="s">
        <v>1294</v>
      </c>
      <c r="L119" s="1" t="s">
        <v>1294</v>
      </c>
    </row>
    <row r="120" spans="1:12" x14ac:dyDescent="0.2">
      <c r="A120" s="1" t="s">
        <v>3136</v>
      </c>
      <c r="B120" s="1" t="s">
        <v>8</v>
      </c>
      <c r="C120" s="1" t="s">
        <v>3384</v>
      </c>
      <c r="D120" s="1" t="s">
        <v>3137</v>
      </c>
      <c r="E120" s="1" t="s">
        <v>2374</v>
      </c>
      <c r="F120" s="1" t="s">
        <v>291</v>
      </c>
      <c r="G120" s="1" t="s">
        <v>163</v>
      </c>
      <c r="H120" s="1" t="s">
        <v>163</v>
      </c>
      <c r="I120" s="1" t="s">
        <v>3394</v>
      </c>
      <c r="J120" s="1" t="s">
        <v>3394</v>
      </c>
      <c r="K120" s="1" t="s">
        <v>1294</v>
      </c>
      <c r="L120" s="1" t="s">
        <v>1294</v>
      </c>
    </row>
    <row r="121" spans="1:12" x14ac:dyDescent="0.2">
      <c r="A121" s="1" t="s">
        <v>1582</v>
      </c>
      <c r="B121" s="1" t="s">
        <v>41</v>
      </c>
      <c r="C121" s="1" t="s">
        <v>3385</v>
      </c>
      <c r="D121" s="1" t="s">
        <v>1583</v>
      </c>
      <c r="E121" s="12" t="s">
        <v>1584</v>
      </c>
      <c r="F121" s="1" t="s">
        <v>1289</v>
      </c>
      <c r="I121" s="1" t="s">
        <v>3394</v>
      </c>
      <c r="J121" s="1" t="s">
        <v>3402</v>
      </c>
    </row>
    <row r="122" spans="1:12" x14ac:dyDescent="0.2">
      <c r="A122" s="1" t="s">
        <v>1696</v>
      </c>
      <c r="B122" s="1" t="s">
        <v>41</v>
      </c>
      <c r="C122" s="1" t="s">
        <v>3385</v>
      </c>
      <c r="D122" s="1" t="s">
        <v>1697</v>
      </c>
      <c r="E122" s="1" t="s">
        <v>1698</v>
      </c>
      <c r="F122" s="1" t="s">
        <v>1289</v>
      </c>
      <c r="I122" s="1" t="s">
        <v>3393</v>
      </c>
      <c r="J122" s="1" t="s">
        <v>3393</v>
      </c>
    </row>
    <row r="123" spans="1:12" x14ac:dyDescent="0.2">
      <c r="A123" s="1" t="s">
        <v>1699</v>
      </c>
      <c r="B123" s="1" t="s">
        <v>41</v>
      </c>
      <c r="C123" s="1" t="s">
        <v>3385</v>
      </c>
      <c r="D123" s="1" t="s">
        <v>1700</v>
      </c>
      <c r="E123" s="1" t="s">
        <v>1701</v>
      </c>
      <c r="F123" s="1" t="s">
        <v>1289</v>
      </c>
      <c r="I123" s="121" t="s">
        <v>3394</v>
      </c>
      <c r="J123" s="121" t="s">
        <v>3394</v>
      </c>
      <c r="K123" s="3">
        <v>45558</v>
      </c>
    </row>
    <row r="124" spans="1:12" x14ac:dyDescent="0.2">
      <c r="A124" s="1" t="s">
        <v>1903</v>
      </c>
      <c r="B124" s="1" t="s">
        <v>1314</v>
      </c>
      <c r="C124" s="1" t="s">
        <v>3385</v>
      </c>
      <c r="D124" s="1" t="s">
        <v>1904</v>
      </c>
      <c r="E124" s="1" t="s">
        <v>1905</v>
      </c>
      <c r="F124" s="1" t="s">
        <v>1289</v>
      </c>
      <c r="I124" s="1" t="s">
        <v>3394</v>
      </c>
      <c r="J124" s="1" t="s">
        <v>3393</v>
      </c>
    </row>
    <row r="125" spans="1:12" x14ac:dyDescent="0.2">
      <c r="A125" s="1" t="s">
        <v>1906</v>
      </c>
      <c r="B125" s="1" t="s">
        <v>41</v>
      </c>
      <c r="C125" s="1" t="s">
        <v>3385</v>
      </c>
      <c r="D125" s="1" t="s">
        <v>1907</v>
      </c>
      <c r="E125" s="1" t="s">
        <v>1908</v>
      </c>
      <c r="F125" s="1" t="s">
        <v>1289</v>
      </c>
      <c r="I125" s="1" t="s">
        <v>3394</v>
      </c>
      <c r="J125" s="1" t="s">
        <v>3393</v>
      </c>
    </row>
    <row r="126" spans="1:12" x14ac:dyDescent="0.2">
      <c r="A126" s="1" t="s">
        <v>1909</v>
      </c>
      <c r="B126" s="1" t="s">
        <v>41</v>
      </c>
      <c r="C126" s="1" t="s">
        <v>3385</v>
      </c>
      <c r="D126" s="1" t="s">
        <v>1910</v>
      </c>
      <c r="E126" s="12" t="s">
        <v>1911</v>
      </c>
      <c r="F126" s="1" t="s">
        <v>1289</v>
      </c>
      <c r="I126" s="1" t="s">
        <v>3394</v>
      </c>
      <c r="J126" s="121" t="s">
        <v>3394</v>
      </c>
      <c r="K126" s="3">
        <v>46288</v>
      </c>
    </row>
    <row r="127" spans="1:12" x14ac:dyDescent="0.2">
      <c r="A127" s="1" t="s">
        <v>2001</v>
      </c>
      <c r="B127" s="1" t="s">
        <v>41</v>
      </c>
      <c r="C127" s="1" t="s">
        <v>3385</v>
      </c>
      <c r="D127" s="1" t="s">
        <v>2002</v>
      </c>
      <c r="E127" s="1" t="s">
        <v>2003</v>
      </c>
      <c r="F127" s="1" t="s">
        <v>1289</v>
      </c>
      <c r="I127" s="1" t="s">
        <v>3394</v>
      </c>
      <c r="J127" s="1" t="s">
        <v>3393</v>
      </c>
    </row>
    <row r="128" spans="1:12" x14ac:dyDescent="0.2">
      <c r="A128" s="1" t="s">
        <v>2018</v>
      </c>
      <c r="B128" s="1" t="s">
        <v>41</v>
      </c>
      <c r="C128" s="1" t="s">
        <v>3385</v>
      </c>
      <c r="D128" s="1" t="s">
        <v>2019</v>
      </c>
      <c r="E128" s="12" t="s">
        <v>2020</v>
      </c>
      <c r="F128" s="1" t="s">
        <v>1289</v>
      </c>
      <c r="I128" s="1" t="s">
        <v>3394</v>
      </c>
      <c r="J128" s="1" t="s">
        <v>3402</v>
      </c>
    </row>
    <row r="129" spans="1:11" x14ac:dyDescent="0.2">
      <c r="A129" s="1" t="s">
        <v>2385</v>
      </c>
      <c r="B129" s="1" t="s">
        <v>1291</v>
      </c>
      <c r="C129" s="1" t="s">
        <v>3385</v>
      </c>
      <c r="D129" s="1" t="s">
        <v>2386</v>
      </c>
      <c r="E129" s="1" t="s">
        <v>2387</v>
      </c>
      <c r="F129" s="1" t="s">
        <v>1289</v>
      </c>
      <c r="I129" s="1" t="s">
        <v>3394</v>
      </c>
      <c r="J129" s="1" t="s">
        <v>3393</v>
      </c>
    </row>
    <row r="130" spans="1:11" x14ac:dyDescent="0.2">
      <c r="A130" s="1" t="s">
        <v>2388</v>
      </c>
      <c r="B130" s="1" t="s">
        <v>41</v>
      </c>
      <c r="C130" s="1" t="s">
        <v>3385</v>
      </c>
      <c r="D130" s="1" t="s">
        <v>2389</v>
      </c>
      <c r="E130" s="1" t="s">
        <v>2390</v>
      </c>
      <c r="F130" s="1" t="s">
        <v>1289</v>
      </c>
      <c r="I130" s="1" t="s">
        <v>3394</v>
      </c>
      <c r="J130" s="1" t="s">
        <v>3393</v>
      </c>
    </row>
    <row r="131" spans="1:11" x14ac:dyDescent="0.2">
      <c r="A131" s="1" t="s">
        <v>2391</v>
      </c>
      <c r="B131" s="1" t="s">
        <v>41</v>
      </c>
      <c r="C131" s="1" t="s">
        <v>3385</v>
      </c>
      <c r="D131" s="1" t="s">
        <v>2392</v>
      </c>
      <c r="E131" s="1" t="s">
        <v>2393</v>
      </c>
      <c r="F131" s="1" t="s">
        <v>1289</v>
      </c>
      <c r="I131" s="1" t="s">
        <v>3394</v>
      </c>
      <c r="J131" s="1" t="s">
        <v>3393</v>
      </c>
    </row>
    <row r="132" spans="1:11" x14ac:dyDescent="0.2">
      <c r="A132" s="1" t="s">
        <v>2443</v>
      </c>
      <c r="B132" s="1" t="s">
        <v>41</v>
      </c>
      <c r="C132" s="1" t="s">
        <v>3385</v>
      </c>
      <c r="D132" s="1" t="s">
        <v>2444</v>
      </c>
      <c r="E132" s="1" t="s">
        <v>2445</v>
      </c>
      <c r="F132" s="1" t="s">
        <v>1289</v>
      </c>
      <c r="I132" s="1" t="s">
        <v>3393</v>
      </c>
      <c r="J132" s="1" t="s">
        <v>3393</v>
      </c>
    </row>
    <row r="133" spans="1:11" x14ac:dyDescent="0.2">
      <c r="A133" s="1" t="s">
        <v>2446</v>
      </c>
      <c r="B133" s="1" t="s">
        <v>41</v>
      </c>
      <c r="C133" s="1" t="s">
        <v>3385</v>
      </c>
      <c r="D133" s="1" t="s">
        <v>2447</v>
      </c>
      <c r="E133" s="12" t="s">
        <v>2448</v>
      </c>
      <c r="F133" s="1" t="s">
        <v>1289</v>
      </c>
      <c r="I133" s="1" t="s">
        <v>3394</v>
      </c>
      <c r="J133" s="1" t="s">
        <v>3402</v>
      </c>
    </row>
    <row r="134" spans="1:11" x14ac:dyDescent="0.2">
      <c r="A134" s="1" t="s">
        <v>2583</v>
      </c>
      <c r="B134" s="1" t="s">
        <v>41</v>
      </c>
      <c r="C134" s="1" t="s">
        <v>3385</v>
      </c>
      <c r="D134" s="1" t="s">
        <v>2584</v>
      </c>
      <c r="E134" s="1" t="s">
        <v>2585</v>
      </c>
      <c r="F134" s="1" t="s">
        <v>1289</v>
      </c>
      <c r="I134" s="1" t="s">
        <v>3394</v>
      </c>
      <c r="J134" s="1" t="s">
        <v>3393</v>
      </c>
    </row>
    <row r="135" spans="1:11" x14ac:dyDescent="0.2">
      <c r="A135" s="1" t="s">
        <v>2586</v>
      </c>
      <c r="B135" s="1" t="s">
        <v>41</v>
      </c>
      <c r="C135" s="1" t="s">
        <v>3385</v>
      </c>
      <c r="D135" s="1" t="s">
        <v>2587</v>
      </c>
      <c r="E135" s="1" t="s">
        <v>2588</v>
      </c>
      <c r="F135" s="1" t="s">
        <v>1289</v>
      </c>
      <c r="I135" s="1" t="s">
        <v>3394</v>
      </c>
      <c r="J135" s="1" t="s">
        <v>3393</v>
      </c>
    </row>
    <row r="136" spans="1:11" x14ac:dyDescent="0.2">
      <c r="A136" s="1" t="s">
        <v>2618</v>
      </c>
      <c r="B136" s="1" t="s">
        <v>41</v>
      </c>
      <c r="C136" s="1" t="s">
        <v>3385</v>
      </c>
      <c r="D136" s="1" t="s">
        <v>2619</v>
      </c>
      <c r="E136" s="1" t="s">
        <v>2620</v>
      </c>
      <c r="F136" s="1" t="s">
        <v>1289</v>
      </c>
      <c r="I136" s="1" t="s">
        <v>3394</v>
      </c>
      <c r="J136" s="1" t="s">
        <v>3393</v>
      </c>
    </row>
    <row r="137" spans="1:11" x14ac:dyDescent="0.2">
      <c r="A137" s="1" t="s">
        <v>2624</v>
      </c>
      <c r="B137" s="1" t="s">
        <v>41</v>
      </c>
      <c r="C137" s="1" t="s">
        <v>3385</v>
      </c>
      <c r="D137" s="1" t="s">
        <v>2625</v>
      </c>
      <c r="E137" s="1" t="s">
        <v>2626</v>
      </c>
      <c r="F137" s="1" t="s">
        <v>1289</v>
      </c>
      <c r="I137" s="1" t="s">
        <v>3393</v>
      </c>
      <c r="J137" s="1" t="s">
        <v>3393</v>
      </c>
    </row>
    <row r="138" spans="1:11" x14ac:dyDescent="0.2">
      <c r="A138" s="1" t="s">
        <v>2647</v>
      </c>
      <c r="B138" s="1" t="s">
        <v>1291</v>
      </c>
      <c r="C138" s="1" t="s">
        <v>3385</v>
      </c>
      <c r="D138" s="1" t="s">
        <v>2648</v>
      </c>
      <c r="E138" s="1" t="s">
        <v>2649</v>
      </c>
      <c r="F138" s="1" t="s">
        <v>1289</v>
      </c>
      <c r="I138" s="1" t="s">
        <v>3394</v>
      </c>
      <c r="J138" s="1" t="s">
        <v>3393</v>
      </c>
    </row>
    <row r="139" spans="1:11" x14ac:dyDescent="0.2">
      <c r="A139" s="1" t="s">
        <v>2650</v>
      </c>
      <c r="B139" s="1" t="s">
        <v>1314</v>
      </c>
      <c r="C139" s="1" t="s">
        <v>3385</v>
      </c>
      <c r="D139" s="1" t="s">
        <v>2651</v>
      </c>
      <c r="E139" s="1" t="s">
        <v>2652</v>
      </c>
      <c r="F139" s="1" t="s">
        <v>1289</v>
      </c>
      <c r="I139" s="1" t="s">
        <v>3394</v>
      </c>
      <c r="J139" s="1" t="s">
        <v>3393</v>
      </c>
    </row>
    <row r="140" spans="1:11" x14ac:dyDescent="0.2">
      <c r="A140" s="1" t="s">
        <v>2653</v>
      </c>
      <c r="B140" s="1" t="s">
        <v>41</v>
      </c>
      <c r="C140" s="1" t="s">
        <v>3385</v>
      </c>
      <c r="D140" s="1" t="s">
        <v>2654</v>
      </c>
      <c r="E140" s="1" t="s">
        <v>2655</v>
      </c>
      <c r="F140" s="1" t="s">
        <v>1289</v>
      </c>
      <c r="I140" s="1" t="s">
        <v>3394</v>
      </c>
      <c r="J140" s="1" t="s">
        <v>3393</v>
      </c>
    </row>
    <row r="141" spans="1:11" x14ac:dyDescent="0.2">
      <c r="A141" s="1" t="s">
        <v>2675</v>
      </c>
      <c r="B141" s="1" t="s">
        <v>41</v>
      </c>
      <c r="C141" s="1" t="s">
        <v>3385</v>
      </c>
      <c r="D141" s="1" t="s">
        <v>2676</v>
      </c>
      <c r="E141" s="12" t="s">
        <v>2677</v>
      </c>
      <c r="F141" s="1" t="s">
        <v>1289</v>
      </c>
      <c r="I141" s="1" t="s">
        <v>3394</v>
      </c>
      <c r="J141" s="121" t="s">
        <v>3394</v>
      </c>
      <c r="K141" s="3">
        <v>46294</v>
      </c>
    </row>
    <row r="142" spans="1:11" x14ac:dyDescent="0.2">
      <c r="A142" s="1" t="s">
        <v>2693</v>
      </c>
      <c r="B142" s="1" t="s">
        <v>41</v>
      </c>
      <c r="C142" s="1" t="s">
        <v>3385</v>
      </c>
      <c r="D142" s="1" t="s">
        <v>2694</v>
      </c>
      <c r="E142" s="12" t="s">
        <v>2695</v>
      </c>
      <c r="F142" s="1" t="s">
        <v>1289</v>
      </c>
      <c r="I142" s="1" t="s">
        <v>3394</v>
      </c>
      <c r="J142" s="1" t="s">
        <v>3402</v>
      </c>
    </row>
    <row r="143" spans="1:11" x14ac:dyDescent="0.2">
      <c r="A143" s="1" t="s">
        <v>2696</v>
      </c>
      <c r="B143" s="1" t="s">
        <v>41</v>
      </c>
      <c r="C143" s="1" t="s">
        <v>3385</v>
      </c>
      <c r="D143" s="1" t="s">
        <v>2697</v>
      </c>
      <c r="E143" s="17" t="s">
        <v>2698</v>
      </c>
      <c r="F143" s="1" t="s">
        <v>1289</v>
      </c>
      <c r="I143" s="1" t="s">
        <v>3394</v>
      </c>
      <c r="J143" s="1" t="s">
        <v>3402</v>
      </c>
    </row>
    <row r="144" spans="1:11" x14ac:dyDescent="0.2">
      <c r="A144" s="1" t="s">
        <v>2702</v>
      </c>
      <c r="B144" s="1" t="s">
        <v>41</v>
      </c>
      <c r="C144" s="1" t="s">
        <v>3385</v>
      </c>
      <c r="D144" s="1" t="s">
        <v>2703</v>
      </c>
      <c r="E144" s="1" t="s">
        <v>2704</v>
      </c>
      <c r="F144" s="1" t="s">
        <v>1289</v>
      </c>
      <c r="I144" s="1" t="s">
        <v>3394</v>
      </c>
      <c r="J144" s="1" t="s">
        <v>3393</v>
      </c>
    </row>
    <row r="145" spans="1:12" x14ac:dyDescent="0.2">
      <c r="A145" s="1" t="s">
        <v>2705</v>
      </c>
      <c r="B145" s="1" t="s">
        <v>1314</v>
      </c>
      <c r="C145" s="1" t="s">
        <v>3385</v>
      </c>
      <c r="D145" s="1" t="s">
        <v>2706</v>
      </c>
      <c r="E145" s="1" t="s">
        <v>2707</v>
      </c>
      <c r="F145" s="1" t="s">
        <v>1289</v>
      </c>
      <c r="I145" s="1" t="s">
        <v>3394</v>
      </c>
      <c r="J145" s="1" t="s">
        <v>3393</v>
      </c>
    </row>
    <row r="146" spans="1:12" x14ac:dyDescent="0.2">
      <c r="A146" s="1" t="s">
        <v>2708</v>
      </c>
      <c r="B146" s="1" t="s">
        <v>1314</v>
      </c>
      <c r="C146" s="1" t="s">
        <v>3385</v>
      </c>
      <c r="D146" s="1" t="s">
        <v>2709</v>
      </c>
      <c r="E146" s="1" t="s">
        <v>2710</v>
      </c>
      <c r="F146" s="1" t="s">
        <v>1289</v>
      </c>
      <c r="I146" s="1" t="s">
        <v>3394</v>
      </c>
      <c r="J146" s="1" t="s">
        <v>3393</v>
      </c>
    </row>
    <row r="147" spans="1:12" x14ac:dyDescent="0.2">
      <c r="A147" s="1" t="s">
        <v>1997</v>
      </c>
      <c r="B147" s="1" t="s">
        <v>8</v>
      </c>
      <c r="C147" s="1" t="s">
        <v>3385</v>
      </c>
      <c r="D147" s="1" t="s">
        <v>1998</v>
      </c>
      <c r="E147" s="1" t="s">
        <v>1999</v>
      </c>
      <c r="F147" s="1" t="s">
        <v>1293</v>
      </c>
      <c r="G147" s="1" t="s">
        <v>2000</v>
      </c>
      <c r="H147" s="1" t="s">
        <v>2000</v>
      </c>
      <c r="I147" s="1" t="s">
        <v>3394</v>
      </c>
      <c r="J147" s="1" t="s">
        <v>3394</v>
      </c>
      <c r="K147" s="1" t="s">
        <v>1769</v>
      </c>
      <c r="L147" s="1" t="s">
        <v>1769</v>
      </c>
    </row>
    <row r="148" spans="1:12" x14ac:dyDescent="0.2">
      <c r="A148" s="1" t="s">
        <v>2711</v>
      </c>
      <c r="B148" s="1" t="s">
        <v>41</v>
      </c>
      <c r="C148" s="1" t="s">
        <v>3385</v>
      </c>
      <c r="D148" s="1" t="s">
        <v>2712</v>
      </c>
      <c r="E148" s="1" t="s">
        <v>2713</v>
      </c>
      <c r="F148" s="1" t="s">
        <v>1289</v>
      </c>
      <c r="I148" s="1" t="s">
        <v>3394</v>
      </c>
      <c r="J148" s="1" t="s">
        <v>3393</v>
      </c>
    </row>
    <row r="149" spans="1:12" x14ac:dyDescent="0.2">
      <c r="A149" s="1" t="s">
        <v>2714</v>
      </c>
      <c r="B149" s="1" t="s">
        <v>8</v>
      </c>
      <c r="C149" s="1" t="s">
        <v>3385</v>
      </c>
      <c r="D149" s="1" t="s">
        <v>2715</v>
      </c>
      <c r="E149" s="1" t="s">
        <v>2716</v>
      </c>
      <c r="F149" s="1" t="s">
        <v>1289</v>
      </c>
      <c r="I149" s="1" t="s">
        <v>3394</v>
      </c>
      <c r="J149" s="1" t="s">
        <v>3393</v>
      </c>
    </row>
    <row r="150" spans="1:12" x14ac:dyDescent="0.2">
      <c r="A150" s="1" t="s">
        <v>2807</v>
      </c>
      <c r="B150" s="1" t="s">
        <v>41</v>
      </c>
      <c r="C150" s="1" t="s">
        <v>3385</v>
      </c>
      <c r="D150" s="1" t="s">
        <v>2808</v>
      </c>
      <c r="E150" s="12" t="s">
        <v>2809</v>
      </c>
      <c r="F150" s="1" t="s">
        <v>1289</v>
      </c>
      <c r="I150" s="1" t="s">
        <v>3394</v>
      </c>
      <c r="J150" s="1" t="s">
        <v>3402</v>
      </c>
    </row>
    <row r="151" spans="1:12" x14ac:dyDescent="0.2">
      <c r="A151" s="1" t="s">
        <v>2810</v>
      </c>
      <c r="B151" s="1" t="s">
        <v>41</v>
      </c>
      <c r="C151" s="1" t="s">
        <v>3385</v>
      </c>
      <c r="D151" s="1" t="s">
        <v>2811</v>
      </c>
      <c r="E151" s="1" t="s">
        <v>2812</v>
      </c>
      <c r="F151" s="1" t="s">
        <v>1289</v>
      </c>
      <c r="I151" s="1" t="s">
        <v>3393</v>
      </c>
      <c r="J151" s="1" t="s">
        <v>3393</v>
      </c>
    </row>
    <row r="152" spans="1:12" x14ac:dyDescent="0.2">
      <c r="A152" s="1" t="s">
        <v>2816</v>
      </c>
      <c r="B152" s="1" t="s">
        <v>41</v>
      </c>
      <c r="C152" s="1" t="s">
        <v>3385</v>
      </c>
      <c r="D152" s="1" t="s">
        <v>2817</v>
      </c>
      <c r="E152" s="1" t="s">
        <v>2818</v>
      </c>
      <c r="F152" s="1" t="s">
        <v>1289</v>
      </c>
      <c r="I152" s="1" t="s">
        <v>3394</v>
      </c>
      <c r="J152" s="1" t="s">
        <v>3393</v>
      </c>
    </row>
    <row r="153" spans="1:12" x14ac:dyDescent="0.2">
      <c r="A153" s="1" t="s">
        <v>2819</v>
      </c>
      <c r="B153" s="1" t="s">
        <v>8</v>
      </c>
      <c r="C153" s="1" t="s">
        <v>3385</v>
      </c>
      <c r="D153" s="1" t="s">
        <v>2820</v>
      </c>
      <c r="E153" s="1" t="s">
        <v>2821</v>
      </c>
      <c r="F153" s="1" t="s">
        <v>1289</v>
      </c>
      <c r="I153" s="1" t="s">
        <v>3394</v>
      </c>
      <c r="J153" s="1" t="s">
        <v>3393</v>
      </c>
    </row>
    <row r="154" spans="1:12" x14ac:dyDescent="0.2">
      <c r="A154" s="1" t="s">
        <v>2887</v>
      </c>
      <c r="B154" s="1" t="s">
        <v>41</v>
      </c>
      <c r="C154" s="1" t="s">
        <v>3385</v>
      </c>
      <c r="D154" s="1" t="s">
        <v>2888</v>
      </c>
      <c r="E154" s="1" t="s">
        <v>2889</v>
      </c>
      <c r="F154" s="1" t="s">
        <v>1289</v>
      </c>
      <c r="I154" s="1" t="s">
        <v>3394</v>
      </c>
      <c r="J154" s="1" t="s">
        <v>3393</v>
      </c>
    </row>
    <row r="155" spans="1:12" x14ac:dyDescent="0.2">
      <c r="A155" s="1" t="s">
        <v>2416</v>
      </c>
      <c r="B155" s="1" t="s">
        <v>8</v>
      </c>
      <c r="C155" s="1" t="s">
        <v>3385</v>
      </c>
      <c r="D155" s="1" t="s">
        <v>2417</v>
      </c>
      <c r="E155" s="1" t="s">
        <v>2418</v>
      </c>
      <c r="F155" s="1" t="s">
        <v>1293</v>
      </c>
      <c r="G155" s="1" t="s">
        <v>2419</v>
      </c>
      <c r="H155" s="1" t="s">
        <v>2419</v>
      </c>
      <c r="I155" s="1" t="s">
        <v>3394</v>
      </c>
      <c r="J155" s="1" t="s">
        <v>3394</v>
      </c>
      <c r="K155" s="1" t="s">
        <v>1769</v>
      </c>
      <c r="L155" s="1" t="s">
        <v>1769</v>
      </c>
    </row>
    <row r="156" spans="1:12" x14ac:dyDescent="0.2">
      <c r="A156" s="1" t="s">
        <v>66</v>
      </c>
      <c r="B156" s="1" t="s">
        <v>47</v>
      </c>
      <c r="C156" s="1" t="s">
        <v>3385</v>
      </c>
      <c r="E156" s="1" t="s">
        <v>67</v>
      </c>
      <c r="F156" s="1" t="s">
        <v>49</v>
      </c>
      <c r="I156" s="1" t="s">
        <v>3394</v>
      </c>
      <c r="J156" s="1" t="s">
        <v>3393</v>
      </c>
    </row>
    <row r="157" spans="1:12" x14ac:dyDescent="0.2">
      <c r="A157" s="1" t="s">
        <v>89</v>
      </c>
      <c r="B157" s="1" t="s">
        <v>8</v>
      </c>
      <c r="C157" s="1" t="s">
        <v>3385</v>
      </c>
      <c r="E157" s="12" t="s">
        <v>90</v>
      </c>
      <c r="F157" s="1" t="s">
        <v>86</v>
      </c>
      <c r="I157" s="1" t="s">
        <v>3394</v>
      </c>
      <c r="J157" s="1" t="s">
        <v>3402</v>
      </c>
    </row>
    <row r="158" spans="1:12" x14ac:dyDescent="0.2">
      <c r="A158" s="1" t="s">
        <v>1673</v>
      </c>
      <c r="B158" s="1" t="s">
        <v>8</v>
      </c>
      <c r="C158" s="1" t="s">
        <v>3385</v>
      </c>
      <c r="D158" s="1" t="s">
        <v>1674</v>
      </c>
      <c r="E158" s="1" t="s">
        <v>1675</v>
      </c>
      <c r="F158" s="1" t="s">
        <v>1290</v>
      </c>
      <c r="I158" s="1" t="s">
        <v>3394</v>
      </c>
      <c r="J158" s="1" t="s">
        <v>3393</v>
      </c>
    </row>
    <row r="159" spans="1:12" x14ac:dyDescent="0.2">
      <c r="A159" s="1" t="s">
        <v>1708</v>
      </c>
      <c r="B159" s="1" t="s">
        <v>929</v>
      </c>
      <c r="C159" s="1" t="s">
        <v>3385</v>
      </c>
      <c r="D159" s="1" t="s">
        <v>1709</v>
      </c>
      <c r="E159" s="1" t="s">
        <v>1710</v>
      </c>
      <c r="F159" s="1" t="s">
        <v>1290</v>
      </c>
      <c r="I159" s="1" t="s">
        <v>3394</v>
      </c>
      <c r="J159" s="1" t="s">
        <v>3393</v>
      </c>
    </row>
    <row r="160" spans="1:12" x14ac:dyDescent="0.2">
      <c r="A160" s="1" t="s">
        <v>1711</v>
      </c>
      <c r="B160" s="1" t="s">
        <v>41</v>
      </c>
      <c r="C160" s="1" t="s">
        <v>3385</v>
      </c>
      <c r="D160" s="1" t="s">
        <v>1712</v>
      </c>
      <c r="E160" s="1" t="s">
        <v>1713</v>
      </c>
      <c r="F160" s="1" t="s">
        <v>1290</v>
      </c>
      <c r="I160" s="1" t="s">
        <v>3394</v>
      </c>
      <c r="J160" s="1" t="s">
        <v>3393</v>
      </c>
    </row>
    <row r="161" spans="1:10" x14ac:dyDescent="0.2">
      <c r="A161" s="1" t="s">
        <v>1820</v>
      </c>
      <c r="B161" s="1" t="s">
        <v>1291</v>
      </c>
      <c r="C161" s="1" t="s">
        <v>3385</v>
      </c>
      <c r="D161" s="1" t="s">
        <v>1821</v>
      </c>
      <c r="E161" s="12" t="s">
        <v>1822</v>
      </c>
      <c r="F161" s="1" t="s">
        <v>1290</v>
      </c>
      <c r="I161" s="1" t="s">
        <v>3394</v>
      </c>
      <c r="J161" s="1" t="s">
        <v>3402</v>
      </c>
    </row>
    <row r="162" spans="1:10" x14ac:dyDescent="0.2">
      <c r="A162" s="1" t="s">
        <v>1823</v>
      </c>
      <c r="B162" s="1" t="s">
        <v>1266</v>
      </c>
      <c r="C162" s="1" t="s">
        <v>3385</v>
      </c>
      <c r="D162" s="1" t="s">
        <v>1824</v>
      </c>
      <c r="E162" s="1" t="s">
        <v>1825</v>
      </c>
      <c r="F162" s="1" t="s">
        <v>1290</v>
      </c>
      <c r="I162" s="1" t="s">
        <v>3394</v>
      </c>
      <c r="J162" s="1" t="s">
        <v>3393</v>
      </c>
    </row>
    <row r="163" spans="1:10" x14ac:dyDescent="0.2">
      <c r="A163" s="1" t="s">
        <v>1915</v>
      </c>
      <c r="B163" s="1" t="s">
        <v>1266</v>
      </c>
      <c r="C163" s="1" t="s">
        <v>3385</v>
      </c>
      <c r="D163" s="1" t="s">
        <v>1916</v>
      </c>
      <c r="E163" s="1" t="s">
        <v>1917</v>
      </c>
      <c r="F163" s="1" t="s">
        <v>1290</v>
      </c>
      <c r="I163" s="1" t="s">
        <v>3394</v>
      </c>
      <c r="J163" s="1" t="s">
        <v>3393</v>
      </c>
    </row>
    <row r="164" spans="1:10" x14ac:dyDescent="0.2">
      <c r="A164" s="1" t="s">
        <v>2394</v>
      </c>
      <c r="B164" s="1" t="s">
        <v>1266</v>
      </c>
      <c r="C164" s="1" t="s">
        <v>3385</v>
      </c>
      <c r="D164" s="1" t="s">
        <v>2395</v>
      </c>
      <c r="E164" s="1" t="s">
        <v>2396</v>
      </c>
      <c r="F164" s="1" t="s">
        <v>1290</v>
      </c>
      <c r="I164" s="1" t="s">
        <v>3394</v>
      </c>
      <c r="J164" s="1" t="s">
        <v>3393</v>
      </c>
    </row>
    <row r="165" spans="1:10" x14ac:dyDescent="0.2">
      <c r="A165" s="1" t="s">
        <v>2440</v>
      </c>
      <c r="B165" s="1" t="s">
        <v>1314</v>
      </c>
      <c r="C165" s="1" t="s">
        <v>3385</v>
      </c>
      <c r="D165" s="1" t="s">
        <v>2441</v>
      </c>
      <c r="E165" s="1" t="s">
        <v>2442</v>
      </c>
      <c r="F165" s="1" t="s">
        <v>1290</v>
      </c>
      <c r="I165" s="1" t="s">
        <v>3394</v>
      </c>
      <c r="J165" s="1" t="s">
        <v>3393</v>
      </c>
    </row>
    <row r="166" spans="1:10" x14ac:dyDescent="0.2">
      <c r="A166" s="1" t="s">
        <v>2470</v>
      </c>
      <c r="B166" s="1" t="s">
        <v>1266</v>
      </c>
      <c r="C166" s="1" t="s">
        <v>3385</v>
      </c>
      <c r="D166" s="1" t="s">
        <v>2471</v>
      </c>
      <c r="E166" s="1" t="s">
        <v>2472</v>
      </c>
      <c r="F166" s="1" t="s">
        <v>1290</v>
      </c>
      <c r="I166" s="1" t="s">
        <v>3394</v>
      </c>
      <c r="J166" s="1" t="s">
        <v>3393</v>
      </c>
    </row>
    <row r="167" spans="1:10" x14ac:dyDescent="0.2">
      <c r="A167" s="1" t="s">
        <v>2473</v>
      </c>
      <c r="B167" s="1" t="s">
        <v>929</v>
      </c>
      <c r="C167" s="1" t="s">
        <v>3385</v>
      </c>
      <c r="D167" s="1" t="s">
        <v>2474</v>
      </c>
      <c r="E167" s="12" t="s">
        <v>2475</v>
      </c>
      <c r="F167" s="1" t="s">
        <v>1290</v>
      </c>
      <c r="I167" s="1" t="s">
        <v>3394</v>
      </c>
      <c r="J167" s="1" t="s">
        <v>3402</v>
      </c>
    </row>
    <row r="168" spans="1:10" x14ac:dyDescent="0.2">
      <c r="A168" s="1" t="s">
        <v>2592</v>
      </c>
      <c r="B168" s="1" t="s">
        <v>1297</v>
      </c>
      <c r="C168" s="1" t="s">
        <v>3385</v>
      </c>
      <c r="D168" s="1" t="s">
        <v>2593</v>
      </c>
      <c r="E168" s="1" t="s">
        <v>2594</v>
      </c>
      <c r="F168" s="1" t="s">
        <v>1290</v>
      </c>
      <c r="I168" s="1" t="s">
        <v>3394</v>
      </c>
      <c r="J168" s="1" t="s">
        <v>3393</v>
      </c>
    </row>
    <row r="169" spans="1:10" x14ac:dyDescent="0.2">
      <c r="A169" s="1" t="s">
        <v>2621</v>
      </c>
      <c r="B169" s="1" t="s">
        <v>1291</v>
      </c>
      <c r="C169" s="1" t="s">
        <v>3385</v>
      </c>
      <c r="D169" s="1" t="s">
        <v>2622</v>
      </c>
      <c r="E169" s="12" t="s">
        <v>2623</v>
      </c>
      <c r="F169" s="1" t="s">
        <v>1290</v>
      </c>
      <c r="I169" s="1" t="s">
        <v>3394</v>
      </c>
      <c r="J169" s="1" t="s">
        <v>3402</v>
      </c>
    </row>
    <row r="170" spans="1:10" x14ac:dyDescent="0.2">
      <c r="A170" s="1" t="s">
        <v>2684</v>
      </c>
      <c r="B170" s="1" t="s">
        <v>1314</v>
      </c>
      <c r="C170" s="1" t="s">
        <v>3385</v>
      </c>
      <c r="D170" s="1" t="s">
        <v>2685</v>
      </c>
      <c r="E170" s="12" t="s">
        <v>2686</v>
      </c>
      <c r="F170" s="1" t="s">
        <v>1290</v>
      </c>
      <c r="I170" s="1" t="s">
        <v>3394</v>
      </c>
      <c r="J170" s="1" t="s">
        <v>3402</v>
      </c>
    </row>
    <row r="171" spans="1:10" x14ac:dyDescent="0.2">
      <c r="A171" s="1" t="s">
        <v>2687</v>
      </c>
      <c r="B171" s="1" t="s">
        <v>1266</v>
      </c>
      <c r="C171" s="1" t="s">
        <v>3385</v>
      </c>
      <c r="D171" s="1" t="s">
        <v>2688</v>
      </c>
      <c r="E171" s="1" t="s">
        <v>2689</v>
      </c>
      <c r="F171" s="1" t="s">
        <v>1290</v>
      </c>
      <c r="I171" s="1" t="s">
        <v>3394</v>
      </c>
      <c r="J171" s="1" t="s">
        <v>3393</v>
      </c>
    </row>
    <row r="172" spans="1:10" x14ac:dyDescent="0.2">
      <c r="A172" s="1" t="s">
        <v>2699</v>
      </c>
      <c r="B172" s="1" t="s">
        <v>1314</v>
      </c>
      <c r="C172" s="1" t="s">
        <v>3385</v>
      </c>
      <c r="D172" s="1" t="s">
        <v>2700</v>
      </c>
      <c r="E172" s="12" t="s">
        <v>2701</v>
      </c>
      <c r="F172" s="1" t="s">
        <v>1290</v>
      </c>
      <c r="I172" s="1" t="s">
        <v>3394</v>
      </c>
      <c r="J172" s="1" t="s">
        <v>3402</v>
      </c>
    </row>
    <row r="173" spans="1:10" x14ac:dyDescent="0.2">
      <c r="A173" s="1" t="s">
        <v>2765</v>
      </c>
      <c r="B173" s="1" t="s">
        <v>1266</v>
      </c>
      <c r="C173" s="1" t="s">
        <v>3385</v>
      </c>
      <c r="D173" s="1" t="s">
        <v>2766</v>
      </c>
      <c r="E173" s="12" t="s">
        <v>2767</v>
      </c>
      <c r="F173" s="1" t="s">
        <v>1290</v>
      </c>
      <c r="I173" s="1" t="s">
        <v>3394</v>
      </c>
      <c r="J173" s="1" t="s">
        <v>3402</v>
      </c>
    </row>
    <row r="174" spans="1:10" x14ac:dyDescent="0.2">
      <c r="A174" s="1" t="s">
        <v>2771</v>
      </c>
      <c r="B174" s="1" t="s">
        <v>1266</v>
      </c>
      <c r="C174" s="1" t="s">
        <v>3385</v>
      </c>
      <c r="D174" s="1" t="s">
        <v>2772</v>
      </c>
      <c r="E174" s="12" t="s">
        <v>2773</v>
      </c>
      <c r="F174" s="1" t="s">
        <v>1290</v>
      </c>
      <c r="I174" s="1" t="s">
        <v>3394</v>
      </c>
      <c r="J174" s="1" t="s">
        <v>3402</v>
      </c>
    </row>
    <row r="175" spans="1:10" x14ac:dyDescent="0.2">
      <c r="A175" s="1" t="s">
        <v>2777</v>
      </c>
      <c r="B175" s="1" t="s">
        <v>1266</v>
      </c>
      <c r="C175" s="1" t="s">
        <v>3385</v>
      </c>
      <c r="D175" s="1" t="s">
        <v>2778</v>
      </c>
      <c r="E175" s="12" t="s">
        <v>2779</v>
      </c>
      <c r="F175" s="1" t="s">
        <v>1290</v>
      </c>
      <c r="I175" s="1" t="s">
        <v>3394</v>
      </c>
      <c r="J175" s="1" t="s">
        <v>3402</v>
      </c>
    </row>
    <row r="176" spans="1:10" x14ac:dyDescent="0.2">
      <c r="A176" s="1" t="s">
        <v>2783</v>
      </c>
      <c r="B176" s="1" t="s">
        <v>1266</v>
      </c>
      <c r="C176" s="1" t="s">
        <v>3385</v>
      </c>
      <c r="D176" s="1" t="s">
        <v>2784</v>
      </c>
      <c r="E176" s="12" t="s">
        <v>2785</v>
      </c>
      <c r="F176" s="1" t="s">
        <v>1290</v>
      </c>
      <c r="I176" s="1" t="s">
        <v>3394</v>
      </c>
      <c r="J176" s="1" t="s">
        <v>3402</v>
      </c>
    </row>
    <row r="177" spans="1:12" x14ac:dyDescent="0.2">
      <c r="A177" s="1" t="s">
        <v>1671</v>
      </c>
      <c r="B177" s="1" t="s">
        <v>8</v>
      </c>
      <c r="C177" s="1" t="s">
        <v>3385</v>
      </c>
      <c r="D177" s="1" t="s">
        <v>1672</v>
      </c>
      <c r="E177" s="1" t="s">
        <v>1389</v>
      </c>
      <c r="F177" s="1" t="s">
        <v>1293</v>
      </c>
      <c r="I177" s="1" t="s">
        <v>3393</v>
      </c>
      <c r="J177" s="1" t="s">
        <v>3393</v>
      </c>
    </row>
    <row r="178" spans="1:12" x14ac:dyDescent="0.2">
      <c r="A178" s="1" t="s">
        <v>1826</v>
      </c>
      <c r="B178" s="1" t="s">
        <v>8</v>
      </c>
      <c r="C178" s="1" t="s">
        <v>3385</v>
      </c>
      <c r="D178" s="1" t="s">
        <v>1827</v>
      </c>
      <c r="E178" s="1" t="s">
        <v>1828</v>
      </c>
      <c r="F178" s="1" t="s">
        <v>1293</v>
      </c>
      <c r="I178" s="1" t="s">
        <v>3393</v>
      </c>
      <c r="J178" s="1" t="s">
        <v>3393</v>
      </c>
    </row>
    <row r="179" spans="1:12" x14ac:dyDescent="0.2">
      <c r="A179" s="1" t="s">
        <v>2690</v>
      </c>
      <c r="B179" s="1" t="s">
        <v>41</v>
      </c>
      <c r="C179" s="1" t="s">
        <v>3385</v>
      </c>
      <c r="D179" s="1" t="s">
        <v>2691</v>
      </c>
      <c r="E179" s="1" t="s">
        <v>2692</v>
      </c>
      <c r="F179" s="1" t="s">
        <v>1289</v>
      </c>
      <c r="G179" s="1" t="s">
        <v>73</v>
      </c>
      <c r="H179" s="1" t="s">
        <v>73</v>
      </c>
      <c r="I179" s="1" t="s">
        <v>3394</v>
      </c>
      <c r="J179" s="1" t="s">
        <v>3394</v>
      </c>
      <c r="K179" s="1" t="s">
        <v>1280</v>
      </c>
      <c r="L179" s="1" t="s">
        <v>1280</v>
      </c>
    </row>
    <row r="180" spans="1:12" x14ac:dyDescent="0.2">
      <c r="A180" s="1" t="s">
        <v>1900</v>
      </c>
      <c r="B180" s="1" t="s">
        <v>1291</v>
      </c>
      <c r="C180" s="1" t="s">
        <v>3385</v>
      </c>
      <c r="D180" s="1" t="s">
        <v>1901</v>
      </c>
      <c r="E180" s="1" t="s">
        <v>1902</v>
      </c>
      <c r="F180" s="1" t="s">
        <v>1293</v>
      </c>
      <c r="I180" s="1" t="s">
        <v>3393</v>
      </c>
      <c r="J180" s="1" t="s">
        <v>3393</v>
      </c>
    </row>
    <row r="181" spans="1:12" x14ac:dyDescent="0.2">
      <c r="A181" s="1" t="s">
        <v>2638</v>
      </c>
      <c r="B181" s="1" t="s">
        <v>8</v>
      </c>
      <c r="C181" s="1" t="s">
        <v>3385</v>
      </c>
      <c r="D181" s="1" t="s">
        <v>2639</v>
      </c>
      <c r="E181" s="1" t="s">
        <v>2640</v>
      </c>
      <c r="F181" s="1" t="s">
        <v>1293</v>
      </c>
      <c r="I181" s="1" t="s">
        <v>3393</v>
      </c>
      <c r="J181" s="1" t="s">
        <v>3393</v>
      </c>
    </row>
    <row r="182" spans="1:12" x14ac:dyDescent="0.2">
      <c r="A182" s="1" t="s">
        <v>2644</v>
      </c>
      <c r="B182" s="1" t="s">
        <v>8</v>
      </c>
      <c r="C182" s="1" t="s">
        <v>3385</v>
      </c>
      <c r="D182" s="1" t="s">
        <v>2645</v>
      </c>
      <c r="E182" s="1" t="s">
        <v>2646</v>
      </c>
      <c r="F182" s="1" t="s">
        <v>1293</v>
      </c>
      <c r="I182" s="1" t="s">
        <v>3393</v>
      </c>
      <c r="J182" s="1" t="s">
        <v>3393</v>
      </c>
    </row>
    <row r="183" spans="1:12" x14ac:dyDescent="0.2">
      <c r="A183" s="1" t="s">
        <v>1141</v>
      </c>
      <c r="B183" s="1" t="s">
        <v>41</v>
      </c>
      <c r="C183" s="1" t="s">
        <v>3385</v>
      </c>
      <c r="E183" s="1" t="s">
        <v>1142</v>
      </c>
      <c r="F183" s="1" t="s">
        <v>43</v>
      </c>
      <c r="I183" s="1" t="s">
        <v>3394</v>
      </c>
      <c r="J183" s="1" t="s">
        <v>3393</v>
      </c>
    </row>
    <row r="184" spans="1:12" x14ac:dyDescent="0.2">
      <c r="A184" s="1" t="s">
        <v>1210</v>
      </c>
      <c r="B184" s="1" t="s">
        <v>8</v>
      </c>
      <c r="C184" s="1" t="s">
        <v>3385</v>
      </c>
      <c r="E184" s="1" t="s">
        <v>1211</v>
      </c>
      <c r="F184" s="1" t="s">
        <v>43</v>
      </c>
      <c r="I184" s="1" t="s">
        <v>3393</v>
      </c>
      <c r="J184" s="1" t="s">
        <v>3393</v>
      </c>
    </row>
    <row r="185" spans="1:12" x14ac:dyDescent="0.2">
      <c r="A185" s="1" t="s">
        <v>1240</v>
      </c>
      <c r="B185" s="1" t="s">
        <v>8</v>
      </c>
      <c r="C185" s="1" t="s">
        <v>3385</v>
      </c>
      <c r="E185" s="1" t="s">
        <v>1241</v>
      </c>
      <c r="F185" s="1" t="s">
        <v>43</v>
      </c>
      <c r="I185" s="1" t="s">
        <v>3394</v>
      </c>
      <c r="J185" s="1" t="s">
        <v>3393</v>
      </c>
    </row>
    <row r="186" spans="1:12" x14ac:dyDescent="0.2">
      <c r="A186" s="1" t="s">
        <v>1246</v>
      </c>
      <c r="B186" s="1" t="s">
        <v>8</v>
      </c>
      <c r="C186" s="1" t="s">
        <v>3385</v>
      </c>
      <c r="E186" s="12" t="s">
        <v>1247</v>
      </c>
      <c r="F186" s="1" t="s">
        <v>43</v>
      </c>
      <c r="I186" s="1" t="s">
        <v>3394</v>
      </c>
      <c r="J186" s="1" t="s">
        <v>3402</v>
      </c>
    </row>
    <row r="187" spans="1:12" x14ac:dyDescent="0.2">
      <c r="A187" s="1" t="s">
        <v>1702</v>
      </c>
      <c r="B187" s="1" t="s">
        <v>929</v>
      </c>
      <c r="C187" s="1" t="s">
        <v>3385</v>
      </c>
      <c r="D187" s="1" t="s">
        <v>1703</v>
      </c>
      <c r="E187" s="1" t="s">
        <v>1704</v>
      </c>
      <c r="F187" s="1" t="s">
        <v>43</v>
      </c>
      <c r="I187" s="1" t="s">
        <v>3394</v>
      </c>
      <c r="J187" s="1" t="s">
        <v>3393</v>
      </c>
    </row>
    <row r="188" spans="1:12" x14ac:dyDescent="0.2">
      <c r="A188" s="1" t="s">
        <v>1705</v>
      </c>
      <c r="B188" s="1" t="s">
        <v>41</v>
      </c>
      <c r="C188" s="1" t="s">
        <v>3385</v>
      </c>
      <c r="D188" s="1" t="s">
        <v>1706</v>
      </c>
      <c r="E188" s="1" t="s">
        <v>1707</v>
      </c>
      <c r="F188" s="1" t="s">
        <v>43</v>
      </c>
      <c r="I188" s="1" t="s">
        <v>3394</v>
      </c>
      <c r="J188" s="1" t="s">
        <v>3393</v>
      </c>
    </row>
    <row r="189" spans="1:12" x14ac:dyDescent="0.2">
      <c r="A189" s="1" t="s">
        <v>1912</v>
      </c>
      <c r="B189" s="1" t="s">
        <v>1291</v>
      </c>
      <c r="C189" s="1" t="s">
        <v>3385</v>
      </c>
      <c r="D189" s="1" t="s">
        <v>1913</v>
      </c>
      <c r="E189" s="1" t="s">
        <v>1914</v>
      </c>
      <c r="F189" s="1" t="s">
        <v>43</v>
      </c>
      <c r="I189" s="1" t="s">
        <v>3394</v>
      </c>
      <c r="J189" s="1" t="s">
        <v>3393</v>
      </c>
    </row>
    <row r="190" spans="1:12" x14ac:dyDescent="0.2">
      <c r="A190" s="1" t="s">
        <v>2449</v>
      </c>
      <c r="B190" s="1" t="s">
        <v>929</v>
      </c>
      <c r="C190" s="1" t="s">
        <v>3385</v>
      </c>
      <c r="D190" s="1" t="s">
        <v>2450</v>
      </c>
      <c r="E190" s="1" t="s">
        <v>2451</v>
      </c>
      <c r="F190" s="1" t="s">
        <v>43</v>
      </c>
      <c r="I190" s="1" t="s">
        <v>3394</v>
      </c>
      <c r="J190" s="1" t="s">
        <v>3393</v>
      </c>
    </row>
    <row r="191" spans="1:12" x14ac:dyDescent="0.2">
      <c r="A191" s="1" t="s">
        <v>2476</v>
      </c>
      <c r="B191" s="1" t="s">
        <v>1291</v>
      </c>
      <c r="C191" s="1" t="s">
        <v>3385</v>
      </c>
      <c r="D191" s="1" t="s">
        <v>2477</v>
      </c>
      <c r="E191" s="1" t="s">
        <v>2478</v>
      </c>
      <c r="F191" s="1" t="s">
        <v>43</v>
      </c>
      <c r="I191" s="1" t="s">
        <v>3393</v>
      </c>
      <c r="J191" s="1" t="s">
        <v>3393</v>
      </c>
    </row>
    <row r="192" spans="1:12" x14ac:dyDescent="0.2">
      <c r="A192" s="1" t="s">
        <v>2678</v>
      </c>
      <c r="B192" s="1" t="s">
        <v>1291</v>
      </c>
      <c r="C192" s="1" t="s">
        <v>3385</v>
      </c>
      <c r="D192" s="1" t="s">
        <v>2679</v>
      </c>
      <c r="E192" s="1" t="s">
        <v>2680</v>
      </c>
      <c r="F192" s="1" t="s">
        <v>43</v>
      </c>
      <c r="I192" s="1" t="s">
        <v>3394</v>
      </c>
      <c r="J192" s="1" t="s">
        <v>3393</v>
      </c>
    </row>
    <row r="193" spans="1:12" x14ac:dyDescent="0.2">
      <c r="A193" s="1" t="s">
        <v>2681</v>
      </c>
      <c r="B193" s="1" t="s">
        <v>1291</v>
      </c>
      <c r="C193" s="1" t="s">
        <v>3385</v>
      </c>
      <c r="D193" s="1" t="s">
        <v>2682</v>
      </c>
      <c r="E193" s="1" t="s">
        <v>2683</v>
      </c>
      <c r="F193" s="1" t="s">
        <v>43</v>
      </c>
      <c r="I193" s="1" t="s">
        <v>3394</v>
      </c>
      <c r="J193" s="1" t="s">
        <v>3393</v>
      </c>
    </row>
    <row r="194" spans="1:12" x14ac:dyDescent="0.2">
      <c r="A194" s="1" t="s">
        <v>2762</v>
      </c>
      <c r="B194" s="1" t="s">
        <v>929</v>
      </c>
      <c r="C194" s="1" t="s">
        <v>3385</v>
      </c>
      <c r="D194" s="1" t="s">
        <v>2763</v>
      </c>
      <c r="E194" s="1" t="s">
        <v>2764</v>
      </c>
      <c r="F194" s="1" t="s">
        <v>43</v>
      </c>
      <c r="I194" s="1" t="s">
        <v>3393</v>
      </c>
      <c r="J194" s="1" t="s">
        <v>3393</v>
      </c>
    </row>
    <row r="195" spans="1:12" x14ac:dyDescent="0.2">
      <c r="A195" s="1" t="s">
        <v>2813</v>
      </c>
      <c r="B195" s="1" t="s">
        <v>929</v>
      </c>
      <c r="C195" s="1" t="s">
        <v>3385</v>
      </c>
      <c r="D195" s="1" t="s">
        <v>2814</v>
      </c>
      <c r="E195" s="1" t="s">
        <v>2815</v>
      </c>
      <c r="F195" s="1" t="s">
        <v>43</v>
      </c>
      <c r="I195" s="1" t="s">
        <v>3394</v>
      </c>
      <c r="J195" s="1" t="s">
        <v>3393</v>
      </c>
    </row>
    <row r="196" spans="1:12" x14ac:dyDescent="0.2">
      <c r="A196" s="1" t="s">
        <v>2890</v>
      </c>
      <c r="B196" s="1" t="s">
        <v>929</v>
      </c>
      <c r="C196" s="1" t="s">
        <v>3385</v>
      </c>
      <c r="D196" s="1" t="s">
        <v>2891</v>
      </c>
      <c r="E196" s="1" t="s">
        <v>2892</v>
      </c>
      <c r="F196" s="1" t="s">
        <v>43</v>
      </c>
      <c r="I196" s="1" t="s">
        <v>3394</v>
      </c>
      <c r="J196" s="1" t="s">
        <v>3393</v>
      </c>
    </row>
    <row r="197" spans="1:12" x14ac:dyDescent="0.2">
      <c r="A197" s="1" t="s">
        <v>101</v>
      </c>
      <c r="B197" s="1" t="s">
        <v>102</v>
      </c>
      <c r="C197" s="1" t="s">
        <v>3385</v>
      </c>
      <c r="D197" s="1" t="s">
        <v>103</v>
      </c>
      <c r="E197" s="12" t="s">
        <v>104</v>
      </c>
      <c r="F197" s="1" t="s">
        <v>105</v>
      </c>
      <c r="I197" s="1" t="s">
        <v>3394</v>
      </c>
      <c r="J197" s="1" t="s">
        <v>3402</v>
      </c>
    </row>
    <row r="198" spans="1:12" x14ac:dyDescent="0.2">
      <c r="A198" s="1" t="s">
        <v>1668</v>
      </c>
      <c r="B198" s="1" t="s">
        <v>8</v>
      </c>
      <c r="C198" s="1" t="s">
        <v>3385</v>
      </c>
      <c r="D198" s="1" t="s">
        <v>1669</v>
      </c>
      <c r="E198" s="18" t="s">
        <v>1670</v>
      </c>
      <c r="F198" s="1" t="s">
        <v>1287</v>
      </c>
      <c r="I198" s="1" t="s">
        <v>3394</v>
      </c>
      <c r="J198" s="1" t="s">
        <v>3394</v>
      </c>
      <c r="K198" s="3">
        <v>46237</v>
      </c>
    </row>
    <row r="199" spans="1:12" x14ac:dyDescent="0.2">
      <c r="A199" s="1" t="s">
        <v>2382</v>
      </c>
      <c r="B199" s="1" t="s">
        <v>8</v>
      </c>
      <c r="C199" s="1" t="s">
        <v>3385</v>
      </c>
      <c r="D199" s="1" t="s">
        <v>2383</v>
      </c>
      <c r="E199" s="18" t="s">
        <v>2384</v>
      </c>
      <c r="F199" s="1" t="s">
        <v>1287</v>
      </c>
      <c r="I199" s="1" t="s">
        <v>3394</v>
      </c>
      <c r="J199" s="1" t="s">
        <v>3394</v>
      </c>
      <c r="K199" s="3">
        <v>46237</v>
      </c>
    </row>
    <row r="200" spans="1:12" x14ac:dyDescent="0.2">
      <c r="A200" s="1" t="s">
        <v>2822</v>
      </c>
      <c r="B200" s="1" t="s">
        <v>8</v>
      </c>
      <c r="C200" s="1" t="s">
        <v>3385</v>
      </c>
      <c r="D200" s="1" t="s">
        <v>2823</v>
      </c>
      <c r="E200" s="18" t="s">
        <v>2824</v>
      </c>
      <c r="F200" s="1" t="s">
        <v>1287</v>
      </c>
      <c r="I200" s="1" t="s">
        <v>3394</v>
      </c>
      <c r="J200" s="1" t="s">
        <v>3393</v>
      </c>
    </row>
    <row r="201" spans="1:12" x14ac:dyDescent="0.2">
      <c r="A201" s="1" t="s">
        <v>3138</v>
      </c>
      <c r="B201" s="1" t="s">
        <v>8</v>
      </c>
      <c r="C201" s="1" t="s">
        <v>3385</v>
      </c>
      <c r="D201" s="1" t="s">
        <v>3139</v>
      </c>
      <c r="E201" s="1" t="s">
        <v>2701</v>
      </c>
      <c r="F201" s="1" t="s">
        <v>291</v>
      </c>
      <c r="G201" s="1" t="s">
        <v>163</v>
      </c>
      <c r="H201" s="1" t="s">
        <v>163</v>
      </c>
      <c r="I201" s="1" t="s">
        <v>3394</v>
      </c>
      <c r="J201" s="1" t="s">
        <v>3394</v>
      </c>
      <c r="K201" s="1" t="s">
        <v>1294</v>
      </c>
      <c r="L201" s="1" t="s">
        <v>1294</v>
      </c>
    </row>
    <row r="202" spans="1:12" x14ac:dyDescent="0.2">
      <c r="A202" s="1" t="s">
        <v>3140</v>
      </c>
      <c r="B202" s="1" t="s">
        <v>8</v>
      </c>
      <c r="C202" s="1" t="s">
        <v>3385</v>
      </c>
      <c r="D202" s="1" t="s">
        <v>3141</v>
      </c>
      <c r="E202" s="1" t="s">
        <v>3142</v>
      </c>
      <c r="F202" s="1" t="s">
        <v>291</v>
      </c>
      <c r="I202" s="1" t="s">
        <v>3394</v>
      </c>
      <c r="J202" s="1" t="s">
        <v>3393</v>
      </c>
    </row>
    <row r="203" spans="1:12" x14ac:dyDescent="0.2">
      <c r="A203" s="1" t="s">
        <v>3151</v>
      </c>
      <c r="B203" s="1" t="s">
        <v>8</v>
      </c>
      <c r="C203" s="1" t="s">
        <v>3385</v>
      </c>
      <c r="D203" s="1" t="s">
        <v>3152</v>
      </c>
      <c r="E203" s="1" t="s">
        <v>1914</v>
      </c>
      <c r="F203" s="1" t="s">
        <v>291</v>
      </c>
      <c r="G203" s="1" t="s">
        <v>163</v>
      </c>
      <c r="H203" s="1" t="s">
        <v>163</v>
      </c>
      <c r="I203" s="1" t="s">
        <v>3394</v>
      </c>
      <c r="J203" s="1" t="s">
        <v>3394</v>
      </c>
      <c r="K203" s="1" t="s">
        <v>1294</v>
      </c>
      <c r="L203" s="1" t="s">
        <v>1294</v>
      </c>
    </row>
    <row r="204" spans="1:12" x14ac:dyDescent="0.2">
      <c r="A204" s="1" t="s">
        <v>3153</v>
      </c>
      <c r="B204" s="1" t="s">
        <v>8</v>
      </c>
      <c r="C204" s="1" t="s">
        <v>3385</v>
      </c>
      <c r="D204" s="1" t="s">
        <v>3154</v>
      </c>
      <c r="E204" s="1" t="s">
        <v>2478</v>
      </c>
      <c r="F204" s="1" t="s">
        <v>291</v>
      </c>
      <c r="G204" s="1" t="s">
        <v>163</v>
      </c>
      <c r="H204" s="1" t="s">
        <v>163</v>
      </c>
      <c r="I204" s="1" t="s">
        <v>3394</v>
      </c>
      <c r="J204" s="1" t="s">
        <v>3394</v>
      </c>
      <c r="K204" s="1" t="s">
        <v>1294</v>
      </c>
      <c r="L204" s="1" t="s">
        <v>1294</v>
      </c>
    </row>
    <row r="205" spans="1:12" x14ac:dyDescent="0.2">
      <c r="A205" s="1" t="s">
        <v>3155</v>
      </c>
      <c r="B205" s="1" t="s">
        <v>8</v>
      </c>
      <c r="C205" s="1" t="s">
        <v>3385</v>
      </c>
      <c r="D205" s="1" t="s">
        <v>3156</v>
      </c>
      <c r="E205" s="1" t="s">
        <v>2683</v>
      </c>
      <c r="F205" s="1" t="s">
        <v>291</v>
      </c>
      <c r="G205" s="1" t="s">
        <v>163</v>
      </c>
      <c r="H205" s="1" t="s">
        <v>163</v>
      </c>
      <c r="I205" s="1" t="s">
        <v>3394</v>
      </c>
      <c r="J205" s="1" t="s">
        <v>3394</v>
      </c>
      <c r="K205" s="1" t="s">
        <v>1294</v>
      </c>
      <c r="L205" s="1" t="s">
        <v>1294</v>
      </c>
    </row>
    <row r="206" spans="1:12" x14ac:dyDescent="0.2">
      <c r="A206" s="1" t="s">
        <v>3157</v>
      </c>
      <c r="B206" s="1" t="s">
        <v>8</v>
      </c>
      <c r="C206" s="1" t="s">
        <v>3385</v>
      </c>
      <c r="D206" s="1" t="s">
        <v>3158</v>
      </c>
      <c r="E206" s="18" t="s">
        <v>1670</v>
      </c>
      <c r="F206" s="1" t="s">
        <v>291</v>
      </c>
      <c r="G206" s="1" t="s">
        <v>163</v>
      </c>
      <c r="H206" s="1" t="s">
        <v>163</v>
      </c>
      <c r="I206" s="1" t="s">
        <v>3394</v>
      </c>
      <c r="J206" s="1" t="s">
        <v>3394</v>
      </c>
      <c r="K206" s="1" t="s">
        <v>1294</v>
      </c>
      <c r="L206" s="1" t="s">
        <v>1294</v>
      </c>
    </row>
    <row r="207" spans="1:12" x14ac:dyDescent="0.2">
      <c r="A207" s="1" t="s">
        <v>3159</v>
      </c>
      <c r="B207" s="1" t="s">
        <v>8</v>
      </c>
      <c r="C207" s="1" t="s">
        <v>3385</v>
      </c>
      <c r="D207" s="1" t="s">
        <v>3160</v>
      </c>
      <c r="E207" s="18" t="s">
        <v>2824</v>
      </c>
      <c r="F207" s="1" t="s">
        <v>291</v>
      </c>
      <c r="G207" s="1" t="s">
        <v>163</v>
      </c>
      <c r="H207" s="1" t="s">
        <v>163</v>
      </c>
      <c r="I207" s="1" t="s">
        <v>3394</v>
      </c>
      <c r="J207" s="1" t="s">
        <v>3394</v>
      </c>
      <c r="K207" s="1" t="s">
        <v>1294</v>
      </c>
      <c r="L207" s="1" t="s">
        <v>1294</v>
      </c>
    </row>
    <row r="208" spans="1:12" x14ac:dyDescent="0.2">
      <c r="A208" s="1" t="s">
        <v>3161</v>
      </c>
      <c r="B208" s="1" t="s">
        <v>8</v>
      </c>
      <c r="C208" s="1" t="s">
        <v>3385</v>
      </c>
      <c r="D208" s="1" t="s">
        <v>3162</v>
      </c>
      <c r="E208" s="1" t="s">
        <v>2594</v>
      </c>
      <c r="F208" s="1" t="s">
        <v>291</v>
      </c>
      <c r="G208" s="1" t="s">
        <v>163</v>
      </c>
      <c r="H208" s="1" t="s">
        <v>163</v>
      </c>
      <c r="I208" s="1" t="s">
        <v>3394</v>
      </c>
      <c r="J208" s="1" t="s">
        <v>3394</v>
      </c>
      <c r="K208" s="1" t="s">
        <v>1294</v>
      </c>
      <c r="L208" s="1" t="s">
        <v>1294</v>
      </c>
    </row>
    <row r="209" spans="1:12" x14ac:dyDescent="0.2">
      <c r="A209" s="1" t="s">
        <v>3163</v>
      </c>
      <c r="B209" s="1" t="s">
        <v>8</v>
      </c>
      <c r="C209" s="1" t="s">
        <v>3385</v>
      </c>
      <c r="D209" s="1" t="s">
        <v>3164</v>
      </c>
      <c r="E209" s="1" t="s">
        <v>2442</v>
      </c>
      <c r="F209" s="1" t="s">
        <v>291</v>
      </c>
      <c r="G209" s="1" t="s">
        <v>163</v>
      </c>
      <c r="H209" s="1" t="s">
        <v>163</v>
      </c>
      <c r="I209" s="1" t="s">
        <v>3394</v>
      </c>
      <c r="J209" s="1" t="s">
        <v>3394</v>
      </c>
      <c r="K209" s="1" t="s">
        <v>1294</v>
      </c>
      <c r="L209" s="1" t="s">
        <v>1294</v>
      </c>
    </row>
    <row r="210" spans="1:12" x14ac:dyDescent="0.2">
      <c r="A210" s="1" t="s">
        <v>3165</v>
      </c>
      <c r="B210" s="1" t="s">
        <v>8</v>
      </c>
      <c r="C210" s="1" t="s">
        <v>3385</v>
      </c>
      <c r="D210" s="1" t="s">
        <v>3166</v>
      </c>
      <c r="E210" s="1" t="s">
        <v>2686</v>
      </c>
      <c r="F210" s="1" t="s">
        <v>291</v>
      </c>
      <c r="G210" s="1" t="s">
        <v>163</v>
      </c>
      <c r="H210" s="1" t="s">
        <v>163</v>
      </c>
      <c r="I210" s="1" t="s">
        <v>3394</v>
      </c>
      <c r="J210" s="1" t="s">
        <v>3394</v>
      </c>
      <c r="K210" s="1" t="s">
        <v>1294</v>
      </c>
      <c r="L210" s="1" t="s">
        <v>1294</v>
      </c>
    </row>
    <row r="211" spans="1:12" x14ac:dyDescent="0.2">
      <c r="A211" s="1" t="s">
        <v>3167</v>
      </c>
      <c r="B211" s="1" t="s">
        <v>8</v>
      </c>
      <c r="C211" s="1" t="s">
        <v>3385</v>
      </c>
      <c r="D211" s="1" t="s">
        <v>3168</v>
      </c>
      <c r="E211" s="1" t="s">
        <v>2785</v>
      </c>
      <c r="F211" s="1" t="s">
        <v>291</v>
      </c>
      <c r="G211" s="1" t="s">
        <v>163</v>
      </c>
      <c r="H211" s="1" t="s">
        <v>163</v>
      </c>
      <c r="I211" s="1" t="s">
        <v>3394</v>
      </c>
      <c r="J211" s="1" t="s">
        <v>3394</v>
      </c>
      <c r="K211" s="1" t="s">
        <v>1294</v>
      </c>
      <c r="L211" s="1" t="s">
        <v>1294</v>
      </c>
    </row>
    <row r="212" spans="1:12" x14ac:dyDescent="0.2">
      <c r="A212" s="1" t="s">
        <v>3169</v>
      </c>
      <c r="B212" s="1" t="s">
        <v>8</v>
      </c>
      <c r="C212" s="1" t="s">
        <v>3385</v>
      </c>
      <c r="D212" s="1" t="s">
        <v>3170</v>
      </c>
      <c r="E212" s="1" t="s">
        <v>2779</v>
      </c>
      <c r="F212" s="1" t="s">
        <v>291</v>
      </c>
      <c r="G212" s="1" t="s">
        <v>163</v>
      </c>
      <c r="H212" s="1" t="s">
        <v>163</v>
      </c>
      <c r="I212" s="1" t="s">
        <v>3394</v>
      </c>
      <c r="J212" s="1" t="s">
        <v>3394</v>
      </c>
      <c r="K212" s="1" t="s">
        <v>1294</v>
      </c>
      <c r="L212" s="1" t="s">
        <v>1294</v>
      </c>
    </row>
    <row r="213" spans="1:12" x14ac:dyDescent="0.2">
      <c r="A213" s="1" t="s">
        <v>3171</v>
      </c>
      <c r="B213" s="1" t="s">
        <v>8</v>
      </c>
      <c r="C213" s="1" t="s">
        <v>3385</v>
      </c>
      <c r="D213" s="1" t="s">
        <v>3172</v>
      </c>
      <c r="E213" s="1" t="s">
        <v>1917</v>
      </c>
      <c r="F213" s="1" t="s">
        <v>291</v>
      </c>
      <c r="G213" s="1" t="s">
        <v>163</v>
      </c>
      <c r="H213" s="1" t="s">
        <v>163</v>
      </c>
      <c r="I213" s="1" t="s">
        <v>3394</v>
      </c>
      <c r="J213" s="1" t="s">
        <v>3394</v>
      </c>
      <c r="K213" s="1" t="s">
        <v>1294</v>
      </c>
      <c r="L213" s="1" t="s">
        <v>1294</v>
      </c>
    </row>
    <row r="214" spans="1:12" x14ac:dyDescent="0.2">
      <c r="A214" s="1" t="s">
        <v>3173</v>
      </c>
      <c r="B214" s="1" t="s">
        <v>8</v>
      </c>
      <c r="C214" s="1" t="s">
        <v>3385</v>
      </c>
      <c r="D214" s="1" t="s">
        <v>3174</v>
      </c>
      <c r="E214" s="1" t="s">
        <v>1825</v>
      </c>
      <c r="F214" s="1" t="s">
        <v>291</v>
      </c>
      <c r="G214" s="1" t="s">
        <v>163</v>
      </c>
      <c r="H214" s="1" t="s">
        <v>163</v>
      </c>
      <c r="I214" s="1" t="s">
        <v>3394</v>
      </c>
      <c r="J214" s="1" t="s">
        <v>3394</v>
      </c>
      <c r="K214" s="1" t="s">
        <v>1294</v>
      </c>
      <c r="L214" s="1" t="s">
        <v>1294</v>
      </c>
    </row>
    <row r="215" spans="1:12" x14ac:dyDescent="0.2">
      <c r="A215" s="1" t="s">
        <v>3175</v>
      </c>
      <c r="B215" s="1" t="s">
        <v>8</v>
      </c>
      <c r="C215" s="1" t="s">
        <v>3385</v>
      </c>
      <c r="D215" s="1" t="s">
        <v>3176</v>
      </c>
      <c r="E215" s="1" t="s">
        <v>2396</v>
      </c>
      <c r="F215" s="1" t="s">
        <v>291</v>
      </c>
      <c r="G215" s="1" t="s">
        <v>163</v>
      </c>
      <c r="H215" s="1" t="s">
        <v>163</v>
      </c>
      <c r="I215" s="1" t="s">
        <v>3394</v>
      </c>
      <c r="J215" s="1" t="s">
        <v>3394</v>
      </c>
      <c r="K215" s="1" t="s">
        <v>1294</v>
      </c>
      <c r="L215" s="1" t="s">
        <v>1294</v>
      </c>
    </row>
    <row r="216" spans="1:12" x14ac:dyDescent="0.2">
      <c r="A216" s="1" t="s">
        <v>3177</v>
      </c>
      <c r="B216" s="1" t="s">
        <v>8</v>
      </c>
      <c r="C216" s="1" t="s">
        <v>3385</v>
      </c>
      <c r="D216" s="1" t="s">
        <v>3178</v>
      </c>
      <c r="E216" s="1" t="s">
        <v>2472</v>
      </c>
      <c r="F216" s="1" t="s">
        <v>291</v>
      </c>
      <c r="G216" s="1" t="s">
        <v>163</v>
      </c>
      <c r="H216" s="1" t="s">
        <v>163</v>
      </c>
      <c r="I216" s="1" t="s">
        <v>3394</v>
      </c>
      <c r="J216" s="1" t="s">
        <v>3394</v>
      </c>
      <c r="K216" s="1" t="s">
        <v>1294</v>
      </c>
      <c r="L216" s="1" t="s">
        <v>1294</v>
      </c>
    </row>
    <row r="217" spans="1:12" x14ac:dyDescent="0.2">
      <c r="A217" s="1" t="s">
        <v>3179</v>
      </c>
      <c r="B217" s="1" t="s">
        <v>8</v>
      </c>
      <c r="C217" s="1" t="s">
        <v>3385</v>
      </c>
      <c r="D217" s="1" t="s">
        <v>3180</v>
      </c>
      <c r="E217" s="1" t="s">
        <v>2773</v>
      </c>
      <c r="F217" s="1" t="s">
        <v>291</v>
      </c>
      <c r="G217" s="1" t="s">
        <v>163</v>
      </c>
      <c r="H217" s="1" t="s">
        <v>163</v>
      </c>
      <c r="I217" s="1" t="s">
        <v>3394</v>
      </c>
      <c r="J217" s="1" t="s">
        <v>3394</v>
      </c>
      <c r="K217" s="1" t="s">
        <v>1294</v>
      </c>
      <c r="L217" s="1" t="s">
        <v>1294</v>
      </c>
    </row>
    <row r="218" spans="1:12" x14ac:dyDescent="0.2">
      <c r="A218" s="1" t="s">
        <v>3181</v>
      </c>
      <c r="B218" s="1" t="s">
        <v>8</v>
      </c>
      <c r="C218" s="1" t="s">
        <v>3385</v>
      </c>
      <c r="D218" s="1" t="s">
        <v>3182</v>
      </c>
      <c r="E218" s="1" t="s">
        <v>2767</v>
      </c>
      <c r="F218" s="1" t="s">
        <v>291</v>
      </c>
      <c r="G218" s="1" t="s">
        <v>163</v>
      </c>
      <c r="H218" s="1" t="s">
        <v>163</v>
      </c>
      <c r="I218" s="1" t="s">
        <v>3394</v>
      </c>
      <c r="J218" s="1" t="s">
        <v>3394</v>
      </c>
      <c r="K218" s="1" t="s">
        <v>1294</v>
      </c>
      <c r="L218" s="1" t="s">
        <v>1294</v>
      </c>
    </row>
    <row r="219" spans="1:12" x14ac:dyDescent="0.2">
      <c r="A219" s="1" t="s">
        <v>3183</v>
      </c>
      <c r="B219" s="1" t="s">
        <v>8</v>
      </c>
      <c r="C219" s="1" t="s">
        <v>3385</v>
      </c>
      <c r="D219" s="1" t="s">
        <v>3184</v>
      </c>
      <c r="E219" s="1" t="s">
        <v>2689</v>
      </c>
      <c r="F219" s="1" t="s">
        <v>291</v>
      </c>
      <c r="G219" s="1" t="s">
        <v>163</v>
      </c>
      <c r="H219" s="1" t="s">
        <v>163</v>
      </c>
      <c r="I219" s="1" t="s">
        <v>3394</v>
      </c>
      <c r="J219" s="1" t="s">
        <v>3394</v>
      </c>
      <c r="K219" s="1" t="s">
        <v>1294</v>
      </c>
      <c r="L219" s="1" t="s">
        <v>1294</v>
      </c>
    </row>
    <row r="220" spans="1:12" x14ac:dyDescent="0.2">
      <c r="A220" s="1" t="s">
        <v>3185</v>
      </c>
      <c r="B220" s="1" t="s">
        <v>8</v>
      </c>
      <c r="C220" s="1" t="s">
        <v>3385</v>
      </c>
      <c r="D220" s="1" t="s">
        <v>3186</v>
      </c>
      <c r="E220" s="1" t="s">
        <v>2704</v>
      </c>
      <c r="F220" s="1" t="s">
        <v>291</v>
      </c>
      <c r="G220" s="1" t="s">
        <v>163</v>
      </c>
      <c r="H220" s="1" t="s">
        <v>163</v>
      </c>
      <c r="I220" s="1" t="s">
        <v>3394</v>
      </c>
      <c r="J220" s="1" t="s">
        <v>3394</v>
      </c>
      <c r="K220" s="1" t="s">
        <v>1294</v>
      </c>
      <c r="L220" s="1" t="s">
        <v>1294</v>
      </c>
    </row>
    <row r="221" spans="1:12" x14ac:dyDescent="0.2">
      <c r="A221" s="1" t="s">
        <v>3197</v>
      </c>
      <c r="B221" s="1" t="s">
        <v>8</v>
      </c>
      <c r="C221" s="1" t="s">
        <v>3385</v>
      </c>
      <c r="D221" s="1" t="s">
        <v>3198</v>
      </c>
      <c r="E221" s="1" t="s">
        <v>1713</v>
      </c>
      <c r="F221" s="1" t="s">
        <v>291</v>
      </c>
      <c r="G221" s="1" t="s">
        <v>163</v>
      </c>
      <c r="H221" s="1" t="s">
        <v>163</v>
      </c>
      <c r="I221" s="1" t="s">
        <v>3394</v>
      </c>
      <c r="J221" s="1" t="s">
        <v>3394</v>
      </c>
      <c r="K221" s="1" t="s">
        <v>1294</v>
      </c>
      <c r="L221" s="1" t="s">
        <v>1294</v>
      </c>
    </row>
    <row r="222" spans="1:12" x14ac:dyDescent="0.2">
      <c r="A222" s="1" t="s">
        <v>3199</v>
      </c>
      <c r="B222" s="1" t="s">
        <v>8</v>
      </c>
      <c r="C222" s="1" t="s">
        <v>3385</v>
      </c>
      <c r="D222" s="1" t="s">
        <v>3200</v>
      </c>
      <c r="E222" s="1" t="s">
        <v>1707</v>
      </c>
      <c r="F222" s="1" t="s">
        <v>291</v>
      </c>
      <c r="G222" s="1" t="s">
        <v>163</v>
      </c>
      <c r="H222" s="1" t="s">
        <v>163</v>
      </c>
      <c r="I222" s="1" t="s">
        <v>3394</v>
      </c>
      <c r="J222" s="1" t="s">
        <v>3394</v>
      </c>
      <c r="K222" s="1" t="s">
        <v>1294</v>
      </c>
      <c r="L222" s="1" t="s">
        <v>1294</v>
      </c>
    </row>
    <row r="223" spans="1:12" x14ac:dyDescent="0.2">
      <c r="A223" s="1" t="s">
        <v>3201</v>
      </c>
      <c r="B223" s="1" t="s">
        <v>8</v>
      </c>
      <c r="C223" s="1" t="s">
        <v>3385</v>
      </c>
      <c r="D223" s="1" t="s">
        <v>3202</v>
      </c>
      <c r="E223" s="1" t="s">
        <v>2451</v>
      </c>
      <c r="F223" s="1" t="s">
        <v>291</v>
      </c>
      <c r="G223" s="1" t="s">
        <v>163</v>
      </c>
      <c r="H223" s="1" t="s">
        <v>163</v>
      </c>
      <c r="I223" s="1" t="s">
        <v>3394</v>
      </c>
      <c r="J223" s="1" t="s">
        <v>3394</v>
      </c>
      <c r="K223" s="1" t="s">
        <v>1294</v>
      </c>
      <c r="L223" s="1" t="s">
        <v>1294</v>
      </c>
    </row>
    <row r="224" spans="1:12" x14ac:dyDescent="0.2">
      <c r="A224" s="1" t="s">
        <v>3203</v>
      </c>
      <c r="B224" s="1" t="s">
        <v>8</v>
      </c>
      <c r="C224" s="1" t="s">
        <v>3385</v>
      </c>
      <c r="D224" s="1" t="s">
        <v>3204</v>
      </c>
      <c r="E224" s="1" t="s">
        <v>2764</v>
      </c>
      <c r="F224" s="1" t="s">
        <v>291</v>
      </c>
      <c r="G224" s="1" t="s">
        <v>163</v>
      </c>
      <c r="H224" s="1" t="s">
        <v>163</v>
      </c>
      <c r="I224" s="1" t="s">
        <v>3394</v>
      </c>
      <c r="J224" s="1" t="s">
        <v>3394</v>
      </c>
      <c r="K224" s="1" t="s">
        <v>1294</v>
      </c>
      <c r="L224" s="1" t="s">
        <v>1294</v>
      </c>
    </row>
    <row r="225" spans="1:12" x14ac:dyDescent="0.2">
      <c r="A225" s="1" t="s">
        <v>3205</v>
      </c>
      <c r="B225" s="1" t="s">
        <v>8</v>
      </c>
      <c r="C225" s="1" t="s">
        <v>3385</v>
      </c>
      <c r="D225" s="1" t="s">
        <v>3206</v>
      </c>
      <c r="E225" s="1" t="s">
        <v>1704</v>
      </c>
      <c r="F225" s="1" t="s">
        <v>291</v>
      </c>
      <c r="G225" s="1" t="s">
        <v>163</v>
      </c>
      <c r="H225" s="1" t="s">
        <v>163</v>
      </c>
      <c r="I225" s="1" t="s">
        <v>3394</v>
      </c>
      <c r="J225" s="1" t="s">
        <v>3394</v>
      </c>
      <c r="K225" s="1" t="s">
        <v>1294</v>
      </c>
      <c r="L225" s="1" t="s">
        <v>1294</v>
      </c>
    </row>
    <row r="226" spans="1:12" x14ac:dyDescent="0.2">
      <c r="A226" s="1" t="s">
        <v>3207</v>
      </c>
      <c r="B226" s="1" t="s">
        <v>8</v>
      </c>
      <c r="C226" s="1" t="s">
        <v>3385</v>
      </c>
      <c r="D226" s="1" t="s">
        <v>3208</v>
      </c>
      <c r="E226" s="1" t="s">
        <v>1908</v>
      </c>
      <c r="F226" s="1" t="s">
        <v>291</v>
      </c>
      <c r="G226" s="1" t="s">
        <v>163</v>
      </c>
      <c r="H226" s="1" t="s">
        <v>163</v>
      </c>
      <c r="I226" s="1" t="s">
        <v>3394</v>
      </c>
      <c r="J226" s="1" t="s">
        <v>3394</v>
      </c>
      <c r="K226" s="1" t="s">
        <v>1294</v>
      </c>
      <c r="L226" s="1" t="s">
        <v>1294</v>
      </c>
    </row>
    <row r="227" spans="1:12" x14ac:dyDescent="0.2">
      <c r="A227" s="1" t="s">
        <v>3209</v>
      </c>
      <c r="B227" s="1" t="s">
        <v>8</v>
      </c>
      <c r="C227" s="1" t="s">
        <v>3385</v>
      </c>
      <c r="D227" s="1" t="s">
        <v>3210</v>
      </c>
      <c r="E227" s="1" t="s">
        <v>1710</v>
      </c>
      <c r="F227" s="1" t="s">
        <v>291</v>
      </c>
      <c r="G227" s="1" t="s">
        <v>163</v>
      </c>
      <c r="H227" s="1" t="s">
        <v>163</v>
      </c>
      <c r="I227" s="1" t="s">
        <v>3394</v>
      </c>
      <c r="J227" s="1" t="s">
        <v>3394</v>
      </c>
      <c r="K227" s="1" t="s">
        <v>1294</v>
      </c>
      <c r="L227" s="1" t="s">
        <v>1294</v>
      </c>
    </row>
    <row r="228" spans="1:12" x14ac:dyDescent="0.2">
      <c r="A228" s="1" t="s">
        <v>3211</v>
      </c>
      <c r="B228" s="1" t="s">
        <v>8</v>
      </c>
      <c r="C228" s="1" t="s">
        <v>3385</v>
      </c>
      <c r="D228" s="1" t="s">
        <v>3212</v>
      </c>
      <c r="E228" s="1" t="s">
        <v>1902</v>
      </c>
      <c r="F228" s="1" t="s">
        <v>291</v>
      </c>
      <c r="G228" s="1" t="s">
        <v>163</v>
      </c>
      <c r="H228" s="1" t="s">
        <v>163</v>
      </c>
      <c r="I228" s="1" t="s">
        <v>3394</v>
      </c>
      <c r="J228" s="1" t="s">
        <v>3394</v>
      </c>
      <c r="K228" s="1" t="s">
        <v>1294</v>
      </c>
      <c r="L228" s="1" t="s">
        <v>1294</v>
      </c>
    </row>
    <row r="229" spans="1:12" x14ac:dyDescent="0.2">
      <c r="A229" s="1" t="s">
        <v>3213</v>
      </c>
      <c r="B229" s="1" t="s">
        <v>8</v>
      </c>
      <c r="C229" s="1" t="s">
        <v>3385</v>
      </c>
      <c r="D229" s="1" t="s">
        <v>3214</v>
      </c>
      <c r="E229" s="1" t="s">
        <v>2892</v>
      </c>
      <c r="F229" s="1" t="s">
        <v>291</v>
      </c>
      <c r="G229" s="1" t="s">
        <v>163</v>
      </c>
      <c r="H229" s="1" t="s">
        <v>163</v>
      </c>
      <c r="I229" s="1" t="s">
        <v>3394</v>
      </c>
      <c r="J229" s="1" t="s">
        <v>3394</v>
      </c>
      <c r="K229" s="1" t="s">
        <v>1294</v>
      </c>
      <c r="L229" s="1" t="s">
        <v>1294</v>
      </c>
    </row>
    <row r="230" spans="1:12" x14ac:dyDescent="0.2">
      <c r="A230" s="1" t="s">
        <v>3215</v>
      </c>
      <c r="B230" s="1" t="s">
        <v>8</v>
      </c>
      <c r="C230" s="1" t="s">
        <v>3385</v>
      </c>
      <c r="D230" s="1" t="s">
        <v>3216</v>
      </c>
      <c r="E230" s="12" t="s">
        <v>2623</v>
      </c>
      <c r="F230" s="1" t="s">
        <v>291</v>
      </c>
      <c r="G230" s="1" t="s">
        <v>163</v>
      </c>
      <c r="H230" s="1" t="s">
        <v>163</v>
      </c>
      <c r="I230" s="1" t="s">
        <v>3394</v>
      </c>
      <c r="J230" s="1" t="s">
        <v>3394</v>
      </c>
      <c r="K230" s="1" t="s">
        <v>1294</v>
      </c>
      <c r="L230" s="1" t="s">
        <v>1294</v>
      </c>
    </row>
    <row r="231" spans="1:12" x14ac:dyDescent="0.2">
      <c r="A231" s="1" t="s">
        <v>3217</v>
      </c>
      <c r="B231" s="1" t="s">
        <v>8</v>
      </c>
      <c r="C231" s="1" t="s">
        <v>3385</v>
      </c>
      <c r="D231" s="1" t="s">
        <v>3218</v>
      </c>
      <c r="E231" s="12" t="s">
        <v>1822</v>
      </c>
      <c r="F231" s="1" t="s">
        <v>291</v>
      </c>
      <c r="G231" s="1" t="s">
        <v>163</v>
      </c>
      <c r="H231" s="1" t="s">
        <v>163</v>
      </c>
      <c r="I231" s="1" t="s">
        <v>3394</v>
      </c>
      <c r="J231" s="1" t="s">
        <v>3394</v>
      </c>
      <c r="K231" s="1" t="s">
        <v>1294</v>
      </c>
      <c r="L231" s="1" t="s">
        <v>1294</v>
      </c>
    </row>
    <row r="232" spans="1:12" x14ac:dyDescent="0.2">
      <c r="A232" s="1" t="s">
        <v>3219</v>
      </c>
      <c r="B232" s="1" t="s">
        <v>8</v>
      </c>
      <c r="C232" s="1" t="s">
        <v>3385</v>
      </c>
      <c r="D232" s="1" t="s">
        <v>3220</v>
      </c>
      <c r="E232" s="1" t="s">
        <v>1675</v>
      </c>
      <c r="F232" s="1" t="s">
        <v>291</v>
      </c>
      <c r="G232" s="1" t="s">
        <v>163</v>
      </c>
      <c r="H232" s="1" t="s">
        <v>163</v>
      </c>
      <c r="I232" s="1" t="s">
        <v>3394</v>
      </c>
      <c r="J232" s="1" t="s">
        <v>3394</v>
      </c>
      <c r="K232" s="1" t="s">
        <v>1294</v>
      </c>
      <c r="L232" s="1" t="s">
        <v>1294</v>
      </c>
    </row>
    <row r="233" spans="1:12" x14ac:dyDescent="0.2">
      <c r="A233" s="1" t="s">
        <v>3221</v>
      </c>
      <c r="B233" s="1" t="s">
        <v>8</v>
      </c>
      <c r="C233" s="1" t="s">
        <v>3385</v>
      </c>
      <c r="D233" s="1" t="s">
        <v>3222</v>
      </c>
      <c r="E233" s="1" t="s">
        <v>2815</v>
      </c>
      <c r="F233" s="1" t="s">
        <v>291</v>
      </c>
      <c r="G233" s="1" t="s">
        <v>163</v>
      </c>
      <c r="H233" s="1" t="s">
        <v>163</v>
      </c>
      <c r="I233" s="1" t="s">
        <v>3394</v>
      </c>
      <c r="J233" s="1" t="s">
        <v>3394</v>
      </c>
      <c r="K233" s="1" t="s">
        <v>1294</v>
      </c>
      <c r="L233" s="1" t="s">
        <v>1294</v>
      </c>
    </row>
    <row r="234" spans="1:12" x14ac:dyDescent="0.2">
      <c r="A234" s="1" t="s">
        <v>3223</v>
      </c>
      <c r="B234" s="1" t="s">
        <v>8</v>
      </c>
      <c r="C234" s="1" t="s">
        <v>3385</v>
      </c>
      <c r="D234" s="1" t="s">
        <v>3224</v>
      </c>
      <c r="E234" s="1" t="s">
        <v>2680</v>
      </c>
      <c r="F234" s="1" t="s">
        <v>291</v>
      </c>
      <c r="G234" s="1" t="s">
        <v>163</v>
      </c>
      <c r="H234" s="1" t="s">
        <v>163</v>
      </c>
      <c r="I234" s="1" t="s">
        <v>3394</v>
      </c>
      <c r="J234" s="1" t="s">
        <v>3394</v>
      </c>
      <c r="K234" s="1" t="s">
        <v>1294</v>
      </c>
      <c r="L234" s="1" t="s">
        <v>1294</v>
      </c>
    </row>
    <row r="235" spans="1:12" x14ac:dyDescent="0.2">
      <c r="A235" s="1" t="s">
        <v>3225</v>
      </c>
      <c r="B235" s="1" t="s">
        <v>8</v>
      </c>
      <c r="C235" s="1" t="s">
        <v>3385</v>
      </c>
      <c r="D235" s="1" t="s">
        <v>3226</v>
      </c>
      <c r="E235" s="1" t="s">
        <v>2707</v>
      </c>
      <c r="F235" s="1" t="s">
        <v>291</v>
      </c>
      <c r="G235" s="1" t="s">
        <v>163</v>
      </c>
      <c r="H235" s="1" t="s">
        <v>163</v>
      </c>
      <c r="I235" s="1" t="s">
        <v>3394</v>
      </c>
      <c r="J235" s="1" t="s">
        <v>3394</v>
      </c>
      <c r="K235" s="1" t="s">
        <v>1294</v>
      </c>
      <c r="L235" s="1" t="s">
        <v>1294</v>
      </c>
    </row>
    <row r="236" spans="1:12" x14ac:dyDescent="0.2">
      <c r="A236" s="1" t="s">
        <v>3227</v>
      </c>
      <c r="B236" s="1" t="s">
        <v>8</v>
      </c>
      <c r="C236" s="1" t="s">
        <v>3385</v>
      </c>
      <c r="D236" s="1" t="s">
        <v>3228</v>
      </c>
      <c r="E236" s="1" t="s">
        <v>1905</v>
      </c>
      <c r="F236" s="1" t="s">
        <v>291</v>
      </c>
      <c r="G236" s="1" t="s">
        <v>163</v>
      </c>
      <c r="H236" s="1" t="s">
        <v>163</v>
      </c>
      <c r="I236" s="1" t="s">
        <v>3394</v>
      </c>
      <c r="J236" s="1" t="s">
        <v>3394</v>
      </c>
      <c r="K236" s="1" t="s">
        <v>1294</v>
      </c>
      <c r="L236" s="1" t="s">
        <v>1294</v>
      </c>
    </row>
    <row r="237" spans="1:12" x14ac:dyDescent="0.2">
      <c r="A237" s="1" t="s">
        <v>3229</v>
      </c>
      <c r="B237" s="1" t="s">
        <v>8</v>
      </c>
      <c r="C237" s="1" t="s">
        <v>3385</v>
      </c>
      <c r="D237" s="1" t="s">
        <v>3230</v>
      </c>
      <c r="E237" s="1" t="s">
        <v>2710</v>
      </c>
      <c r="F237" s="1" t="s">
        <v>291</v>
      </c>
      <c r="G237" s="1" t="s">
        <v>163</v>
      </c>
      <c r="H237" s="1" t="s">
        <v>163</v>
      </c>
      <c r="I237" s="1" t="s">
        <v>3394</v>
      </c>
      <c r="J237" s="1" t="s">
        <v>3394</v>
      </c>
      <c r="K237" s="1" t="s">
        <v>1294</v>
      </c>
      <c r="L237" s="1" t="s">
        <v>1294</v>
      </c>
    </row>
    <row r="238" spans="1:12" x14ac:dyDescent="0.2">
      <c r="A238" s="1" t="s">
        <v>3231</v>
      </c>
      <c r="B238" s="1" t="s">
        <v>8</v>
      </c>
      <c r="C238" s="1" t="s">
        <v>3385</v>
      </c>
      <c r="D238" s="1" t="s">
        <v>3232</v>
      </c>
      <c r="E238" s="1" t="s">
        <v>2652</v>
      </c>
      <c r="F238" s="1" t="s">
        <v>291</v>
      </c>
      <c r="G238" s="1" t="s">
        <v>163</v>
      </c>
      <c r="H238" s="1" t="s">
        <v>163</v>
      </c>
      <c r="I238" s="1" t="s">
        <v>3394</v>
      </c>
      <c r="J238" s="1" t="s">
        <v>3394</v>
      </c>
      <c r="K238" s="1" t="s">
        <v>1294</v>
      </c>
      <c r="L238" s="1" t="s">
        <v>1294</v>
      </c>
    </row>
    <row r="239" spans="1:12" x14ac:dyDescent="0.2">
      <c r="A239" s="1" t="s">
        <v>3235</v>
      </c>
      <c r="B239" s="1" t="s">
        <v>8</v>
      </c>
      <c r="C239" s="1" t="s">
        <v>3385</v>
      </c>
      <c r="D239" s="1" t="s">
        <v>3236</v>
      </c>
      <c r="E239" s="1" t="s">
        <v>2713</v>
      </c>
      <c r="F239" s="1" t="s">
        <v>291</v>
      </c>
      <c r="G239" s="1" t="s">
        <v>163</v>
      </c>
      <c r="H239" s="1" t="s">
        <v>163</v>
      </c>
      <c r="I239" s="1" t="s">
        <v>3394</v>
      </c>
      <c r="J239" s="1" t="s">
        <v>3394</v>
      </c>
      <c r="K239" s="1" t="s">
        <v>1294</v>
      </c>
      <c r="L239" s="1" t="s">
        <v>1294</v>
      </c>
    </row>
    <row r="240" spans="1:12" x14ac:dyDescent="0.2">
      <c r="A240" s="1" t="s">
        <v>3237</v>
      </c>
      <c r="B240" s="1" t="s">
        <v>8</v>
      </c>
      <c r="C240" s="1" t="s">
        <v>3385</v>
      </c>
      <c r="D240" s="1" t="s">
        <v>3238</v>
      </c>
      <c r="E240" s="1" t="s">
        <v>2390</v>
      </c>
      <c r="F240" s="1" t="s">
        <v>291</v>
      </c>
      <c r="G240" s="1" t="s">
        <v>163</v>
      </c>
      <c r="H240" s="1" t="s">
        <v>163</v>
      </c>
      <c r="I240" s="1" t="s">
        <v>3394</v>
      </c>
      <c r="J240" s="1" t="s">
        <v>3394</v>
      </c>
      <c r="K240" s="1" t="s">
        <v>1294</v>
      </c>
      <c r="L240" s="1" t="s">
        <v>1294</v>
      </c>
    </row>
    <row r="241" spans="1:12" x14ac:dyDescent="0.2">
      <c r="A241" s="1" t="s">
        <v>3239</v>
      </c>
      <c r="B241" s="1" t="s">
        <v>8</v>
      </c>
      <c r="C241" s="1" t="s">
        <v>3385</v>
      </c>
      <c r="D241" s="1" t="s">
        <v>3240</v>
      </c>
      <c r="E241" s="1" t="s">
        <v>2620</v>
      </c>
      <c r="F241" s="1" t="s">
        <v>291</v>
      </c>
      <c r="G241" s="1" t="s">
        <v>163</v>
      </c>
      <c r="H241" s="1" t="s">
        <v>163</v>
      </c>
      <c r="I241" s="1" t="s">
        <v>3394</v>
      </c>
      <c r="J241" s="1" t="s">
        <v>3394</v>
      </c>
      <c r="K241" s="1" t="s">
        <v>1294</v>
      </c>
      <c r="L241" s="1" t="s">
        <v>1294</v>
      </c>
    </row>
    <row r="242" spans="1:12" x14ac:dyDescent="0.2">
      <c r="A242" s="1" t="s">
        <v>3241</v>
      </c>
      <c r="B242" s="1" t="s">
        <v>8</v>
      </c>
      <c r="C242" s="1" t="s">
        <v>3385</v>
      </c>
      <c r="D242" s="1" t="s">
        <v>3242</v>
      </c>
      <c r="E242" s="1" t="s">
        <v>2716</v>
      </c>
      <c r="F242" s="1" t="s">
        <v>291</v>
      </c>
      <c r="G242" s="1" t="s">
        <v>163</v>
      </c>
      <c r="H242" s="1" t="s">
        <v>163</v>
      </c>
      <c r="I242" s="1" t="s">
        <v>3394</v>
      </c>
      <c r="J242" s="1" t="s">
        <v>3394</v>
      </c>
      <c r="K242" s="1" t="s">
        <v>1294</v>
      </c>
      <c r="L242" s="1" t="s">
        <v>1294</v>
      </c>
    </row>
    <row r="243" spans="1:12" x14ac:dyDescent="0.2">
      <c r="A243" s="1" t="s">
        <v>3243</v>
      </c>
      <c r="B243" s="1" t="s">
        <v>8</v>
      </c>
      <c r="C243" s="1" t="s">
        <v>3385</v>
      </c>
      <c r="D243" s="1" t="s">
        <v>3244</v>
      </c>
      <c r="E243" s="1" t="s">
        <v>2003</v>
      </c>
      <c r="F243" s="1" t="s">
        <v>291</v>
      </c>
      <c r="G243" s="1" t="s">
        <v>163</v>
      </c>
      <c r="H243" s="1" t="s">
        <v>163</v>
      </c>
      <c r="I243" s="1" t="s">
        <v>3394</v>
      </c>
      <c r="J243" s="1" t="s">
        <v>3394</v>
      </c>
      <c r="K243" s="1" t="s">
        <v>1294</v>
      </c>
      <c r="L243" s="1" t="s">
        <v>1294</v>
      </c>
    </row>
    <row r="244" spans="1:12" x14ac:dyDescent="0.2">
      <c r="A244" s="1" t="s">
        <v>3245</v>
      </c>
      <c r="B244" s="1" t="s">
        <v>8</v>
      </c>
      <c r="C244" s="1" t="s">
        <v>3385</v>
      </c>
      <c r="D244" s="1" t="s">
        <v>3246</v>
      </c>
      <c r="E244" s="16" t="s">
        <v>2020</v>
      </c>
      <c r="F244" s="1" t="s">
        <v>291</v>
      </c>
      <c r="G244" s="1" t="s">
        <v>163</v>
      </c>
      <c r="H244" s="1" t="s">
        <v>163</v>
      </c>
      <c r="I244" s="1" t="s">
        <v>3394</v>
      </c>
      <c r="J244" s="1" t="s">
        <v>3394</v>
      </c>
      <c r="K244" s="1" t="s">
        <v>1294</v>
      </c>
      <c r="L244" s="1" t="s">
        <v>1294</v>
      </c>
    </row>
    <row r="245" spans="1:12" x14ac:dyDescent="0.2">
      <c r="A245" s="1" t="s">
        <v>3247</v>
      </c>
      <c r="B245" s="1" t="s">
        <v>8</v>
      </c>
      <c r="C245" s="1" t="s">
        <v>3385</v>
      </c>
      <c r="D245" s="1" t="s">
        <v>3248</v>
      </c>
      <c r="E245" s="12" t="s">
        <v>2809</v>
      </c>
      <c r="F245" s="1" t="s">
        <v>291</v>
      </c>
      <c r="G245" s="1" t="s">
        <v>163</v>
      </c>
      <c r="H245" s="1" t="s">
        <v>163</v>
      </c>
      <c r="I245" s="1" t="s">
        <v>3394</v>
      </c>
      <c r="J245" s="1" t="s">
        <v>3394</v>
      </c>
      <c r="K245" s="1" t="s">
        <v>1294</v>
      </c>
      <c r="L245" s="1" t="s">
        <v>1294</v>
      </c>
    </row>
    <row r="246" spans="1:12" x14ac:dyDescent="0.2">
      <c r="A246" s="1" t="s">
        <v>3249</v>
      </c>
      <c r="B246" s="1" t="s">
        <v>8</v>
      </c>
      <c r="C246" s="1" t="s">
        <v>3385</v>
      </c>
      <c r="D246" s="1" t="s">
        <v>3250</v>
      </c>
      <c r="E246" s="1" t="s">
        <v>1701</v>
      </c>
      <c r="F246" s="1" t="s">
        <v>291</v>
      </c>
      <c r="G246" s="1" t="s">
        <v>163</v>
      </c>
      <c r="H246" s="1" t="s">
        <v>163</v>
      </c>
      <c r="I246" s="1" t="s">
        <v>3394</v>
      </c>
      <c r="J246" s="1" t="s">
        <v>3394</v>
      </c>
      <c r="K246" s="1" t="s">
        <v>1294</v>
      </c>
      <c r="L246" s="1" t="s">
        <v>1294</v>
      </c>
    </row>
    <row r="247" spans="1:12" x14ac:dyDescent="0.2">
      <c r="A247" s="1" t="s">
        <v>3251</v>
      </c>
      <c r="B247" s="1" t="s">
        <v>8</v>
      </c>
      <c r="C247" s="1" t="s">
        <v>3385</v>
      </c>
      <c r="D247" s="1" t="s">
        <v>3252</v>
      </c>
      <c r="E247" s="12" t="s">
        <v>2677</v>
      </c>
      <c r="F247" s="1" t="s">
        <v>291</v>
      </c>
      <c r="G247" s="1" t="s">
        <v>163</v>
      </c>
      <c r="H247" s="1" t="s">
        <v>163</v>
      </c>
      <c r="I247" s="1" t="s">
        <v>3394</v>
      </c>
      <c r="J247" s="1" t="s">
        <v>3394</v>
      </c>
      <c r="K247" s="1" t="s">
        <v>1294</v>
      </c>
      <c r="L247" s="1" t="s">
        <v>1294</v>
      </c>
    </row>
    <row r="248" spans="1:12" x14ac:dyDescent="0.2">
      <c r="A248" s="1" t="s">
        <v>3253</v>
      </c>
      <c r="B248" s="1" t="s">
        <v>8</v>
      </c>
      <c r="C248" s="1" t="s">
        <v>3385</v>
      </c>
      <c r="D248" s="1" t="s">
        <v>3254</v>
      </c>
      <c r="E248" s="1" t="s">
        <v>2387</v>
      </c>
      <c r="F248" s="1" t="s">
        <v>291</v>
      </c>
      <c r="G248" s="1" t="s">
        <v>163</v>
      </c>
      <c r="H248" s="1" t="s">
        <v>163</v>
      </c>
      <c r="I248" s="1" t="s">
        <v>3394</v>
      </c>
      <c r="J248" s="1" t="s">
        <v>3394</v>
      </c>
      <c r="K248" s="1" t="s">
        <v>1294</v>
      </c>
      <c r="L248" s="1" t="s">
        <v>1294</v>
      </c>
    </row>
    <row r="249" spans="1:12" x14ac:dyDescent="0.2">
      <c r="A249" s="1" t="s">
        <v>3255</v>
      </c>
      <c r="B249" s="1" t="s">
        <v>8</v>
      </c>
      <c r="C249" s="1" t="s">
        <v>3385</v>
      </c>
      <c r="D249" s="1" t="s">
        <v>3256</v>
      </c>
      <c r="E249" s="1" t="s">
        <v>2655</v>
      </c>
      <c r="F249" s="1" t="s">
        <v>291</v>
      </c>
      <c r="G249" s="1" t="s">
        <v>163</v>
      </c>
      <c r="H249" s="1" t="s">
        <v>163</v>
      </c>
      <c r="I249" s="1" t="s">
        <v>3394</v>
      </c>
      <c r="J249" s="1" t="s">
        <v>3394</v>
      </c>
      <c r="K249" s="1" t="s">
        <v>1294</v>
      </c>
      <c r="L249" s="1" t="s">
        <v>1294</v>
      </c>
    </row>
    <row r="250" spans="1:12" x14ac:dyDescent="0.2">
      <c r="A250" s="1" t="s">
        <v>3257</v>
      </c>
      <c r="B250" s="1" t="s">
        <v>8</v>
      </c>
      <c r="C250" s="1" t="s">
        <v>3385</v>
      </c>
      <c r="D250" s="1" t="s">
        <v>3258</v>
      </c>
      <c r="E250" s="1" t="s">
        <v>1698</v>
      </c>
      <c r="F250" s="1" t="s">
        <v>291</v>
      </c>
      <c r="G250" s="1" t="s">
        <v>163</v>
      </c>
      <c r="H250" s="1" t="s">
        <v>163</v>
      </c>
      <c r="I250" s="1" t="s">
        <v>3394</v>
      </c>
      <c r="J250" s="1" t="s">
        <v>3394</v>
      </c>
      <c r="K250" s="1" t="s">
        <v>1294</v>
      </c>
      <c r="L250" s="1" t="s">
        <v>1294</v>
      </c>
    </row>
    <row r="251" spans="1:12" x14ac:dyDescent="0.2">
      <c r="A251" s="1" t="s">
        <v>3259</v>
      </c>
      <c r="B251" s="1" t="s">
        <v>8</v>
      </c>
      <c r="C251" s="1" t="s">
        <v>3385</v>
      </c>
      <c r="D251" s="1" t="s">
        <v>3260</v>
      </c>
      <c r="E251" s="12" t="s">
        <v>1911</v>
      </c>
      <c r="F251" s="1" t="s">
        <v>291</v>
      </c>
      <c r="G251" s="1" t="s">
        <v>163</v>
      </c>
      <c r="H251" s="1" t="s">
        <v>163</v>
      </c>
      <c r="I251" s="1" t="s">
        <v>3394</v>
      </c>
      <c r="J251" s="1" t="s">
        <v>3394</v>
      </c>
      <c r="K251" s="1" t="s">
        <v>1294</v>
      </c>
      <c r="L251" s="1" t="s">
        <v>1294</v>
      </c>
    </row>
    <row r="252" spans="1:12" x14ac:dyDescent="0.2">
      <c r="A252" s="1" t="s">
        <v>3261</v>
      </c>
      <c r="B252" s="1" t="s">
        <v>8</v>
      </c>
      <c r="C252" s="1" t="s">
        <v>3385</v>
      </c>
      <c r="D252" s="1" t="s">
        <v>3262</v>
      </c>
      <c r="E252" s="12" t="s">
        <v>2649</v>
      </c>
      <c r="F252" s="1" t="s">
        <v>291</v>
      </c>
      <c r="G252" s="1" t="s">
        <v>163</v>
      </c>
      <c r="H252" s="1" t="s">
        <v>163</v>
      </c>
      <c r="I252" s="1" t="s">
        <v>3394</v>
      </c>
      <c r="J252" s="1" t="s">
        <v>3394</v>
      </c>
      <c r="K252" s="1" t="s">
        <v>1294</v>
      </c>
      <c r="L252" s="1" t="s">
        <v>1294</v>
      </c>
    </row>
    <row r="253" spans="1:12" x14ac:dyDescent="0.2">
      <c r="A253" s="1" t="s">
        <v>3263</v>
      </c>
      <c r="B253" s="1" t="s">
        <v>8</v>
      </c>
      <c r="C253" s="1" t="s">
        <v>3385</v>
      </c>
      <c r="D253" s="1" t="s">
        <v>3264</v>
      </c>
      <c r="E253" s="1" t="s">
        <v>2626</v>
      </c>
      <c r="F253" s="1" t="s">
        <v>291</v>
      </c>
      <c r="G253" s="1" t="s">
        <v>163</v>
      </c>
      <c r="H253" s="1" t="s">
        <v>163</v>
      </c>
      <c r="I253" s="1" t="s">
        <v>3394</v>
      </c>
      <c r="J253" s="1" t="s">
        <v>3394</v>
      </c>
      <c r="K253" s="1" t="s">
        <v>1294</v>
      </c>
      <c r="L253" s="1" t="s">
        <v>1294</v>
      </c>
    </row>
    <row r="254" spans="1:12" x14ac:dyDescent="0.2">
      <c r="A254" s="1" t="s">
        <v>3265</v>
      </c>
      <c r="B254" s="1" t="s">
        <v>8</v>
      </c>
      <c r="C254" s="1" t="s">
        <v>3385</v>
      </c>
      <c r="D254" s="1" t="s">
        <v>3266</v>
      </c>
      <c r="E254" s="12" t="s">
        <v>2692</v>
      </c>
      <c r="F254" s="1" t="s">
        <v>291</v>
      </c>
      <c r="G254" s="1" t="s">
        <v>163</v>
      </c>
      <c r="H254" s="1" t="s">
        <v>163</v>
      </c>
      <c r="I254" s="1" t="s">
        <v>3394</v>
      </c>
      <c r="J254" s="1" t="s">
        <v>3394</v>
      </c>
      <c r="K254" s="1" t="s">
        <v>1294</v>
      </c>
      <c r="L254" s="1" t="s">
        <v>1294</v>
      </c>
    </row>
    <row r="255" spans="1:12" x14ac:dyDescent="0.2">
      <c r="A255" s="1" t="s">
        <v>3267</v>
      </c>
      <c r="B255" s="1" t="s">
        <v>8</v>
      </c>
      <c r="C255" s="1" t="s">
        <v>3385</v>
      </c>
      <c r="D255" s="1" t="s">
        <v>3268</v>
      </c>
      <c r="E255" s="1" t="s">
        <v>2588</v>
      </c>
      <c r="F255" s="1" t="s">
        <v>291</v>
      </c>
      <c r="G255" s="1" t="s">
        <v>163</v>
      </c>
      <c r="H255" s="1" t="s">
        <v>163</v>
      </c>
      <c r="I255" s="1" t="s">
        <v>3394</v>
      </c>
      <c r="J255" s="1" t="s">
        <v>3394</v>
      </c>
      <c r="K255" s="1" t="s">
        <v>1294</v>
      </c>
      <c r="L255" s="1" t="s">
        <v>1294</v>
      </c>
    </row>
    <row r="256" spans="1:12" x14ac:dyDescent="0.2">
      <c r="A256" s="1" t="s">
        <v>3269</v>
      </c>
      <c r="B256" s="1" t="s">
        <v>8</v>
      </c>
      <c r="C256" s="1" t="s">
        <v>3385</v>
      </c>
      <c r="D256" s="1" t="s">
        <v>3270</v>
      </c>
      <c r="E256" s="1" t="s">
        <v>2585</v>
      </c>
      <c r="F256" s="1" t="s">
        <v>291</v>
      </c>
      <c r="G256" s="1" t="s">
        <v>163</v>
      </c>
      <c r="H256" s="1" t="s">
        <v>163</v>
      </c>
      <c r="I256" s="1" t="s">
        <v>3394</v>
      </c>
      <c r="J256" s="1" t="s">
        <v>3394</v>
      </c>
      <c r="K256" s="1" t="s">
        <v>1294</v>
      </c>
      <c r="L256" s="1" t="s">
        <v>1294</v>
      </c>
    </row>
    <row r="257" spans="1:12" x14ac:dyDescent="0.2">
      <c r="A257" s="1" t="s">
        <v>3273</v>
      </c>
      <c r="B257" s="1" t="s">
        <v>8</v>
      </c>
      <c r="C257" s="1" t="s">
        <v>3385</v>
      </c>
      <c r="D257" s="1" t="s">
        <v>3274</v>
      </c>
      <c r="E257" s="1" t="s">
        <v>2812</v>
      </c>
      <c r="F257" s="1" t="s">
        <v>291</v>
      </c>
      <c r="G257" s="1" t="s">
        <v>163</v>
      </c>
      <c r="H257" s="1" t="s">
        <v>163</v>
      </c>
      <c r="I257" s="1" t="s">
        <v>3394</v>
      </c>
      <c r="J257" s="1" t="s">
        <v>3394</v>
      </c>
      <c r="K257" s="1" t="s">
        <v>1294</v>
      </c>
      <c r="L257" s="1" t="s">
        <v>1294</v>
      </c>
    </row>
    <row r="258" spans="1:12" x14ac:dyDescent="0.2">
      <c r="A258" s="1" t="s">
        <v>3275</v>
      </c>
      <c r="B258" s="1" t="s">
        <v>8</v>
      </c>
      <c r="C258" s="1" t="s">
        <v>3385</v>
      </c>
      <c r="D258" s="1" t="s">
        <v>3276</v>
      </c>
      <c r="E258" s="1" t="s">
        <v>2695</v>
      </c>
      <c r="F258" s="1" t="s">
        <v>291</v>
      </c>
      <c r="G258" s="1" t="s">
        <v>163</v>
      </c>
      <c r="H258" s="1" t="s">
        <v>163</v>
      </c>
      <c r="I258" s="1" t="s">
        <v>3394</v>
      </c>
      <c r="J258" s="1" t="s">
        <v>3394</v>
      </c>
      <c r="K258" s="1" t="s">
        <v>1294</v>
      </c>
      <c r="L258" s="1" t="s">
        <v>1294</v>
      </c>
    </row>
    <row r="259" spans="1:12" x14ac:dyDescent="0.2">
      <c r="A259" s="1" t="s">
        <v>3277</v>
      </c>
      <c r="B259" s="1" t="s">
        <v>8</v>
      </c>
      <c r="C259" s="1" t="s">
        <v>3385</v>
      </c>
      <c r="D259" s="1" t="s">
        <v>3278</v>
      </c>
      <c r="E259" s="17" t="s">
        <v>2698</v>
      </c>
      <c r="F259" s="1" t="s">
        <v>291</v>
      </c>
      <c r="G259" s="1" t="s">
        <v>163</v>
      </c>
      <c r="H259" s="1" t="s">
        <v>163</v>
      </c>
      <c r="I259" s="1" t="s">
        <v>3394</v>
      </c>
      <c r="J259" s="1" t="s">
        <v>3394</v>
      </c>
      <c r="K259" s="1" t="s">
        <v>1294</v>
      </c>
      <c r="L259" s="1" t="s">
        <v>1294</v>
      </c>
    </row>
    <row r="260" spans="1:12" x14ac:dyDescent="0.2">
      <c r="A260" s="1" t="s">
        <v>3279</v>
      </c>
      <c r="B260" s="1" t="s">
        <v>8</v>
      </c>
      <c r="C260" s="1" t="s">
        <v>3385</v>
      </c>
      <c r="D260" s="1" t="s">
        <v>3280</v>
      </c>
      <c r="E260" s="1" t="s">
        <v>2821</v>
      </c>
      <c r="F260" s="1" t="s">
        <v>291</v>
      </c>
      <c r="G260" s="1" t="s">
        <v>163</v>
      </c>
      <c r="H260" s="1" t="s">
        <v>163</v>
      </c>
      <c r="I260" s="1" t="s">
        <v>3394</v>
      </c>
      <c r="J260" s="1" t="s">
        <v>3394</v>
      </c>
      <c r="K260" s="1" t="s">
        <v>1294</v>
      </c>
      <c r="L260" s="1" t="s">
        <v>1294</v>
      </c>
    </row>
    <row r="261" spans="1:12" x14ac:dyDescent="0.2">
      <c r="A261" s="1" t="s">
        <v>3281</v>
      </c>
      <c r="B261" s="1" t="s">
        <v>8</v>
      </c>
      <c r="C261" s="1" t="s">
        <v>3385</v>
      </c>
      <c r="D261" s="1" t="s">
        <v>3282</v>
      </c>
      <c r="E261" s="1" t="s">
        <v>2889</v>
      </c>
      <c r="F261" s="1" t="s">
        <v>291</v>
      </c>
      <c r="G261" s="1" t="s">
        <v>163</v>
      </c>
      <c r="H261" s="1" t="s">
        <v>163</v>
      </c>
      <c r="I261" s="1" t="s">
        <v>3394</v>
      </c>
      <c r="J261" s="1" t="s">
        <v>3394</v>
      </c>
      <c r="K261" s="1" t="s">
        <v>1294</v>
      </c>
      <c r="L261" s="1" t="s">
        <v>1294</v>
      </c>
    </row>
    <row r="262" spans="1:12" x14ac:dyDescent="0.2">
      <c r="A262" s="1" t="s">
        <v>3283</v>
      </c>
      <c r="B262" s="1" t="s">
        <v>8</v>
      </c>
      <c r="C262" s="1" t="s">
        <v>3385</v>
      </c>
      <c r="D262" s="1" t="s">
        <v>3284</v>
      </c>
      <c r="E262" s="12" t="s">
        <v>2393</v>
      </c>
      <c r="F262" s="1" t="s">
        <v>291</v>
      </c>
      <c r="G262" s="1" t="s">
        <v>163</v>
      </c>
      <c r="H262" s="1" t="s">
        <v>163</v>
      </c>
      <c r="I262" s="1" t="s">
        <v>3394</v>
      </c>
      <c r="J262" s="1" t="s">
        <v>3394</v>
      </c>
      <c r="K262" s="1" t="s">
        <v>1294</v>
      </c>
      <c r="L262" s="1" t="s">
        <v>1294</v>
      </c>
    </row>
    <row r="263" spans="1:12" x14ac:dyDescent="0.2">
      <c r="A263" s="1" t="s">
        <v>3285</v>
      </c>
      <c r="B263" s="1" t="s">
        <v>8</v>
      </c>
      <c r="C263" s="1" t="s">
        <v>3385</v>
      </c>
      <c r="D263" s="1" t="s">
        <v>3286</v>
      </c>
      <c r="E263" s="1" t="s">
        <v>2445</v>
      </c>
      <c r="F263" s="1" t="s">
        <v>291</v>
      </c>
      <c r="G263" s="1" t="s">
        <v>163</v>
      </c>
      <c r="H263" s="1" t="s">
        <v>163</v>
      </c>
      <c r="I263" s="1" t="s">
        <v>3394</v>
      </c>
      <c r="J263" s="1" t="s">
        <v>3394</v>
      </c>
      <c r="K263" s="1" t="s">
        <v>1294</v>
      </c>
      <c r="L263" s="1" t="s">
        <v>1294</v>
      </c>
    </row>
    <row r="264" spans="1:12" x14ac:dyDescent="0.2">
      <c r="A264" s="1" t="s">
        <v>3287</v>
      </c>
      <c r="B264" s="1" t="s">
        <v>8</v>
      </c>
      <c r="C264" s="1" t="s">
        <v>3385</v>
      </c>
      <c r="D264" s="1" t="s">
        <v>3288</v>
      </c>
      <c r="E264" s="12" t="s">
        <v>2448</v>
      </c>
      <c r="F264" s="1" t="s">
        <v>291</v>
      </c>
      <c r="G264" s="1" t="s">
        <v>163</v>
      </c>
      <c r="H264" s="1" t="s">
        <v>163</v>
      </c>
      <c r="I264" s="1" t="s">
        <v>3394</v>
      </c>
      <c r="J264" s="1" t="s">
        <v>3394</v>
      </c>
      <c r="K264" s="1" t="s">
        <v>1294</v>
      </c>
      <c r="L264" s="1" t="s">
        <v>1294</v>
      </c>
    </row>
    <row r="265" spans="1:12" x14ac:dyDescent="0.2">
      <c r="A265" s="1" t="s">
        <v>3289</v>
      </c>
      <c r="B265" s="1" t="s">
        <v>8</v>
      </c>
      <c r="C265" s="1" t="s">
        <v>3385</v>
      </c>
      <c r="D265" s="1" t="s">
        <v>3290</v>
      </c>
      <c r="E265" s="12" t="s">
        <v>1584</v>
      </c>
      <c r="F265" s="1" t="s">
        <v>291</v>
      </c>
      <c r="G265" s="1" t="s">
        <v>163</v>
      </c>
      <c r="H265" s="1" t="s">
        <v>163</v>
      </c>
      <c r="I265" s="1" t="s">
        <v>3394</v>
      </c>
      <c r="J265" s="1" t="s">
        <v>3394</v>
      </c>
      <c r="K265" s="1" t="s">
        <v>1294</v>
      </c>
      <c r="L265" s="1" t="s">
        <v>1294</v>
      </c>
    </row>
    <row r="266" spans="1:12" x14ac:dyDescent="0.2">
      <c r="A266" s="1" t="s">
        <v>3291</v>
      </c>
      <c r="B266" s="1" t="s">
        <v>8</v>
      </c>
      <c r="C266" s="1" t="s">
        <v>3385</v>
      </c>
      <c r="D266" s="1" t="s">
        <v>3292</v>
      </c>
      <c r="E266" s="18" t="s">
        <v>2384</v>
      </c>
      <c r="F266" s="1" t="s">
        <v>291</v>
      </c>
      <c r="G266" s="1" t="s">
        <v>163</v>
      </c>
      <c r="H266" s="1" t="s">
        <v>163</v>
      </c>
      <c r="I266" s="1" t="s">
        <v>3394</v>
      </c>
      <c r="J266" s="1" t="s">
        <v>3394</v>
      </c>
      <c r="K266" s="1" t="s">
        <v>1294</v>
      </c>
      <c r="L266" s="1" t="s">
        <v>1294</v>
      </c>
    </row>
    <row r="267" spans="1:12" x14ac:dyDescent="0.2">
      <c r="A267" s="1" t="s">
        <v>3293</v>
      </c>
      <c r="B267" s="1" t="s">
        <v>8</v>
      </c>
      <c r="C267" s="1" t="s">
        <v>3385</v>
      </c>
      <c r="D267" s="1" t="s">
        <v>3294</v>
      </c>
      <c r="E267" s="1" t="s">
        <v>1828</v>
      </c>
      <c r="F267" s="1" t="s">
        <v>291</v>
      </c>
      <c r="G267" s="1" t="s">
        <v>163</v>
      </c>
      <c r="H267" s="1" t="s">
        <v>163</v>
      </c>
      <c r="I267" s="1" t="s">
        <v>3394</v>
      </c>
      <c r="J267" s="1" t="s">
        <v>3394</v>
      </c>
      <c r="K267" s="1" t="s">
        <v>1294</v>
      </c>
      <c r="L267" s="1" t="s">
        <v>1294</v>
      </c>
    </row>
    <row r="268" spans="1:12" x14ac:dyDescent="0.2">
      <c r="A268" s="1" t="s">
        <v>3295</v>
      </c>
      <c r="B268" s="1" t="s">
        <v>8</v>
      </c>
      <c r="C268" s="1" t="s">
        <v>3385</v>
      </c>
      <c r="D268" s="1" t="s">
        <v>3296</v>
      </c>
      <c r="E268" s="1" t="s">
        <v>2640</v>
      </c>
      <c r="F268" s="1" t="s">
        <v>291</v>
      </c>
      <c r="G268" s="1" t="s">
        <v>163</v>
      </c>
      <c r="H268" s="1" t="s">
        <v>163</v>
      </c>
      <c r="I268" s="1" t="s">
        <v>3394</v>
      </c>
      <c r="J268" s="1" t="s">
        <v>3394</v>
      </c>
      <c r="K268" s="1" t="s">
        <v>1294</v>
      </c>
      <c r="L268" s="1" t="s">
        <v>1294</v>
      </c>
    </row>
    <row r="269" spans="1:12" x14ac:dyDescent="0.2">
      <c r="A269" s="1" t="s">
        <v>3297</v>
      </c>
      <c r="B269" s="1" t="s">
        <v>8</v>
      </c>
      <c r="C269" s="1" t="s">
        <v>3385</v>
      </c>
      <c r="D269" s="1" t="s">
        <v>3298</v>
      </c>
      <c r="E269" s="1" t="s">
        <v>1389</v>
      </c>
      <c r="F269" s="1" t="s">
        <v>291</v>
      </c>
      <c r="G269" s="1" t="s">
        <v>163</v>
      </c>
      <c r="H269" s="1" t="s">
        <v>163</v>
      </c>
      <c r="I269" s="1" t="s">
        <v>3394</v>
      </c>
      <c r="J269" s="1" t="s">
        <v>3394</v>
      </c>
      <c r="K269" s="1" t="s">
        <v>1294</v>
      </c>
      <c r="L269" s="1" t="s">
        <v>1294</v>
      </c>
    </row>
    <row r="270" spans="1:12" x14ac:dyDescent="0.2">
      <c r="A270" s="1" t="s">
        <v>3299</v>
      </c>
      <c r="B270" s="1" t="s">
        <v>8</v>
      </c>
      <c r="C270" s="1" t="s">
        <v>3385</v>
      </c>
      <c r="D270" s="1" t="s">
        <v>3300</v>
      </c>
      <c r="E270" s="1" t="s">
        <v>2418</v>
      </c>
      <c r="F270" s="1" t="s">
        <v>291</v>
      </c>
      <c r="G270" s="1" t="s">
        <v>163</v>
      </c>
      <c r="H270" s="1" t="s">
        <v>163</v>
      </c>
      <c r="I270" s="1" t="s">
        <v>3394</v>
      </c>
      <c r="J270" s="1" t="s">
        <v>3394</v>
      </c>
      <c r="K270" s="1" t="s">
        <v>1294</v>
      </c>
      <c r="L270" s="1" t="s">
        <v>1294</v>
      </c>
    </row>
    <row r="271" spans="1:12" x14ac:dyDescent="0.2">
      <c r="A271" s="1" t="s">
        <v>3301</v>
      </c>
      <c r="B271" s="1" t="s">
        <v>8</v>
      </c>
      <c r="C271" s="1" t="s">
        <v>3385</v>
      </c>
      <c r="D271" s="1" t="s">
        <v>3302</v>
      </c>
      <c r="E271" s="1" t="s">
        <v>2646</v>
      </c>
      <c r="F271" s="1" t="s">
        <v>291</v>
      </c>
      <c r="G271" s="1" t="s">
        <v>163</v>
      </c>
      <c r="H271" s="1" t="s">
        <v>163</v>
      </c>
      <c r="I271" s="1" t="s">
        <v>3394</v>
      </c>
      <c r="J271" s="1" t="s">
        <v>3394</v>
      </c>
      <c r="K271" s="1" t="s">
        <v>1294</v>
      </c>
      <c r="L271" s="1" t="s">
        <v>1294</v>
      </c>
    </row>
    <row r="272" spans="1:12" x14ac:dyDescent="0.2">
      <c r="A272" s="1" t="s">
        <v>3303</v>
      </c>
      <c r="B272" s="1" t="s">
        <v>8</v>
      </c>
      <c r="C272" s="1" t="s">
        <v>3385</v>
      </c>
      <c r="D272" s="1" t="s">
        <v>3304</v>
      </c>
      <c r="E272" s="12" t="s">
        <v>1999</v>
      </c>
      <c r="F272" s="1" t="s">
        <v>291</v>
      </c>
      <c r="G272" s="1" t="s">
        <v>163</v>
      </c>
      <c r="H272" s="1" t="s">
        <v>163</v>
      </c>
      <c r="I272" s="1" t="s">
        <v>3394</v>
      </c>
      <c r="J272" s="1" t="s">
        <v>3394</v>
      </c>
      <c r="K272" s="1" t="s">
        <v>1294</v>
      </c>
      <c r="L272" s="1" t="s">
        <v>1294</v>
      </c>
    </row>
    <row r="273" spans="1:12" x14ac:dyDescent="0.2">
      <c r="A273" s="1" t="s">
        <v>3311</v>
      </c>
      <c r="B273" s="1" t="s">
        <v>8</v>
      </c>
      <c r="C273" s="1" t="s">
        <v>3385</v>
      </c>
      <c r="D273" s="1" t="s">
        <v>3312</v>
      </c>
      <c r="E273" s="1" t="s">
        <v>2475</v>
      </c>
      <c r="F273" s="1" t="s">
        <v>291</v>
      </c>
      <c r="G273" s="1" t="s">
        <v>163</v>
      </c>
      <c r="H273" s="1" t="s">
        <v>163</v>
      </c>
      <c r="I273" s="1" t="s">
        <v>3394</v>
      </c>
      <c r="J273" s="1" t="s">
        <v>3394</v>
      </c>
      <c r="K273" s="1" t="s">
        <v>1294</v>
      </c>
      <c r="L273" s="1" t="s">
        <v>1294</v>
      </c>
    </row>
    <row r="274" spans="1:12" x14ac:dyDescent="0.2">
      <c r="A274" s="1" t="s">
        <v>3313</v>
      </c>
      <c r="B274" s="1" t="s">
        <v>8</v>
      </c>
      <c r="C274" s="1" t="s">
        <v>3385</v>
      </c>
      <c r="D274" s="1" t="s">
        <v>3314</v>
      </c>
      <c r="E274" s="1" t="s">
        <v>2818</v>
      </c>
      <c r="F274" s="1" t="s">
        <v>291</v>
      </c>
      <c r="G274" s="1" t="s">
        <v>163</v>
      </c>
      <c r="H274" s="1" t="s">
        <v>163</v>
      </c>
      <c r="I274" s="1" t="s">
        <v>3394</v>
      </c>
      <c r="J274" s="1" t="s">
        <v>3394</v>
      </c>
      <c r="K274" s="1" t="s">
        <v>1294</v>
      </c>
      <c r="L274" s="1" t="s">
        <v>1294</v>
      </c>
    </row>
    <row r="275" spans="1:12" x14ac:dyDescent="0.2">
      <c r="A275" s="1" t="s">
        <v>1317</v>
      </c>
      <c r="B275" s="1" t="s">
        <v>41</v>
      </c>
      <c r="C275" s="1" t="s">
        <v>3375</v>
      </c>
      <c r="D275" s="1" t="s">
        <v>1318</v>
      </c>
      <c r="E275" s="1" t="s">
        <v>1319</v>
      </c>
      <c r="F275" s="1" t="s">
        <v>1289</v>
      </c>
      <c r="I275" s="1" t="s">
        <v>3394</v>
      </c>
      <c r="J275" s="1" t="s">
        <v>3393</v>
      </c>
    </row>
    <row r="276" spans="1:12" x14ac:dyDescent="0.2">
      <c r="A276" s="1" t="s">
        <v>1320</v>
      </c>
      <c r="B276" s="1" t="s">
        <v>41</v>
      </c>
      <c r="C276" s="1" t="s">
        <v>3375</v>
      </c>
      <c r="D276" s="1" t="s">
        <v>1321</v>
      </c>
      <c r="E276" s="12" t="s">
        <v>808</v>
      </c>
      <c r="F276" s="1" t="s">
        <v>1289</v>
      </c>
      <c r="I276" s="1" t="s">
        <v>3394</v>
      </c>
      <c r="J276" s="1" t="s">
        <v>3402</v>
      </c>
    </row>
    <row r="277" spans="1:12" x14ac:dyDescent="0.2">
      <c r="A277" s="1" t="s">
        <v>1322</v>
      </c>
      <c r="B277" s="1" t="s">
        <v>41</v>
      </c>
      <c r="C277" s="1" t="s">
        <v>3375</v>
      </c>
      <c r="D277" s="1" t="s">
        <v>1323</v>
      </c>
      <c r="E277" s="1" t="s">
        <v>1324</v>
      </c>
      <c r="F277" s="1" t="s">
        <v>1289</v>
      </c>
      <c r="I277" s="1" t="s">
        <v>3394</v>
      </c>
      <c r="J277" s="1" t="s">
        <v>3393</v>
      </c>
    </row>
    <row r="278" spans="1:12" x14ac:dyDescent="0.2">
      <c r="A278" s="1" t="s">
        <v>1325</v>
      </c>
      <c r="B278" s="1" t="s">
        <v>41</v>
      </c>
      <c r="C278" s="1" t="s">
        <v>3375</v>
      </c>
      <c r="D278" s="1" t="s">
        <v>1326</v>
      </c>
      <c r="E278" s="1" t="s">
        <v>1327</v>
      </c>
      <c r="F278" s="1" t="s">
        <v>1289</v>
      </c>
      <c r="I278" s="1" t="s">
        <v>3394</v>
      </c>
      <c r="J278" s="1" t="s">
        <v>3393</v>
      </c>
    </row>
    <row r="279" spans="1:12" x14ac:dyDescent="0.2">
      <c r="A279" s="1" t="s">
        <v>1328</v>
      </c>
      <c r="B279" s="1" t="s">
        <v>41</v>
      </c>
      <c r="C279" s="1" t="s">
        <v>3375</v>
      </c>
      <c r="D279" s="1" t="s">
        <v>1329</v>
      </c>
      <c r="E279" s="1" t="s">
        <v>1330</v>
      </c>
      <c r="F279" s="1" t="s">
        <v>1289</v>
      </c>
      <c r="I279" s="1" t="s">
        <v>3394</v>
      </c>
      <c r="J279" s="1" t="s">
        <v>3393</v>
      </c>
    </row>
    <row r="280" spans="1:12" x14ac:dyDescent="0.2">
      <c r="A280" s="1" t="s">
        <v>1346</v>
      </c>
      <c r="B280" s="1" t="s">
        <v>1266</v>
      </c>
      <c r="C280" s="1" t="s">
        <v>3375</v>
      </c>
      <c r="D280" s="1" t="s">
        <v>1347</v>
      </c>
      <c r="E280" s="1" t="s">
        <v>1348</v>
      </c>
      <c r="F280" s="1" t="s">
        <v>1289</v>
      </c>
      <c r="I280" s="1" t="s">
        <v>3394</v>
      </c>
      <c r="J280" s="1" t="s">
        <v>3393</v>
      </c>
    </row>
    <row r="281" spans="1:12" x14ac:dyDescent="0.2">
      <c r="A281" s="1" t="s">
        <v>1349</v>
      </c>
      <c r="B281" s="1" t="s">
        <v>41</v>
      </c>
      <c r="C281" s="1" t="s">
        <v>3375</v>
      </c>
      <c r="D281" s="1" t="s">
        <v>1350</v>
      </c>
      <c r="E281" s="12" t="s">
        <v>1351</v>
      </c>
      <c r="F281" s="1" t="s">
        <v>1289</v>
      </c>
      <c r="I281" s="1" t="s">
        <v>3394</v>
      </c>
      <c r="J281" s="1" t="s">
        <v>3402</v>
      </c>
    </row>
    <row r="282" spans="1:12" x14ac:dyDescent="0.2">
      <c r="A282" s="1" t="s">
        <v>1313</v>
      </c>
      <c r="B282" s="1" t="s">
        <v>1314</v>
      </c>
      <c r="C282" s="1" t="s">
        <v>3375</v>
      </c>
      <c r="D282" s="1" t="s">
        <v>1315</v>
      </c>
      <c r="E282" s="1" t="s">
        <v>1316</v>
      </c>
      <c r="F282" s="1" t="s">
        <v>43</v>
      </c>
      <c r="G282" s="1" t="s">
        <v>73</v>
      </c>
      <c r="H282" s="1" t="s">
        <v>77</v>
      </c>
      <c r="I282" s="1" t="s">
        <v>3394</v>
      </c>
      <c r="J282" s="1" t="s">
        <v>3394</v>
      </c>
      <c r="K282" s="1" t="s">
        <v>72</v>
      </c>
      <c r="L282" s="1" t="s">
        <v>72</v>
      </c>
    </row>
    <row r="283" spans="1:12" x14ac:dyDescent="0.2">
      <c r="A283" s="1" t="s">
        <v>1456</v>
      </c>
      <c r="B283" s="1" t="s">
        <v>41</v>
      </c>
      <c r="C283" s="1" t="s">
        <v>3375</v>
      </c>
      <c r="D283" s="1" t="s">
        <v>1457</v>
      </c>
      <c r="E283" s="1" t="s">
        <v>1458</v>
      </c>
      <c r="F283" s="1" t="s">
        <v>1289</v>
      </c>
      <c r="I283" s="1" t="s">
        <v>3393</v>
      </c>
      <c r="J283" s="1" t="s">
        <v>3393</v>
      </c>
    </row>
    <row r="284" spans="1:12" x14ac:dyDescent="0.2">
      <c r="A284" s="1" t="s">
        <v>1470</v>
      </c>
      <c r="B284" s="1" t="s">
        <v>1291</v>
      </c>
      <c r="C284" s="1" t="s">
        <v>3375</v>
      </c>
      <c r="D284" s="1" t="s">
        <v>1471</v>
      </c>
      <c r="E284" s="1" t="s">
        <v>1472</v>
      </c>
      <c r="F284" s="1" t="s">
        <v>1289</v>
      </c>
      <c r="I284" s="1" t="s">
        <v>3394</v>
      </c>
      <c r="J284" s="121" t="s">
        <v>3394</v>
      </c>
      <c r="K284" s="3">
        <v>46287</v>
      </c>
    </row>
    <row r="285" spans="1:12" x14ac:dyDescent="0.2">
      <c r="A285" s="1" t="s">
        <v>1964</v>
      </c>
      <c r="B285" s="1" t="s">
        <v>1291</v>
      </c>
      <c r="C285" s="1" t="s">
        <v>3375</v>
      </c>
      <c r="D285" s="1" t="s">
        <v>1965</v>
      </c>
      <c r="E285" s="1" t="s">
        <v>1966</v>
      </c>
      <c r="F285" s="1" t="s">
        <v>1289</v>
      </c>
      <c r="I285" s="1" t="s">
        <v>3394</v>
      </c>
      <c r="J285" s="1" t="s">
        <v>3393</v>
      </c>
    </row>
    <row r="286" spans="1:12" x14ac:dyDescent="0.2">
      <c r="A286" s="1" t="s">
        <v>1976</v>
      </c>
      <c r="B286" s="1" t="s">
        <v>41</v>
      </c>
      <c r="C286" s="1" t="s">
        <v>3375</v>
      </c>
      <c r="D286" s="1" t="s">
        <v>1977</v>
      </c>
      <c r="E286" s="1" t="s">
        <v>1978</v>
      </c>
      <c r="F286" s="1" t="s">
        <v>1289</v>
      </c>
      <c r="I286" s="1" t="s">
        <v>3394</v>
      </c>
      <c r="J286" s="1" t="s">
        <v>3393</v>
      </c>
    </row>
    <row r="287" spans="1:12" x14ac:dyDescent="0.2">
      <c r="A287" s="1" t="s">
        <v>2067</v>
      </c>
      <c r="B287" s="1" t="s">
        <v>929</v>
      </c>
      <c r="C287" s="1" t="s">
        <v>3375</v>
      </c>
      <c r="D287" s="1" t="s">
        <v>2068</v>
      </c>
      <c r="E287" s="1" t="s">
        <v>2069</v>
      </c>
      <c r="F287" s="1" t="s">
        <v>1289</v>
      </c>
      <c r="I287" s="1" t="s">
        <v>3394</v>
      </c>
      <c r="J287" s="1" t="s">
        <v>3393</v>
      </c>
    </row>
    <row r="288" spans="1:12" x14ac:dyDescent="0.2">
      <c r="A288" s="1" t="s">
        <v>1331</v>
      </c>
      <c r="B288" s="1" t="s">
        <v>1291</v>
      </c>
      <c r="C288" s="1" t="s">
        <v>3375</v>
      </c>
      <c r="D288" s="1" t="s">
        <v>1332</v>
      </c>
      <c r="E288" s="1" t="s">
        <v>1333</v>
      </c>
      <c r="F288" s="1" t="s">
        <v>43</v>
      </c>
      <c r="G288" s="1" t="s">
        <v>77</v>
      </c>
      <c r="H288" s="1" t="s">
        <v>77</v>
      </c>
      <c r="I288" s="1" t="s">
        <v>3394</v>
      </c>
      <c r="J288" s="1" t="s">
        <v>3394</v>
      </c>
      <c r="K288" s="1" t="s">
        <v>72</v>
      </c>
      <c r="L288" s="1" t="s">
        <v>72</v>
      </c>
    </row>
    <row r="289" spans="1:12" x14ac:dyDescent="0.2">
      <c r="A289" s="1" t="s">
        <v>2070</v>
      </c>
      <c r="B289" s="1" t="s">
        <v>41</v>
      </c>
      <c r="C289" s="1" t="s">
        <v>3375</v>
      </c>
      <c r="D289" s="1" t="s">
        <v>2071</v>
      </c>
      <c r="E289" s="1" t="s">
        <v>2072</v>
      </c>
      <c r="F289" s="1" t="s">
        <v>1289</v>
      </c>
      <c r="I289" s="1" t="s">
        <v>3394</v>
      </c>
      <c r="J289" s="1" t="s">
        <v>3393</v>
      </c>
    </row>
    <row r="290" spans="1:12" x14ac:dyDescent="0.2">
      <c r="A290" s="1" t="s">
        <v>2073</v>
      </c>
      <c r="B290" s="1" t="s">
        <v>41</v>
      </c>
      <c r="C290" s="1" t="s">
        <v>3375</v>
      </c>
      <c r="D290" s="1" t="s">
        <v>2074</v>
      </c>
      <c r="E290" s="1" t="s">
        <v>2075</v>
      </c>
      <c r="F290" s="1" t="s">
        <v>1289</v>
      </c>
      <c r="I290" s="1" t="s">
        <v>3393</v>
      </c>
      <c r="J290" s="1" t="s">
        <v>3393</v>
      </c>
    </row>
    <row r="291" spans="1:12" x14ac:dyDescent="0.2">
      <c r="A291" s="1" t="s">
        <v>2076</v>
      </c>
      <c r="B291" s="1" t="s">
        <v>8</v>
      </c>
      <c r="C291" s="1" t="s">
        <v>3375</v>
      </c>
      <c r="D291" s="1" t="s">
        <v>2077</v>
      </c>
      <c r="E291" s="1" t="s">
        <v>2078</v>
      </c>
      <c r="F291" s="1" t="s">
        <v>1289</v>
      </c>
      <c r="I291" s="1" t="s">
        <v>3393</v>
      </c>
      <c r="J291" s="1" t="s">
        <v>3393</v>
      </c>
    </row>
    <row r="292" spans="1:12" x14ac:dyDescent="0.2">
      <c r="A292" s="1" t="s">
        <v>2079</v>
      </c>
      <c r="B292" s="1" t="s">
        <v>41</v>
      </c>
      <c r="C292" s="1" t="s">
        <v>3375</v>
      </c>
      <c r="D292" s="1" t="s">
        <v>2080</v>
      </c>
      <c r="E292" s="1" t="s">
        <v>2081</v>
      </c>
      <c r="F292" s="1" t="s">
        <v>1289</v>
      </c>
      <c r="I292" s="1" t="s">
        <v>3394</v>
      </c>
      <c r="J292" s="1" t="s">
        <v>3393</v>
      </c>
    </row>
    <row r="293" spans="1:12" x14ac:dyDescent="0.2">
      <c r="A293" s="1" t="s">
        <v>2082</v>
      </c>
      <c r="B293" s="1" t="s">
        <v>8</v>
      </c>
      <c r="C293" s="1" t="s">
        <v>3375</v>
      </c>
      <c r="D293" s="1" t="s">
        <v>2083</v>
      </c>
      <c r="E293" s="1" t="s">
        <v>2084</v>
      </c>
      <c r="F293" s="1" t="s">
        <v>1289</v>
      </c>
      <c r="I293" s="1" t="s">
        <v>3394</v>
      </c>
      <c r="J293" s="1" t="s">
        <v>3393</v>
      </c>
    </row>
    <row r="294" spans="1:12" x14ac:dyDescent="0.2">
      <c r="A294" s="1" t="s">
        <v>2399</v>
      </c>
      <c r="B294" s="1" t="s">
        <v>41</v>
      </c>
      <c r="C294" s="1" t="s">
        <v>3375</v>
      </c>
      <c r="D294" s="1" t="s">
        <v>2400</v>
      </c>
      <c r="E294" s="1" t="s">
        <v>2401</v>
      </c>
      <c r="F294" s="1" t="s">
        <v>1289</v>
      </c>
      <c r="I294" s="1" t="s">
        <v>3394</v>
      </c>
      <c r="J294" s="1" t="s">
        <v>3393</v>
      </c>
    </row>
    <row r="295" spans="1:12" x14ac:dyDescent="0.2">
      <c r="A295" s="1" t="s">
        <v>2479</v>
      </c>
      <c r="B295" s="1" t="s">
        <v>1266</v>
      </c>
      <c r="C295" s="1" t="s">
        <v>3375</v>
      </c>
      <c r="D295" s="1" t="s">
        <v>2480</v>
      </c>
      <c r="E295" s="1" t="s">
        <v>2481</v>
      </c>
      <c r="F295" s="1" t="s">
        <v>1289</v>
      </c>
      <c r="I295" s="1" t="s">
        <v>3394</v>
      </c>
      <c r="J295" s="121" t="s">
        <v>3394</v>
      </c>
      <c r="K295" s="3">
        <v>46293</v>
      </c>
    </row>
    <row r="296" spans="1:12" x14ac:dyDescent="0.2">
      <c r="A296" s="1" t="s">
        <v>2630</v>
      </c>
      <c r="B296" s="1" t="s">
        <v>8</v>
      </c>
      <c r="C296" s="1" t="s">
        <v>3375</v>
      </c>
      <c r="D296" s="1" t="s">
        <v>2631</v>
      </c>
      <c r="E296" s="1" t="s">
        <v>2632</v>
      </c>
      <c r="F296" s="1" t="s">
        <v>1289</v>
      </c>
      <c r="I296" s="1" t="s">
        <v>3394</v>
      </c>
      <c r="J296" s="1" t="s">
        <v>3393</v>
      </c>
    </row>
    <row r="297" spans="1:12" x14ac:dyDescent="0.2">
      <c r="A297" s="1" t="s">
        <v>68</v>
      </c>
      <c r="B297" s="1" t="s">
        <v>47</v>
      </c>
      <c r="C297" s="1" t="s">
        <v>3375</v>
      </c>
      <c r="E297" s="1" t="s">
        <v>69</v>
      </c>
      <c r="F297" s="1" t="s">
        <v>49</v>
      </c>
      <c r="I297" s="1" t="s">
        <v>3394</v>
      </c>
      <c r="J297" s="1" t="s">
        <v>3393</v>
      </c>
    </row>
    <row r="298" spans="1:12" x14ac:dyDescent="0.2">
      <c r="A298" s="1" t="s">
        <v>1296</v>
      </c>
      <c r="B298" s="1" t="s">
        <v>1297</v>
      </c>
      <c r="C298" s="1" t="s">
        <v>3375</v>
      </c>
      <c r="D298" s="1" t="s">
        <v>1298</v>
      </c>
      <c r="E298" s="1" t="s">
        <v>1299</v>
      </c>
      <c r="F298" s="1" t="s">
        <v>1290</v>
      </c>
      <c r="I298" s="1" t="s">
        <v>3394</v>
      </c>
      <c r="J298" s="1" t="s">
        <v>3393</v>
      </c>
    </row>
    <row r="299" spans="1:12" x14ac:dyDescent="0.2">
      <c r="A299" s="1" t="s">
        <v>1372</v>
      </c>
      <c r="B299" s="1" t="s">
        <v>1266</v>
      </c>
      <c r="C299" s="1" t="s">
        <v>3375</v>
      </c>
      <c r="D299" s="1" t="s">
        <v>1373</v>
      </c>
      <c r="E299" s="12" t="s">
        <v>1374</v>
      </c>
      <c r="F299" s="1" t="s">
        <v>1290</v>
      </c>
      <c r="I299" s="1" t="s">
        <v>3394</v>
      </c>
      <c r="J299" s="121" t="s">
        <v>3394</v>
      </c>
      <c r="K299" s="3">
        <v>46293</v>
      </c>
    </row>
    <row r="300" spans="1:12" x14ac:dyDescent="0.2">
      <c r="A300" s="1" t="s">
        <v>1961</v>
      </c>
      <c r="B300" s="1" t="s">
        <v>41</v>
      </c>
      <c r="C300" s="1" t="s">
        <v>3375</v>
      </c>
      <c r="D300" s="1" t="s">
        <v>1962</v>
      </c>
      <c r="E300" s="12" t="s">
        <v>1963</v>
      </c>
      <c r="F300" s="1" t="s">
        <v>1290</v>
      </c>
      <c r="I300" s="1" t="s">
        <v>3394</v>
      </c>
      <c r="J300" s="1" t="s">
        <v>3402</v>
      </c>
    </row>
    <row r="301" spans="1:12" x14ac:dyDescent="0.2">
      <c r="A301" s="1" t="s">
        <v>1967</v>
      </c>
      <c r="B301" s="1" t="s">
        <v>1266</v>
      </c>
      <c r="C301" s="1" t="s">
        <v>3375</v>
      </c>
      <c r="D301" s="1" t="s">
        <v>1968</v>
      </c>
      <c r="E301" s="12" t="s">
        <v>1969</v>
      </c>
      <c r="F301" s="1" t="s">
        <v>1290</v>
      </c>
      <c r="I301" s="1" t="s">
        <v>3394</v>
      </c>
      <c r="J301" s="1" t="s">
        <v>3402</v>
      </c>
    </row>
    <row r="302" spans="1:12" x14ac:dyDescent="0.2">
      <c r="A302" s="1" t="s">
        <v>2006</v>
      </c>
      <c r="B302" s="1" t="s">
        <v>1266</v>
      </c>
      <c r="C302" s="1" t="s">
        <v>3375</v>
      </c>
      <c r="D302" s="1" t="s">
        <v>2007</v>
      </c>
      <c r="E302" s="12" t="s">
        <v>2008</v>
      </c>
      <c r="F302" s="1" t="s">
        <v>1290</v>
      </c>
      <c r="I302" s="1" t="s">
        <v>3394</v>
      </c>
      <c r="J302" s="1" t="s">
        <v>3402</v>
      </c>
    </row>
    <row r="303" spans="1:12" x14ac:dyDescent="0.2">
      <c r="A303" s="1" t="s">
        <v>2064</v>
      </c>
      <c r="B303" s="1" t="s">
        <v>1297</v>
      </c>
      <c r="C303" s="1" t="s">
        <v>3375</v>
      </c>
      <c r="D303" s="1" t="s">
        <v>2065</v>
      </c>
      <c r="E303" s="12" t="s">
        <v>2066</v>
      </c>
      <c r="F303" s="1" t="s">
        <v>1290</v>
      </c>
      <c r="I303" s="1" t="s">
        <v>3394</v>
      </c>
      <c r="J303" s="1" t="s">
        <v>3402</v>
      </c>
    </row>
    <row r="304" spans="1:12" x14ac:dyDescent="0.2">
      <c r="A304" s="1" t="s">
        <v>1973</v>
      </c>
      <c r="B304" s="1" t="s">
        <v>8</v>
      </c>
      <c r="C304" s="1" t="s">
        <v>3375</v>
      </c>
      <c r="D304" s="1" t="s">
        <v>1974</v>
      </c>
      <c r="E304" s="12" t="s">
        <v>1975</v>
      </c>
      <c r="F304" s="1" t="s">
        <v>291</v>
      </c>
      <c r="G304" s="1" t="s">
        <v>163</v>
      </c>
      <c r="H304" s="1" t="s">
        <v>163</v>
      </c>
      <c r="I304" s="1" t="s">
        <v>3394</v>
      </c>
      <c r="J304" s="1" t="s">
        <v>3394</v>
      </c>
      <c r="K304" s="1" t="s">
        <v>1294</v>
      </c>
      <c r="L304" s="1" t="s">
        <v>1294</v>
      </c>
    </row>
    <row r="305" spans="1:12" x14ac:dyDescent="0.2">
      <c r="A305" s="1" t="s">
        <v>2324</v>
      </c>
      <c r="B305" s="1" t="s">
        <v>41</v>
      </c>
      <c r="C305" s="1" t="s">
        <v>3375</v>
      </c>
      <c r="D305" s="1" t="s">
        <v>2325</v>
      </c>
      <c r="E305" s="12" t="s">
        <v>2326</v>
      </c>
      <c r="F305" s="1" t="s">
        <v>1290</v>
      </c>
      <c r="I305" s="1" t="s">
        <v>3394</v>
      </c>
      <c r="J305" s="1" t="s">
        <v>3402</v>
      </c>
    </row>
    <row r="306" spans="1:12" x14ac:dyDescent="0.2">
      <c r="A306" s="1" t="s">
        <v>2397</v>
      </c>
      <c r="B306" s="1" t="s">
        <v>1266</v>
      </c>
      <c r="C306" s="1" t="s">
        <v>3375</v>
      </c>
      <c r="D306" s="1" t="s">
        <v>2398</v>
      </c>
      <c r="E306" s="12" t="s">
        <v>2331</v>
      </c>
      <c r="F306" s="1" t="s">
        <v>1290</v>
      </c>
      <c r="I306" s="1" t="s">
        <v>3394</v>
      </c>
      <c r="J306" s="1" t="s">
        <v>3402</v>
      </c>
    </row>
    <row r="307" spans="1:12" x14ac:dyDescent="0.2">
      <c r="A307" s="1" t="s">
        <v>2482</v>
      </c>
      <c r="B307" s="1" t="s">
        <v>929</v>
      </c>
      <c r="C307" s="1" t="s">
        <v>3375</v>
      </c>
      <c r="D307" s="1" t="s">
        <v>2483</v>
      </c>
      <c r="E307" s="12" t="s">
        <v>2484</v>
      </c>
      <c r="F307" s="1" t="s">
        <v>1290</v>
      </c>
      <c r="I307" s="1" t="s">
        <v>3394</v>
      </c>
      <c r="J307" s="121" t="s">
        <v>3394</v>
      </c>
      <c r="K307" s="3">
        <v>46294</v>
      </c>
    </row>
    <row r="308" spans="1:12" x14ac:dyDescent="0.2">
      <c r="A308" s="1" t="s">
        <v>2488</v>
      </c>
      <c r="B308" s="1" t="s">
        <v>41</v>
      </c>
      <c r="C308" s="1" t="s">
        <v>3375</v>
      </c>
      <c r="D308" s="1" t="s">
        <v>2489</v>
      </c>
      <c r="E308" s="12" t="s">
        <v>2490</v>
      </c>
      <c r="F308" s="1" t="s">
        <v>1290</v>
      </c>
      <c r="I308" s="1" t="s">
        <v>3394</v>
      </c>
      <c r="J308" s="1" t="s">
        <v>3402</v>
      </c>
    </row>
    <row r="309" spans="1:12" x14ac:dyDescent="0.2">
      <c r="A309" s="1" t="s">
        <v>1337</v>
      </c>
      <c r="B309" s="1" t="s">
        <v>8</v>
      </c>
      <c r="C309" s="1" t="s">
        <v>3375</v>
      </c>
      <c r="D309" s="1" t="s">
        <v>1338</v>
      </c>
      <c r="E309" s="12" t="s">
        <v>1339</v>
      </c>
      <c r="F309" s="1" t="s">
        <v>1293</v>
      </c>
      <c r="I309" s="1" t="s">
        <v>3394</v>
      </c>
      <c r="J309" s="1" t="s">
        <v>3402</v>
      </c>
    </row>
    <row r="310" spans="1:12" x14ac:dyDescent="0.2">
      <c r="A310" s="1" t="s">
        <v>1340</v>
      </c>
      <c r="B310" s="1" t="s">
        <v>8</v>
      </c>
      <c r="C310" s="1" t="s">
        <v>3375</v>
      </c>
      <c r="D310" s="1" t="s">
        <v>1341</v>
      </c>
      <c r="E310" s="1" t="s">
        <v>1342</v>
      </c>
      <c r="F310" s="1" t="s">
        <v>1293</v>
      </c>
      <c r="I310" s="1" t="s">
        <v>3393</v>
      </c>
      <c r="J310" s="1" t="s">
        <v>3393</v>
      </c>
    </row>
    <row r="311" spans="1:12" x14ac:dyDescent="0.2">
      <c r="A311" s="1" t="s">
        <v>1381</v>
      </c>
      <c r="B311" s="1" t="s">
        <v>8</v>
      </c>
      <c r="C311" s="1" t="s">
        <v>3375</v>
      </c>
      <c r="D311" s="1" t="s">
        <v>1382</v>
      </c>
      <c r="E311" s="12" t="s">
        <v>1383</v>
      </c>
      <c r="F311" s="1" t="s">
        <v>1293</v>
      </c>
      <c r="I311" s="1" t="s">
        <v>3394</v>
      </c>
      <c r="J311" s="1" t="s">
        <v>3402</v>
      </c>
    </row>
    <row r="312" spans="1:12" x14ac:dyDescent="0.2">
      <c r="A312" s="1" t="s">
        <v>1387</v>
      </c>
      <c r="B312" s="1" t="s">
        <v>8</v>
      </c>
      <c r="C312" s="1" t="s">
        <v>3375</v>
      </c>
      <c r="D312" s="1" t="s">
        <v>1388</v>
      </c>
      <c r="E312" s="1" t="s">
        <v>1389</v>
      </c>
      <c r="F312" s="1" t="s">
        <v>1293</v>
      </c>
      <c r="I312" s="1" t="s">
        <v>3393</v>
      </c>
      <c r="J312" s="1" t="s">
        <v>3393</v>
      </c>
    </row>
    <row r="313" spans="1:12" x14ac:dyDescent="0.2">
      <c r="A313" s="1" t="s">
        <v>2024</v>
      </c>
      <c r="B313" s="1" t="s">
        <v>8</v>
      </c>
      <c r="C313" s="1" t="s">
        <v>3375</v>
      </c>
      <c r="D313" s="1" t="s">
        <v>2025</v>
      </c>
      <c r="E313" s="1" t="s">
        <v>2026</v>
      </c>
      <c r="F313" s="1" t="s">
        <v>1293</v>
      </c>
      <c r="I313" s="1" t="s">
        <v>3393</v>
      </c>
      <c r="J313" s="1" t="s">
        <v>3393</v>
      </c>
    </row>
    <row r="314" spans="1:12" x14ac:dyDescent="0.2">
      <c r="A314" s="1" t="s">
        <v>40</v>
      </c>
      <c r="B314" s="1" t="s">
        <v>41</v>
      </c>
      <c r="C314" s="1" t="s">
        <v>3375</v>
      </c>
      <c r="E314" s="1" t="s">
        <v>42</v>
      </c>
      <c r="F314" s="1" t="s">
        <v>43</v>
      </c>
      <c r="I314" s="1" t="s">
        <v>3393</v>
      </c>
      <c r="J314" s="1" t="s">
        <v>3393</v>
      </c>
    </row>
    <row r="315" spans="1:12" x14ac:dyDescent="0.2">
      <c r="A315" s="1" t="s">
        <v>1143</v>
      </c>
      <c r="B315" s="1" t="s">
        <v>41</v>
      </c>
      <c r="C315" s="1" t="s">
        <v>3375</v>
      </c>
      <c r="E315" s="1" t="s">
        <v>1144</v>
      </c>
      <c r="F315" s="1" t="s">
        <v>43</v>
      </c>
      <c r="I315" s="1" t="s">
        <v>3393</v>
      </c>
      <c r="J315" s="1" t="s">
        <v>3393</v>
      </c>
    </row>
    <row r="316" spans="1:12" x14ac:dyDescent="0.2">
      <c r="A316" s="1" t="s">
        <v>2327</v>
      </c>
      <c r="B316" s="1" t="s">
        <v>8</v>
      </c>
      <c r="C316" s="1" t="s">
        <v>3375</v>
      </c>
      <c r="D316" s="1" t="s">
        <v>2328</v>
      </c>
      <c r="E316" s="1" t="s">
        <v>1374</v>
      </c>
      <c r="F316" s="1" t="s">
        <v>291</v>
      </c>
      <c r="G316" s="1" t="s">
        <v>163</v>
      </c>
      <c r="H316" s="1" t="s">
        <v>163</v>
      </c>
      <c r="I316" s="1" t="s">
        <v>3394</v>
      </c>
      <c r="J316" s="1" t="s">
        <v>3394</v>
      </c>
      <c r="K316" s="1" t="s">
        <v>1294</v>
      </c>
      <c r="L316" s="1" t="s">
        <v>1294</v>
      </c>
    </row>
    <row r="317" spans="1:12" x14ac:dyDescent="0.2">
      <c r="A317" s="1" t="s">
        <v>2329</v>
      </c>
      <c r="B317" s="1" t="s">
        <v>8</v>
      </c>
      <c r="C317" s="1" t="s">
        <v>3375</v>
      </c>
      <c r="D317" s="1" t="s">
        <v>2330</v>
      </c>
      <c r="E317" s="1" t="s">
        <v>2331</v>
      </c>
      <c r="F317" s="1" t="s">
        <v>291</v>
      </c>
      <c r="G317" s="1" t="s">
        <v>163</v>
      </c>
      <c r="H317" s="1" t="s">
        <v>163</v>
      </c>
      <c r="I317" s="1" t="s">
        <v>3394</v>
      </c>
      <c r="J317" s="1" t="s">
        <v>3394</v>
      </c>
      <c r="K317" s="1" t="s">
        <v>1294</v>
      </c>
      <c r="L317" s="1" t="s">
        <v>1294</v>
      </c>
    </row>
    <row r="318" spans="1:12" x14ac:dyDescent="0.2">
      <c r="A318" s="1" t="s">
        <v>1212</v>
      </c>
      <c r="B318" s="1" t="s">
        <v>8</v>
      </c>
      <c r="C318" s="1" t="s">
        <v>3375</v>
      </c>
      <c r="E318" s="1" t="s">
        <v>1213</v>
      </c>
      <c r="F318" s="1" t="s">
        <v>43</v>
      </c>
      <c r="I318" s="1" t="s">
        <v>3393</v>
      </c>
      <c r="J318" s="1" t="s">
        <v>3393</v>
      </c>
    </row>
    <row r="319" spans="1:12" x14ac:dyDescent="0.2">
      <c r="A319" s="1" t="s">
        <v>1224</v>
      </c>
      <c r="B319" s="1" t="s">
        <v>8</v>
      </c>
      <c r="C319" s="1" t="s">
        <v>3375</v>
      </c>
      <c r="E319" s="1" t="s">
        <v>1225</v>
      </c>
      <c r="F319" s="1" t="s">
        <v>43</v>
      </c>
      <c r="I319" s="1" t="s">
        <v>3394</v>
      </c>
      <c r="J319" s="1" t="s">
        <v>3393</v>
      </c>
    </row>
    <row r="320" spans="1:12" x14ac:dyDescent="0.2">
      <c r="A320" s="1" t="s">
        <v>1230</v>
      </c>
      <c r="B320" s="1" t="s">
        <v>8</v>
      </c>
      <c r="C320" s="1" t="s">
        <v>3375</v>
      </c>
      <c r="E320" s="1" t="s">
        <v>1231</v>
      </c>
      <c r="F320" s="1" t="s">
        <v>43</v>
      </c>
      <c r="I320" s="1" t="s">
        <v>3394</v>
      </c>
      <c r="J320" s="1" t="s">
        <v>3393</v>
      </c>
    </row>
    <row r="321" spans="1:12" x14ac:dyDescent="0.2">
      <c r="A321" s="1" t="s">
        <v>1384</v>
      </c>
      <c r="B321" s="1" t="s">
        <v>1314</v>
      </c>
      <c r="C321" s="1" t="s">
        <v>3375</v>
      </c>
      <c r="D321" s="1" t="s">
        <v>1385</v>
      </c>
      <c r="E321" s="12" t="s">
        <v>1386</v>
      </c>
      <c r="F321" s="1" t="s">
        <v>43</v>
      </c>
      <c r="I321" s="1" t="s">
        <v>3394</v>
      </c>
      <c r="J321" s="1" t="s">
        <v>3402</v>
      </c>
    </row>
    <row r="322" spans="1:12" x14ac:dyDescent="0.2">
      <c r="A322" s="1" t="s">
        <v>1970</v>
      </c>
      <c r="B322" s="1" t="s">
        <v>1266</v>
      </c>
      <c r="C322" s="1" t="s">
        <v>3375</v>
      </c>
      <c r="D322" s="1" t="s">
        <v>1971</v>
      </c>
      <c r="E322" s="1" t="s">
        <v>1972</v>
      </c>
      <c r="F322" s="1" t="s">
        <v>43</v>
      </c>
      <c r="I322" s="1" t="s">
        <v>3394</v>
      </c>
      <c r="J322" s="1" t="s">
        <v>3394</v>
      </c>
    </row>
    <row r="323" spans="1:12" x14ac:dyDescent="0.2">
      <c r="A323" s="1" t="s">
        <v>2485</v>
      </c>
      <c r="B323" s="1" t="s">
        <v>1266</v>
      </c>
      <c r="C323" s="1" t="s">
        <v>3375</v>
      </c>
      <c r="D323" s="1" t="s">
        <v>2486</v>
      </c>
      <c r="E323" s="12" t="s">
        <v>2487</v>
      </c>
      <c r="F323" s="1" t="s">
        <v>43</v>
      </c>
      <c r="I323" s="1" t="s">
        <v>3394</v>
      </c>
      <c r="J323" s="1" t="s">
        <v>3402</v>
      </c>
    </row>
    <row r="324" spans="1:12" x14ac:dyDescent="0.2">
      <c r="A324" s="1" t="s">
        <v>2627</v>
      </c>
      <c r="B324" s="1" t="s">
        <v>41</v>
      </c>
      <c r="C324" s="1" t="s">
        <v>3375</v>
      </c>
      <c r="D324" s="1" t="s">
        <v>2628</v>
      </c>
      <c r="E324" s="1" t="s">
        <v>2629</v>
      </c>
      <c r="F324" s="1" t="s">
        <v>43</v>
      </c>
      <c r="G324" s="1" t="s">
        <v>73</v>
      </c>
      <c r="H324" s="1" t="s">
        <v>78</v>
      </c>
      <c r="I324" s="1" t="s">
        <v>3394</v>
      </c>
      <c r="J324" s="1" t="s">
        <v>3394</v>
      </c>
      <c r="K324" s="1" t="s">
        <v>72</v>
      </c>
      <c r="L324" s="1" t="s">
        <v>72</v>
      </c>
    </row>
    <row r="325" spans="1:12" x14ac:dyDescent="0.2">
      <c r="A325" s="1" t="s">
        <v>1453</v>
      </c>
      <c r="B325" s="1" t="s">
        <v>8</v>
      </c>
      <c r="C325" s="1" t="s">
        <v>3375</v>
      </c>
      <c r="D325" s="1" t="s">
        <v>1454</v>
      </c>
      <c r="E325" s="18" t="s">
        <v>1455</v>
      </c>
      <c r="F325" s="1" t="s">
        <v>1287</v>
      </c>
      <c r="I325" s="1" t="s">
        <v>3394</v>
      </c>
      <c r="J325" s="1" t="s">
        <v>3394</v>
      </c>
      <c r="K325" s="3">
        <v>46237</v>
      </c>
    </row>
    <row r="326" spans="1:12" x14ac:dyDescent="0.2">
      <c r="A326" s="1" t="s">
        <v>2952</v>
      </c>
      <c r="B326" s="1" t="s">
        <v>8</v>
      </c>
      <c r="C326" s="1" t="s">
        <v>3375</v>
      </c>
      <c r="D326" s="1" t="s">
        <v>2953</v>
      </c>
      <c r="E326" s="1" t="s">
        <v>1348</v>
      </c>
      <c r="F326" s="1" t="s">
        <v>291</v>
      </c>
      <c r="G326" s="1" t="s">
        <v>163</v>
      </c>
      <c r="H326" s="1" t="s">
        <v>163</v>
      </c>
      <c r="I326" s="1" t="s">
        <v>3394</v>
      </c>
      <c r="J326" s="1" t="s">
        <v>3394</v>
      </c>
      <c r="K326" s="1" t="s">
        <v>1294</v>
      </c>
      <c r="L326" s="1" t="s">
        <v>1294</v>
      </c>
    </row>
    <row r="327" spans="1:12" x14ac:dyDescent="0.2">
      <c r="A327" s="1" t="s">
        <v>2954</v>
      </c>
      <c r="B327" s="1" t="s">
        <v>8</v>
      </c>
      <c r="C327" s="1" t="s">
        <v>3375</v>
      </c>
      <c r="D327" s="1" t="s">
        <v>2955</v>
      </c>
      <c r="E327" s="1" t="s">
        <v>1319</v>
      </c>
      <c r="F327" s="1" t="s">
        <v>291</v>
      </c>
      <c r="G327" s="1" t="s">
        <v>163</v>
      </c>
      <c r="H327" s="1" t="s">
        <v>163</v>
      </c>
      <c r="I327" s="1" t="s">
        <v>3394</v>
      </c>
      <c r="J327" s="1" t="s">
        <v>3394</v>
      </c>
      <c r="K327" s="1" t="s">
        <v>1294</v>
      </c>
      <c r="L327" s="1" t="s">
        <v>1294</v>
      </c>
    </row>
    <row r="328" spans="1:12" x14ac:dyDescent="0.2">
      <c r="A328" s="1" t="s">
        <v>3004</v>
      </c>
      <c r="B328" s="1" t="s">
        <v>8</v>
      </c>
      <c r="C328" s="1" t="s">
        <v>3375</v>
      </c>
      <c r="D328" s="1" t="s">
        <v>3005</v>
      </c>
      <c r="E328" s="1" t="s">
        <v>2629</v>
      </c>
      <c r="F328" s="1" t="s">
        <v>291</v>
      </c>
      <c r="G328" s="1" t="s">
        <v>163</v>
      </c>
      <c r="H328" s="1" t="s">
        <v>163</v>
      </c>
      <c r="I328" s="1" t="s">
        <v>3394</v>
      </c>
      <c r="J328" s="1" t="s">
        <v>3394</v>
      </c>
      <c r="K328" s="1" t="s">
        <v>1294</v>
      </c>
      <c r="L328" s="1" t="s">
        <v>1294</v>
      </c>
    </row>
    <row r="329" spans="1:12" x14ac:dyDescent="0.2">
      <c r="A329" s="1" t="s">
        <v>3006</v>
      </c>
      <c r="B329" s="1" t="s">
        <v>8</v>
      </c>
      <c r="C329" s="1" t="s">
        <v>3375</v>
      </c>
      <c r="D329" s="1" t="s">
        <v>3007</v>
      </c>
      <c r="E329" s="1" t="s">
        <v>1299</v>
      </c>
      <c r="F329" s="1" t="s">
        <v>291</v>
      </c>
      <c r="G329" s="1" t="s">
        <v>163</v>
      </c>
      <c r="H329" s="1" t="s">
        <v>163</v>
      </c>
      <c r="I329" s="1" t="s">
        <v>3394</v>
      </c>
      <c r="J329" s="1" t="s">
        <v>3394</v>
      </c>
      <c r="K329" s="1" t="s">
        <v>1294</v>
      </c>
      <c r="L329" s="1" t="s">
        <v>1294</v>
      </c>
    </row>
    <row r="330" spans="1:12" x14ac:dyDescent="0.2">
      <c r="A330" s="1" t="s">
        <v>3008</v>
      </c>
      <c r="B330" s="1" t="s">
        <v>8</v>
      </c>
      <c r="C330" s="1" t="s">
        <v>3375</v>
      </c>
      <c r="D330" s="1" t="s">
        <v>3009</v>
      </c>
      <c r="E330" s="1" t="s">
        <v>2490</v>
      </c>
      <c r="F330" s="1" t="s">
        <v>291</v>
      </c>
      <c r="G330" s="1" t="s">
        <v>163</v>
      </c>
      <c r="H330" s="1" t="s">
        <v>163</v>
      </c>
      <c r="I330" s="1" t="s">
        <v>3394</v>
      </c>
      <c r="J330" s="1" t="s">
        <v>3394</v>
      </c>
      <c r="K330" s="1" t="s">
        <v>1294</v>
      </c>
      <c r="L330" s="1" t="s">
        <v>1294</v>
      </c>
    </row>
    <row r="331" spans="1:12" x14ac:dyDescent="0.2">
      <c r="A331" s="1" t="s">
        <v>3068</v>
      </c>
      <c r="B331" s="1" t="s">
        <v>8</v>
      </c>
      <c r="C331" s="1" t="s">
        <v>3375</v>
      </c>
      <c r="D331" s="1" t="s">
        <v>3069</v>
      </c>
      <c r="E331" s="1" t="s">
        <v>2326</v>
      </c>
      <c r="F331" s="1" t="s">
        <v>291</v>
      </c>
      <c r="G331" s="1" t="s">
        <v>163</v>
      </c>
      <c r="H331" s="1" t="s">
        <v>163</v>
      </c>
      <c r="I331" s="1" t="s">
        <v>3394</v>
      </c>
      <c r="J331" s="1" t="s">
        <v>3394</v>
      </c>
      <c r="K331" s="1" t="s">
        <v>1294</v>
      </c>
      <c r="L331" s="1" t="s">
        <v>1294</v>
      </c>
    </row>
    <row r="332" spans="1:12" x14ac:dyDescent="0.2">
      <c r="A332" s="1" t="s">
        <v>3070</v>
      </c>
      <c r="B332" s="1" t="s">
        <v>8</v>
      </c>
      <c r="C332" s="1" t="s">
        <v>3375</v>
      </c>
      <c r="D332" s="1" t="s">
        <v>3071</v>
      </c>
      <c r="E332" s="1" t="s">
        <v>2066</v>
      </c>
      <c r="F332" s="1" t="s">
        <v>291</v>
      </c>
      <c r="G332" s="1" t="s">
        <v>163</v>
      </c>
      <c r="H332" s="1" t="s">
        <v>163</v>
      </c>
      <c r="I332" s="1" t="s">
        <v>3394</v>
      </c>
      <c r="J332" s="1" t="s">
        <v>3394</v>
      </c>
      <c r="K332" s="1" t="s">
        <v>1294</v>
      </c>
      <c r="L332" s="1" t="s">
        <v>1294</v>
      </c>
    </row>
    <row r="333" spans="1:12" x14ac:dyDescent="0.2">
      <c r="A333" s="1" t="s">
        <v>3072</v>
      </c>
      <c r="B333" s="1" t="s">
        <v>8</v>
      </c>
      <c r="C333" s="1" t="s">
        <v>3375</v>
      </c>
      <c r="D333" s="1" t="s">
        <v>3073</v>
      </c>
      <c r="E333" s="1" t="s">
        <v>1458</v>
      </c>
      <c r="F333" s="1" t="s">
        <v>291</v>
      </c>
      <c r="G333" s="1" t="s">
        <v>163</v>
      </c>
      <c r="H333" s="1" t="s">
        <v>163</v>
      </c>
      <c r="I333" s="1" t="s">
        <v>3394</v>
      </c>
      <c r="J333" s="1" t="s">
        <v>3394</v>
      </c>
      <c r="K333" s="1" t="s">
        <v>1294</v>
      </c>
      <c r="L333" s="1" t="s">
        <v>1294</v>
      </c>
    </row>
    <row r="334" spans="1:12" x14ac:dyDescent="0.2">
      <c r="A334" s="1" t="s">
        <v>3112</v>
      </c>
      <c r="B334" s="1" t="s">
        <v>8</v>
      </c>
      <c r="C334" s="1" t="s">
        <v>3375</v>
      </c>
      <c r="D334" s="1" t="s">
        <v>3113</v>
      </c>
      <c r="E334" s="1" t="s">
        <v>1472</v>
      </c>
      <c r="F334" s="1" t="s">
        <v>291</v>
      </c>
      <c r="G334" s="1" t="s">
        <v>163</v>
      </c>
      <c r="H334" s="1" t="s">
        <v>163</v>
      </c>
      <c r="I334" s="1" t="s">
        <v>3394</v>
      </c>
      <c r="J334" s="1" t="s">
        <v>3394</v>
      </c>
      <c r="K334" s="1" t="s">
        <v>1294</v>
      </c>
      <c r="L334" s="1" t="s">
        <v>1294</v>
      </c>
    </row>
    <row r="335" spans="1:12" x14ac:dyDescent="0.2">
      <c r="A335" s="1" t="s">
        <v>3143</v>
      </c>
      <c r="B335" s="1" t="s">
        <v>8</v>
      </c>
      <c r="C335" s="1" t="s">
        <v>3375</v>
      </c>
      <c r="D335" s="1" t="s">
        <v>3144</v>
      </c>
      <c r="E335" s="1" t="s">
        <v>1969</v>
      </c>
      <c r="F335" s="1" t="s">
        <v>291</v>
      </c>
      <c r="G335" s="1" t="s">
        <v>163</v>
      </c>
      <c r="H335" s="1" t="s">
        <v>163</v>
      </c>
      <c r="I335" s="1" t="s">
        <v>3394</v>
      </c>
      <c r="J335" s="1" t="s">
        <v>3394</v>
      </c>
      <c r="K335" s="1" t="s">
        <v>1294</v>
      </c>
      <c r="L335" s="1" t="s">
        <v>1294</v>
      </c>
    </row>
    <row r="336" spans="1:12" x14ac:dyDescent="0.2">
      <c r="A336" s="1" t="s">
        <v>3145</v>
      </c>
      <c r="B336" s="1" t="s">
        <v>8</v>
      </c>
      <c r="C336" s="1" t="s">
        <v>3375</v>
      </c>
      <c r="D336" s="1" t="s">
        <v>3146</v>
      </c>
      <c r="E336" s="1" t="s">
        <v>1972</v>
      </c>
      <c r="F336" s="1" t="s">
        <v>291</v>
      </c>
      <c r="G336" s="1" t="s">
        <v>163</v>
      </c>
      <c r="H336" s="1" t="s">
        <v>163</v>
      </c>
      <c r="I336" s="1" t="s">
        <v>3394</v>
      </c>
      <c r="J336" s="1" t="s">
        <v>3394</v>
      </c>
      <c r="K336" s="1" t="s">
        <v>1294</v>
      </c>
      <c r="L336" s="1" t="s">
        <v>1294</v>
      </c>
    </row>
    <row r="337" spans="1:12" x14ac:dyDescent="0.2">
      <c r="A337" s="1" t="s">
        <v>3147</v>
      </c>
      <c r="B337" s="1" t="s">
        <v>8</v>
      </c>
      <c r="C337" s="1" t="s">
        <v>3375</v>
      </c>
      <c r="D337" s="1" t="s">
        <v>3148</v>
      </c>
      <c r="E337" s="1" t="s">
        <v>808</v>
      </c>
      <c r="F337" s="1" t="s">
        <v>291</v>
      </c>
      <c r="G337" s="1" t="s">
        <v>163</v>
      </c>
      <c r="H337" s="1" t="s">
        <v>163</v>
      </c>
      <c r="I337" s="1" t="s">
        <v>3394</v>
      </c>
      <c r="J337" s="1" t="s">
        <v>3394</v>
      </c>
      <c r="K337" s="1" t="s">
        <v>1294</v>
      </c>
      <c r="L337" s="1" t="s">
        <v>1294</v>
      </c>
    </row>
    <row r="338" spans="1:12" x14ac:dyDescent="0.2">
      <c r="A338" s="1" t="s">
        <v>3149</v>
      </c>
      <c r="B338" s="1" t="s">
        <v>8</v>
      </c>
      <c r="C338" s="1" t="s">
        <v>3375</v>
      </c>
      <c r="D338" s="1" t="s">
        <v>3150</v>
      </c>
      <c r="E338" s="1" t="s">
        <v>2487</v>
      </c>
      <c r="F338" s="1" t="s">
        <v>291</v>
      </c>
      <c r="G338" s="1" t="s">
        <v>163</v>
      </c>
      <c r="H338" s="1" t="s">
        <v>163</v>
      </c>
      <c r="I338" s="1" t="s">
        <v>3394</v>
      </c>
      <c r="J338" s="1" t="s">
        <v>3394</v>
      </c>
      <c r="K338" s="1" t="s">
        <v>1294</v>
      </c>
      <c r="L338" s="1" t="s">
        <v>1294</v>
      </c>
    </row>
    <row r="339" spans="1:12" x14ac:dyDescent="0.2">
      <c r="A339" s="1" t="s">
        <v>3187</v>
      </c>
      <c r="B339" s="1" t="s">
        <v>8</v>
      </c>
      <c r="C339" s="1" t="s">
        <v>3375</v>
      </c>
      <c r="D339" s="1" t="s">
        <v>3188</v>
      </c>
      <c r="E339" s="1" t="s">
        <v>1389</v>
      </c>
      <c r="F339" s="1" t="s">
        <v>291</v>
      </c>
      <c r="G339" s="1" t="s">
        <v>163</v>
      </c>
      <c r="H339" s="1" t="s">
        <v>163</v>
      </c>
      <c r="I339" s="1" t="s">
        <v>3394</v>
      </c>
      <c r="J339" s="1" t="s">
        <v>3394</v>
      </c>
      <c r="K339" s="1" t="s">
        <v>1294</v>
      </c>
      <c r="L339" s="1" t="s">
        <v>1294</v>
      </c>
    </row>
    <row r="340" spans="1:12" x14ac:dyDescent="0.2">
      <c r="A340" s="1" t="s">
        <v>3189</v>
      </c>
      <c r="B340" s="1" t="s">
        <v>8</v>
      </c>
      <c r="C340" s="1" t="s">
        <v>3375</v>
      </c>
      <c r="D340" s="1" t="s">
        <v>3190</v>
      </c>
      <c r="E340" s="1" t="s">
        <v>2078</v>
      </c>
      <c r="F340" s="1" t="s">
        <v>291</v>
      </c>
      <c r="G340" s="1" t="s">
        <v>163</v>
      </c>
      <c r="H340" s="1" t="s">
        <v>163</v>
      </c>
      <c r="I340" s="1" t="s">
        <v>3394</v>
      </c>
      <c r="J340" s="1" t="s">
        <v>3394</v>
      </c>
      <c r="K340" s="1" t="s">
        <v>1294</v>
      </c>
      <c r="L340" s="1" t="s">
        <v>1294</v>
      </c>
    </row>
    <row r="341" spans="1:12" x14ac:dyDescent="0.2">
      <c r="A341" s="1" t="s">
        <v>3191</v>
      </c>
      <c r="B341" s="1" t="s">
        <v>8</v>
      </c>
      <c r="C341" s="1" t="s">
        <v>3375</v>
      </c>
      <c r="D341" s="1" t="s">
        <v>3192</v>
      </c>
      <c r="E341" s="1" t="s">
        <v>1327</v>
      </c>
      <c r="F341" s="1" t="s">
        <v>291</v>
      </c>
      <c r="G341" s="1" t="s">
        <v>163</v>
      </c>
      <c r="H341" s="1" t="s">
        <v>163</v>
      </c>
      <c r="I341" s="1" t="s">
        <v>3394</v>
      </c>
      <c r="J341" s="1" t="s">
        <v>3394</v>
      </c>
      <c r="K341" s="1" t="s">
        <v>1294</v>
      </c>
      <c r="L341" s="1" t="s">
        <v>1294</v>
      </c>
    </row>
    <row r="342" spans="1:12" x14ac:dyDescent="0.2">
      <c r="A342" s="1" t="s">
        <v>3193</v>
      </c>
      <c r="B342" s="1" t="s">
        <v>8</v>
      </c>
      <c r="C342" s="1" t="s">
        <v>3375</v>
      </c>
      <c r="D342" s="1" t="s">
        <v>3194</v>
      </c>
      <c r="E342" s="1" t="s">
        <v>2069</v>
      </c>
      <c r="F342" s="1" t="s">
        <v>291</v>
      </c>
      <c r="G342" s="1" t="s">
        <v>163</v>
      </c>
      <c r="H342" s="1" t="s">
        <v>163</v>
      </c>
      <c r="I342" s="1" t="s">
        <v>3394</v>
      </c>
      <c r="J342" s="1" t="s">
        <v>3394</v>
      </c>
      <c r="K342" s="1" t="s">
        <v>1294</v>
      </c>
      <c r="L342" s="1" t="s">
        <v>1294</v>
      </c>
    </row>
    <row r="343" spans="1:12" x14ac:dyDescent="0.2">
      <c r="A343" s="1" t="s">
        <v>3195</v>
      </c>
      <c r="B343" s="1" t="s">
        <v>8</v>
      </c>
      <c r="C343" s="1" t="s">
        <v>3375</v>
      </c>
      <c r="D343" s="1" t="s">
        <v>3196</v>
      </c>
      <c r="E343" s="1" t="s">
        <v>1330</v>
      </c>
      <c r="F343" s="1" t="s">
        <v>291</v>
      </c>
      <c r="G343" s="1" t="s">
        <v>163</v>
      </c>
      <c r="H343" s="1" t="s">
        <v>163</v>
      </c>
      <c r="I343" s="1" t="s">
        <v>3394</v>
      </c>
      <c r="J343" s="1" t="s">
        <v>3394</v>
      </c>
      <c r="K343" s="1" t="s">
        <v>1294</v>
      </c>
      <c r="L343" s="1" t="s">
        <v>1294</v>
      </c>
    </row>
    <row r="344" spans="1:12" x14ac:dyDescent="0.2">
      <c r="A344" s="1" t="s">
        <v>3271</v>
      </c>
      <c r="B344" s="1" t="s">
        <v>8</v>
      </c>
      <c r="C344" s="1" t="s">
        <v>3375</v>
      </c>
      <c r="D344" s="1" t="s">
        <v>3272</v>
      </c>
      <c r="E344" s="1" t="s">
        <v>1316</v>
      </c>
      <c r="F344" s="1" t="s">
        <v>291</v>
      </c>
      <c r="G344" s="1" t="s">
        <v>163</v>
      </c>
      <c r="H344" s="1" t="s">
        <v>163</v>
      </c>
      <c r="I344" s="1" t="s">
        <v>3394</v>
      </c>
      <c r="J344" s="1" t="s">
        <v>3394</v>
      </c>
      <c r="K344" s="1" t="s">
        <v>1294</v>
      </c>
      <c r="L344" s="1" t="s">
        <v>1294</v>
      </c>
    </row>
    <row r="345" spans="1:12" x14ac:dyDescent="0.2">
      <c r="A345" s="1" t="s">
        <v>3305</v>
      </c>
      <c r="B345" s="1" t="s">
        <v>8</v>
      </c>
      <c r="C345" s="1" t="s">
        <v>3375</v>
      </c>
      <c r="D345" s="1" t="s">
        <v>3306</v>
      </c>
      <c r="E345" s="1" t="s">
        <v>1351</v>
      </c>
      <c r="F345" s="1" t="s">
        <v>291</v>
      </c>
      <c r="G345" s="1" t="s">
        <v>163</v>
      </c>
      <c r="H345" s="1" t="s">
        <v>163</v>
      </c>
      <c r="I345" s="1" t="s">
        <v>3394</v>
      </c>
      <c r="J345" s="1" t="s">
        <v>3394</v>
      </c>
      <c r="K345" s="1" t="s">
        <v>1294</v>
      </c>
      <c r="L345" s="1" t="s">
        <v>1294</v>
      </c>
    </row>
    <row r="346" spans="1:12" x14ac:dyDescent="0.2">
      <c r="A346" s="1" t="s">
        <v>3307</v>
      </c>
      <c r="B346" s="1" t="s">
        <v>8</v>
      </c>
      <c r="C346" s="1" t="s">
        <v>3375</v>
      </c>
      <c r="D346" s="1" t="s">
        <v>3308</v>
      </c>
      <c r="E346" s="1" t="s">
        <v>1966</v>
      </c>
      <c r="F346" s="1" t="s">
        <v>291</v>
      </c>
      <c r="G346" s="1" t="s">
        <v>163</v>
      </c>
      <c r="H346" s="1" t="s">
        <v>163</v>
      </c>
      <c r="I346" s="1" t="s">
        <v>3394</v>
      </c>
      <c r="J346" s="1" t="s">
        <v>3394</v>
      </c>
      <c r="K346" s="1" t="s">
        <v>1294</v>
      </c>
      <c r="L346" s="1" t="s">
        <v>1294</v>
      </c>
    </row>
    <row r="347" spans="1:12" x14ac:dyDescent="0.2">
      <c r="A347" s="1" t="s">
        <v>3309</v>
      </c>
      <c r="B347" s="1" t="s">
        <v>8</v>
      </c>
      <c r="C347" s="1" t="s">
        <v>3375</v>
      </c>
      <c r="D347" s="1" t="s">
        <v>3310</v>
      </c>
      <c r="E347" s="1" t="s">
        <v>2008</v>
      </c>
      <c r="F347" s="1" t="s">
        <v>291</v>
      </c>
      <c r="G347" s="1" t="s">
        <v>163</v>
      </c>
      <c r="H347" s="1" t="s">
        <v>163</v>
      </c>
      <c r="I347" s="1" t="s">
        <v>3394</v>
      </c>
      <c r="J347" s="1" t="s">
        <v>3394</v>
      </c>
      <c r="K347" s="1" t="s">
        <v>1294</v>
      </c>
      <c r="L347" s="1" t="s">
        <v>1294</v>
      </c>
    </row>
    <row r="348" spans="1:12" x14ac:dyDescent="0.2">
      <c r="A348" s="1" t="s">
        <v>3315</v>
      </c>
      <c r="B348" s="1" t="s">
        <v>8</v>
      </c>
      <c r="C348" s="1" t="s">
        <v>3375</v>
      </c>
      <c r="D348" s="1" t="s">
        <v>3316</v>
      </c>
      <c r="E348" s="1" t="s">
        <v>2401</v>
      </c>
      <c r="F348" s="1" t="s">
        <v>291</v>
      </c>
      <c r="G348" s="1" t="s">
        <v>163</v>
      </c>
      <c r="H348" s="1" t="s">
        <v>163</v>
      </c>
      <c r="I348" s="1" t="s">
        <v>3394</v>
      </c>
      <c r="J348" s="1" t="s">
        <v>3394</v>
      </c>
      <c r="K348" s="1" t="s">
        <v>1294</v>
      </c>
      <c r="L348" s="1" t="s">
        <v>1294</v>
      </c>
    </row>
    <row r="349" spans="1:12" x14ac:dyDescent="0.2">
      <c r="A349" s="1" t="s">
        <v>3317</v>
      </c>
      <c r="B349" s="1" t="s">
        <v>8</v>
      </c>
      <c r="C349" s="1" t="s">
        <v>3375</v>
      </c>
      <c r="D349" s="1" t="s">
        <v>3318</v>
      </c>
      <c r="E349" s="1" t="s">
        <v>1324</v>
      </c>
      <c r="F349" s="1" t="s">
        <v>291</v>
      </c>
      <c r="G349" s="1" t="s">
        <v>163</v>
      </c>
      <c r="H349" s="1" t="s">
        <v>163</v>
      </c>
      <c r="I349" s="1" t="s">
        <v>3394</v>
      </c>
      <c r="J349" s="1" t="s">
        <v>3394</v>
      </c>
      <c r="K349" s="1" t="s">
        <v>1294</v>
      </c>
      <c r="L349" s="1" t="s">
        <v>1294</v>
      </c>
    </row>
    <row r="350" spans="1:12" x14ac:dyDescent="0.2">
      <c r="A350" s="1" t="s">
        <v>3319</v>
      </c>
      <c r="B350" s="1" t="s">
        <v>8</v>
      </c>
      <c r="C350" s="1" t="s">
        <v>3375</v>
      </c>
      <c r="D350" s="1" t="s">
        <v>3320</v>
      </c>
      <c r="E350" s="1" t="s">
        <v>2084</v>
      </c>
      <c r="F350" s="1" t="s">
        <v>291</v>
      </c>
      <c r="G350" s="1" t="s">
        <v>163</v>
      </c>
      <c r="H350" s="1" t="s">
        <v>163</v>
      </c>
      <c r="I350" s="1" t="s">
        <v>3394</v>
      </c>
      <c r="J350" s="1" t="s">
        <v>3394</v>
      </c>
      <c r="K350" s="1" t="s">
        <v>1294</v>
      </c>
      <c r="L350" s="1" t="s">
        <v>1294</v>
      </c>
    </row>
    <row r="351" spans="1:12" x14ac:dyDescent="0.2">
      <c r="A351" s="1" t="s">
        <v>3321</v>
      </c>
      <c r="B351" s="1" t="s">
        <v>8</v>
      </c>
      <c r="C351" s="1" t="s">
        <v>3375</v>
      </c>
      <c r="D351" s="1" t="s">
        <v>3322</v>
      </c>
      <c r="E351" s="1" t="s">
        <v>2081</v>
      </c>
      <c r="F351" s="1" t="s">
        <v>291</v>
      </c>
      <c r="G351" s="1" t="s">
        <v>163</v>
      </c>
      <c r="H351" s="1" t="s">
        <v>163</v>
      </c>
      <c r="I351" s="1" t="s">
        <v>3394</v>
      </c>
      <c r="J351" s="1" t="s">
        <v>3394</v>
      </c>
      <c r="K351" s="1" t="s">
        <v>1294</v>
      </c>
      <c r="L351" s="1" t="s">
        <v>1294</v>
      </c>
    </row>
    <row r="352" spans="1:12" x14ac:dyDescent="0.2">
      <c r="A352" s="1" t="s">
        <v>3323</v>
      </c>
      <c r="B352" s="1" t="s">
        <v>8</v>
      </c>
      <c r="C352" s="1" t="s">
        <v>3375</v>
      </c>
      <c r="D352" s="1" t="s">
        <v>3324</v>
      </c>
      <c r="E352" s="1" t="s">
        <v>2632</v>
      </c>
      <c r="F352" s="1" t="s">
        <v>291</v>
      </c>
      <c r="G352" s="1" t="s">
        <v>163</v>
      </c>
      <c r="H352" s="1" t="s">
        <v>163</v>
      </c>
      <c r="I352" s="1" t="s">
        <v>3394</v>
      </c>
      <c r="J352" s="1" t="s">
        <v>3394</v>
      </c>
      <c r="K352" s="1" t="s">
        <v>1294</v>
      </c>
      <c r="L352" s="1" t="s">
        <v>1294</v>
      </c>
    </row>
    <row r="353" spans="1:12" x14ac:dyDescent="0.2">
      <c r="A353" s="1" t="s">
        <v>3325</v>
      </c>
      <c r="B353" s="1" t="s">
        <v>8</v>
      </c>
      <c r="C353" s="1" t="s">
        <v>3375</v>
      </c>
      <c r="D353" s="1" t="s">
        <v>3326</v>
      </c>
      <c r="E353" s="18" t="s">
        <v>3327</v>
      </c>
      <c r="F353" s="1" t="s">
        <v>291</v>
      </c>
      <c r="G353" s="1" t="s">
        <v>163</v>
      </c>
      <c r="H353" s="1" t="s">
        <v>163</v>
      </c>
      <c r="I353" s="1" t="s">
        <v>3394</v>
      </c>
      <c r="J353" s="1" t="s">
        <v>3394</v>
      </c>
      <c r="K353" s="1" t="s">
        <v>1294</v>
      </c>
      <c r="L353" s="1" t="s">
        <v>1294</v>
      </c>
    </row>
    <row r="354" spans="1:12" x14ac:dyDescent="0.2">
      <c r="A354" s="1" t="s">
        <v>3334</v>
      </c>
      <c r="B354" s="1" t="s">
        <v>8</v>
      </c>
      <c r="C354" s="1" t="s">
        <v>3375</v>
      </c>
      <c r="D354" s="1" t="s">
        <v>3335</v>
      </c>
      <c r="E354" s="1" t="s">
        <v>3336</v>
      </c>
      <c r="F354" s="1" t="s">
        <v>291</v>
      </c>
      <c r="G354" s="1" t="s">
        <v>163</v>
      </c>
      <c r="H354" s="1" t="s">
        <v>163</v>
      </c>
      <c r="I354" s="1" t="s">
        <v>3394</v>
      </c>
      <c r="J354" s="1" t="s">
        <v>3394</v>
      </c>
      <c r="K354" s="1" t="s">
        <v>1294</v>
      </c>
      <c r="L354" s="1" t="s">
        <v>1294</v>
      </c>
    </row>
    <row r="355" spans="1:12" x14ac:dyDescent="0.2">
      <c r="A355" s="1" t="s">
        <v>3341</v>
      </c>
      <c r="B355" s="1" t="s">
        <v>8</v>
      </c>
      <c r="C355" s="1" t="s">
        <v>3375</v>
      </c>
      <c r="D355" s="1" t="s">
        <v>3342</v>
      </c>
      <c r="E355" s="1" t="s">
        <v>2075</v>
      </c>
      <c r="F355" s="1" t="s">
        <v>291</v>
      </c>
      <c r="G355" s="1" t="s">
        <v>163</v>
      </c>
      <c r="H355" s="1" t="s">
        <v>163</v>
      </c>
      <c r="I355" s="1" t="s">
        <v>3394</v>
      </c>
      <c r="J355" s="1" t="s">
        <v>3394</v>
      </c>
      <c r="K355" s="1" t="s">
        <v>1294</v>
      </c>
      <c r="L355" s="1" t="s">
        <v>1294</v>
      </c>
    </row>
    <row r="356" spans="1:12" x14ac:dyDescent="0.2">
      <c r="A356" s="1" t="s">
        <v>3343</v>
      </c>
      <c r="B356" s="1" t="s">
        <v>8</v>
      </c>
      <c r="C356" s="1" t="s">
        <v>3375</v>
      </c>
      <c r="D356" s="1" t="s">
        <v>3344</v>
      </c>
      <c r="E356" s="1" t="s">
        <v>2072</v>
      </c>
      <c r="F356" s="1" t="s">
        <v>291</v>
      </c>
      <c r="G356" s="1" t="s">
        <v>163</v>
      </c>
      <c r="H356" s="1" t="s">
        <v>163</v>
      </c>
      <c r="I356" s="1" t="s">
        <v>3394</v>
      </c>
      <c r="J356" s="1" t="s">
        <v>3394</v>
      </c>
      <c r="K356" s="1" t="s">
        <v>1294</v>
      </c>
      <c r="L356" s="1" t="s">
        <v>1294</v>
      </c>
    </row>
    <row r="357" spans="1:12" x14ac:dyDescent="0.2">
      <c r="A357" s="1" t="s">
        <v>3345</v>
      </c>
      <c r="B357" s="1" t="s">
        <v>8</v>
      </c>
      <c r="C357" s="1" t="s">
        <v>3375</v>
      </c>
      <c r="D357" s="1" t="s">
        <v>3346</v>
      </c>
      <c r="E357" s="1" t="s">
        <v>1333</v>
      </c>
      <c r="F357" s="1" t="s">
        <v>291</v>
      </c>
      <c r="G357" s="1" t="s">
        <v>163</v>
      </c>
      <c r="H357" s="1" t="s">
        <v>163</v>
      </c>
      <c r="I357" s="1" t="s">
        <v>3394</v>
      </c>
      <c r="J357" s="1" t="s">
        <v>3394</v>
      </c>
      <c r="K357" s="1" t="s">
        <v>1294</v>
      </c>
      <c r="L357" s="1" t="s">
        <v>1294</v>
      </c>
    </row>
    <row r="358" spans="1:12" x14ac:dyDescent="0.2">
      <c r="A358" s="1" t="s">
        <v>3347</v>
      </c>
      <c r="B358" s="1" t="s">
        <v>8</v>
      </c>
      <c r="C358" s="1" t="s">
        <v>3375</v>
      </c>
      <c r="D358" s="1" t="s">
        <v>3348</v>
      </c>
      <c r="E358" s="1" t="s">
        <v>3349</v>
      </c>
      <c r="F358" s="1" t="s">
        <v>291</v>
      </c>
      <c r="G358" s="1" t="s">
        <v>163</v>
      </c>
      <c r="H358" s="1" t="s">
        <v>163</v>
      </c>
      <c r="I358" s="1" t="s">
        <v>3394</v>
      </c>
      <c r="J358" s="1" t="s">
        <v>3394</v>
      </c>
      <c r="K358" s="1" t="s">
        <v>1294</v>
      </c>
      <c r="L358" s="1" t="s">
        <v>1294</v>
      </c>
    </row>
    <row r="359" spans="1:12" x14ac:dyDescent="0.2">
      <c r="A359" s="1" t="s">
        <v>3350</v>
      </c>
      <c r="B359" s="1" t="s">
        <v>8</v>
      </c>
      <c r="C359" s="1" t="s">
        <v>3375</v>
      </c>
      <c r="D359" s="1" t="s">
        <v>3351</v>
      </c>
      <c r="E359" s="1" t="s">
        <v>2484</v>
      </c>
      <c r="F359" s="1" t="s">
        <v>291</v>
      </c>
      <c r="G359" s="1" t="s">
        <v>163</v>
      </c>
      <c r="H359" s="1" t="s">
        <v>163</v>
      </c>
      <c r="I359" s="1" t="s">
        <v>3394</v>
      </c>
      <c r="J359" s="1" t="s">
        <v>3394</v>
      </c>
      <c r="K359" s="1" t="s">
        <v>1294</v>
      </c>
      <c r="L359" s="1" t="s">
        <v>1294</v>
      </c>
    </row>
    <row r="360" spans="1:12" x14ac:dyDescent="0.2">
      <c r="A360" s="1" t="s">
        <v>3356</v>
      </c>
      <c r="B360" s="1" t="s">
        <v>8</v>
      </c>
      <c r="C360" s="1" t="s">
        <v>3375</v>
      </c>
      <c r="D360" s="1" t="s">
        <v>3357</v>
      </c>
      <c r="E360" s="1" t="s">
        <v>1978</v>
      </c>
      <c r="F360" s="1" t="s">
        <v>291</v>
      </c>
      <c r="G360" s="1" t="s">
        <v>163</v>
      </c>
      <c r="H360" s="1" t="s">
        <v>163</v>
      </c>
      <c r="I360" s="1" t="s">
        <v>3394</v>
      </c>
      <c r="J360" s="1" t="s">
        <v>3394</v>
      </c>
      <c r="K360" s="1" t="s">
        <v>1294</v>
      </c>
      <c r="L360" s="1" t="s">
        <v>1294</v>
      </c>
    </row>
    <row r="361" spans="1:12" x14ac:dyDescent="0.2">
      <c r="A361" s="1" t="s">
        <v>3358</v>
      </c>
      <c r="B361" s="1" t="s">
        <v>8</v>
      </c>
      <c r="C361" s="1" t="s">
        <v>3375</v>
      </c>
      <c r="D361" s="1" t="s">
        <v>3359</v>
      </c>
      <c r="E361" s="1" t="s">
        <v>2481</v>
      </c>
      <c r="F361" s="1" t="s">
        <v>291</v>
      </c>
      <c r="G361" s="1" t="s">
        <v>163</v>
      </c>
      <c r="H361" s="1" t="s">
        <v>163</v>
      </c>
      <c r="I361" s="1" t="s">
        <v>3394</v>
      </c>
      <c r="J361" s="1" t="s">
        <v>3394</v>
      </c>
      <c r="K361" s="1" t="s">
        <v>1294</v>
      </c>
      <c r="L361" s="1" t="s">
        <v>1294</v>
      </c>
    </row>
    <row r="362" spans="1:12" x14ac:dyDescent="0.2">
      <c r="A362" s="1" t="s">
        <v>3360</v>
      </c>
      <c r="B362" s="1" t="s">
        <v>8</v>
      </c>
      <c r="C362" s="1" t="s">
        <v>3375</v>
      </c>
      <c r="D362" s="1" t="s">
        <v>3361</v>
      </c>
      <c r="E362" s="12" t="s">
        <v>1963</v>
      </c>
      <c r="F362" s="1" t="s">
        <v>291</v>
      </c>
      <c r="G362" s="1" t="s">
        <v>163</v>
      </c>
      <c r="H362" s="1" t="s">
        <v>163</v>
      </c>
      <c r="I362" s="1" t="s">
        <v>3394</v>
      </c>
      <c r="J362" s="1" t="s">
        <v>3394</v>
      </c>
      <c r="K362" s="1" t="s">
        <v>1294</v>
      </c>
      <c r="L362" s="1" t="s">
        <v>1294</v>
      </c>
    </row>
    <row r="363" spans="1:12" x14ac:dyDescent="0.2">
      <c r="A363" s="1" t="s">
        <v>3362</v>
      </c>
      <c r="B363" s="1" t="s">
        <v>8</v>
      </c>
      <c r="C363" s="1" t="s">
        <v>3375</v>
      </c>
      <c r="D363" s="1" t="s">
        <v>3363</v>
      </c>
      <c r="E363" s="1" t="s">
        <v>1342</v>
      </c>
      <c r="F363" s="1" t="s">
        <v>291</v>
      </c>
      <c r="G363" s="1" t="s">
        <v>163</v>
      </c>
      <c r="H363" s="1" t="s">
        <v>163</v>
      </c>
      <c r="I363" s="1" t="s">
        <v>3394</v>
      </c>
      <c r="J363" s="1" t="s">
        <v>3394</v>
      </c>
      <c r="K363" s="1" t="s">
        <v>1294</v>
      </c>
      <c r="L363" s="1" t="s">
        <v>1294</v>
      </c>
    </row>
    <row r="364" spans="1:12" x14ac:dyDescent="0.2">
      <c r="A364" s="1" t="s">
        <v>3364</v>
      </c>
      <c r="B364" s="1" t="s">
        <v>8</v>
      </c>
      <c r="C364" s="1" t="s">
        <v>3375</v>
      </c>
      <c r="D364" s="1" t="s">
        <v>3365</v>
      </c>
      <c r="E364" s="1" t="s">
        <v>2026</v>
      </c>
      <c r="F364" s="1" t="s">
        <v>291</v>
      </c>
      <c r="G364" s="1" t="s">
        <v>163</v>
      </c>
      <c r="H364" s="1" t="s">
        <v>163</v>
      </c>
      <c r="I364" s="1" t="s">
        <v>3394</v>
      </c>
      <c r="J364" s="1" t="s">
        <v>3394</v>
      </c>
      <c r="K364" s="1" t="s">
        <v>1294</v>
      </c>
      <c r="L364" s="1" t="s">
        <v>1294</v>
      </c>
    </row>
    <row r="365" spans="1:12" x14ac:dyDescent="0.2">
      <c r="A365" s="1" t="s">
        <v>3366</v>
      </c>
      <c r="B365" s="1" t="s">
        <v>8</v>
      </c>
      <c r="C365" s="1" t="s">
        <v>3375</v>
      </c>
      <c r="D365" s="1" t="s">
        <v>3367</v>
      </c>
      <c r="E365" s="12" t="s">
        <v>1339</v>
      </c>
      <c r="F365" s="1" t="s">
        <v>291</v>
      </c>
      <c r="G365" s="1" t="s">
        <v>163</v>
      </c>
      <c r="H365" s="1" t="s">
        <v>163</v>
      </c>
      <c r="I365" s="1" t="s">
        <v>3394</v>
      </c>
      <c r="J365" s="1" t="s">
        <v>3394</v>
      </c>
      <c r="K365" s="1" t="s">
        <v>1294</v>
      </c>
      <c r="L365" s="1" t="s">
        <v>1294</v>
      </c>
    </row>
    <row r="366" spans="1:12" x14ac:dyDescent="0.2">
      <c r="A366" s="1" t="s">
        <v>3368</v>
      </c>
      <c r="B366" s="1" t="s">
        <v>8</v>
      </c>
      <c r="C366" s="1" t="s">
        <v>3375</v>
      </c>
      <c r="D366" s="1" t="s">
        <v>3369</v>
      </c>
      <c r="E366" s="12" t="s">
        <v>1386</v>
      </c>
      <c r="F366" s="1" t="s">
        <v>291</v>
      </c>
      <c r="G366" s="1" t="s">
        <v>163</v>
      </c>
      <c r="H366" s="1" t="s">
        <v>163</v>
      </c>
      <c r="I366" s="1" t="s">
        <v>3394</v>
      </c>
      <c r="J366" s="1" t="s">
        <v>3394</v>
      </c>
      <c r="K366" s="1" t="s">
        <v>1294</v>
      </c>
      <c r="L366" s="1" t="s">
        <v>1294</v>
      </c>
    </row>
  </sheetData>
  <pageMargins left="3.937007874015748E-2" right="3.937007874015748E-2" top="0.19685039370078741" bottom="0.19685039370078741" header="0.31496062992125984" footer="0.31496062992125984"/>
  <pageSetup paperSize="9" scale="58"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C6D0-9223-4344-9A1C-15EDEB6FE1C9}">
  <dimension ref="B4:Z112"/>
  <sheetViews>
    <sheetView zoomScale="70" zoomScaleNormal="70" workbookViewId="0">
      <selection activeCell="D39" sqref="D39"/>
    </sheetView>
  </sheetViews>
  <sheetFormatPr baseColWidth="10" defaultRowHeight="15" x14ac:dyDescent="0.2"/>
  <cols>
    <col min="1" max="1" width="9.5" customWidth="1"/>
    <col min="2" max="2" width="41.83203125" customWidth="1"/>
    <col min="3" max="3" width="14.5" customWidth="1"/>
    <col min="4" max="4" width="17.1640625" customWidth="1"/>
    <col min="5" max="5" width="14.5" customWidth="1"/>
    <col min="6" max="6" width="15.5" customWidth="1"/>
    <col min="7" max="7" width="18.1640625" customWidth="1"/>
    <col min="10" max="10" width="14.1640625" customWidth="1"/>
    <col min="12" max="12" width="15.6640625" customWidth="1"/>
    <col min="18" max="18" width="40" customWidth="1"/>
  </cols>
  <sheetData>
    <row r="4" spans="2:8" x14ac:dyDescent="0.2">
      <c r="B4" s="21" t="s">
        <v>3395</v>
      </c>
      <c r="C4" s="21" t="s">
        <v>3396</v>
      </c>
      <c r="D4" s="21" t="s">
        <v>3397</v>
      </c>
      <c r="E4" s="21" t="s">
        <v>3398</v>
      </c>
      <c r="F4" s="21" t="s">
        <v>3399</v>
      </c>
      <c r="G4" s="21" t="s">
        <v>3421</v>
      </c>
      <c r="H4" s="21" t="s">
        <v>3420</v>
      </c>
    </row>
    <row r="5" spans="2:8" x14ac:dyDescent="0.2">
      <c r="B5" s="21" t="s">
        <v>3394</v>
      </c>
      <c r="C5" s="21">
        <f>IFERROR(GETPIVOTDATA("Cantidad",'TD AVANCE'!$B$3,"ESTADO",$B5,"CIRCUITO",C$4),0)</f>
        <v>166</v>
      </c>
      <c r="D5" s="21">
        <f>IFERROR(GETPIVOTDATA("Cantidad",'TD AVANCE'!$B$3,"ESTADO",$B5,"CIRCUITO",D$4),0)</f>
        <v>213</v>
      </c>
      <c r="E5" s="21">
        <f>IFERROR(GETPIVOTDATA("Cantidad",'TD AVANCE'!$B$3,"ESTADO",$B5,"CIRCUITO",E$4),0)</f>
        <v>315</v>
      </c>
      <c r="F5" s="21">
        <f>IFERROR(GETPIVOTDATA("Cantidad",'TD AVANCE'!$B$3,"ESTADO",$B5,"CIRCUITO",F$4),0)</f>
        <v>351</v>
      </c>
      <c r="G5" s="21">
        <f>IFERROR(GETPIVOTDATA("Cantidad",'TD AVANCE'!$B$3,"ESTADO",$B5,"CIRCUITO",G$4),0)</f>
        <v>51</v>
      </c>
      <c r="H5" s="21">
        <f>SUM(SEGEN[[#This Row],[CTO 5]:[Otros]])</f>
        <v>1096</v>
      </c>
    </row>
    <row r="6" spans="2:8" x14ac:dyDescent="0.2">
      <c r="B6" s="21" t="s">
        <v>3393</v>
      </c>
      <c r="C6" s="21">
        <f>IFERROR(GETPIVOTDATA("Cantidad",'TD AVANCE'!$B$3,"ESTADO",$B6,"CIRCUITO",C$4),0)</f>
        <v>88</v>
      </c>
      <c r="D6" s="21">
        <f>IFERROR(GETPIVOTDATA("Cantidad",'TD AVANCE'!$B$3,"ESTADO",$B6,"CIRCUITO",D$4),0)</f>
        <v>33</v>
      </c>
      <c r="E6" s="21">
        <f>IFERROR(GETPIVOTDATA("Cantidad",'TD AVANCE'!$B$3,"ESTADO",$B6,"CIRCUITO",E$4),0)</f>
        <v>16</v>
      </c>
      <c r="F6" s="21">
        <f>IFERROR(GETPIVOTDATA("Cantidad",'TD AVANCE'!$B$3,"ESTADO",$B6,"CIRCUITO",F$4),0)</f>
        <v>36</v>
      </c>
      <c r="G6" s="21">
        <f>IFERROR(GETPIVOTDATA("Cantidad",'TD AVANCE'!$B$3,"ESTADO",$B6,"CIRCUITO",G$4),0)</f>
        <v>20</v>
      </c>
      <c r="H6" s="21">
        <f>SUM(SEGEN[[#This Row],[CTO 5]:[Otros]])</f>
        <v>193</v>
      </c>
    </row>
    <row r="7" spans="2:8" x14ac:dyDescent="0.2">
      <c r="B7" s="21" t="s">
        <v>3402</v>
      </c>
      <c r="C7" s="21">
        <f>IFERROR(GETPIVOTDATA("Cantidad",'TD AVANCE'!$B$3,"ESTADO",$B7,"CIRCUITO",C$4),0)</f>
        <v>24</v>
      </c>
      <c r="D7" s="21">
        <f>IFERROR(GETPIVOTDATA("Cantidad",'TD AVANCE'!$B$3,"ESTADO",$B7,"CIRCUITO",D$4),0)</f>
        <v>15</v>
      </c>
      <c r="E7" s="21">
        <f>IFERROR(GETPIVOTDATA("Cantidad",'TD AVANCE'!$B$3,"ESTADO",$B7,"CIRCUITO",E$4),0)</f>
        <v>22</v>
      </c>
      <c r="F7" s="21">
        <f>IFERROR(GETPIVOTDATA("Cantidad",'TD AVANCE'!$B$3,"ESTADO",$B7,"CIRCUITO",F$4),0)</f>
        <v>6</v>
      </c>
      <c r="G7" s="21">
        <f>IFERROR(GETPIVOTDATA("Cantidad",'TD AVANCE'!$B$3,"ESTADO",$B7,"CIRCUITO",G$4),0)</f>
        <v>7</v>
      </c>
      <c r="H7" s="21">
        <f>SUM(SEGEN[[#This Row],[CTO 5]:[Otros]])</f>
        <v>74</v>
      </c>
    </row>
    <row r="8" spans="2:8" x14ac:dyDescent="0.2">
      <c r="B8" s="21"/>
      <c r="C8" s="21"/>
      <c r="D8" s="21"/>
      <c r="E8" s="21"/>
      <c r="F8" s="21"/>
      <c r="G8" s="21"/>
      <c r="H8" s="21"/>
    </row>
    <row r="9" spans="2:8" x14ac:dyDescent="0.2">
      <c r="B9" s="21" t="s">
        <v>3401</v>
      </c>
      <c r="C9" s="21">
        <f>SUBTOTAL(109,C5:C7)</f>
        <v>278</v>
      </c>
      <c r="D9" s="21">
        <f t="shared" ref="D9:G9" si="0">SUBTOTAL(109,D5:D7)</f>
        <v>261</v>
      </c>
      <c r="E9" s="21">
        <f t="shared" si="0"/>
        <v>353</v>
      </c>
      <c r="F9" s="21">
        <f t="shared" si="0"/>
        <v>393</v>
      </c>
      <c r="G9" s="21">
        <f t="shared" si="0"/>
        <v>78</v>
      </c>
      <c r="H9" s="21">
        <f>SUBTOTAL(109,H5:H8)</f>
        <v>1363</v>
      </c>
    </row>
    <row r="20" spans="2:23" ht="48" x14ac:dyDescent="0.2">
      <c r="B20" t="s">
        <v>1</v>
      </c>
      <c r="C20" s="21" t="s">
        <v>3422</v>
      </c>
      <c r="D20" s="21" t="s">
        <v>3424</v>
      </c>
      <c r="E20" s="22" t="s">
        <v>3446</v>
      </c>
      <c r="F20" s="21" t="s">
        <v>3445</v>
      </c>
      <c r="R20" t="s">
        <v>1</v>
      </c>
      <c r="S20" s="21" t="s">
        <v>3422</v>
      </c>
      <c r="T20" s="21" t="s">
        <v>3424</v>
      </c>
      <c r="U20" s="22" t="s">
        <v>3446</v>
      </c>
      <c r="V20" s="21" t="s">
        <v>3445</v>
      </c>
    </row>
    <row r="21" spans="2:23" x14ac:dyDescent="0.2">
      <c r="B21" s="48" t="s">
        <v>102</v>
      </c>
      <c r="C21" s="21">
        <f>IFERROR(GETPIVOTDATA("Cantidad",'TD AVANCE'!$B$20,"PART",$B21),0)</f>
        <v>1</v>
      </c>
      <c r="D21" s="22">
        <f>IFERROR(GETPIVOTDATA("Cantidad",'TD AVANCE'!$B$20,"PART",$B21,"ESTADO","CERRADO"),0)</f>
        <v>1</v>
      </c>
      <c r="E21" s="22">
        <f>IFERROR(GETPIVOTDATA("Cantidad",'TD AVANCE'!$B$20,"PART",$B21,"ESTADO","PTE Validar Enel"),0)</f>
        <v>0</v>
      </c>
      <c r="F21" s="22">
        <f>Tabla7[[#This Row],[Cantidad]]-Tabla7[[#This Row],[Cerrados]]-Tabla7[[#This Row],[Pendiente validación de ENEL]]</f>
        <v>0</v>
      </c>
      <c r="G21" s="22"/>
      <c r="R21" s="48" t="s">
        <v>102</v>
      </c>
      <c r="S21" s="21">
        <f>IFERROR(GETPIVOTDATA("Cantidad",'TD AVANCE'!$B$20,"PART",$R21),0)</f>
        <v>1</v>
      </c>
      <c r="T21" s="22">
        <f>IFERROR(GETPIVOTDATA("Cantidad",'TD AVANCE'!$B$20,"PART",$R21,"ESTADO","CERRADO"),0)</f>
        <v>1</v>
      </c>
      <c r="U21" s="22">
        <f>IFERROR(GETPIVOTDATA("Cantidad",'TD AVANCE'!$B$20,"PART",$R21,"ESTADO","PTE Validar Enel"),0)</f>
        <v>0</v>
      </c>
      <c r="V21" s="22">
        <f>Tabla711[[#This Row],[Cantidad]]-Tabla711[[#This Row],[Cerrados]]-Tabla711[[#This Row],[Pendiente validación de ENEL]]</f>
        <v>0</v>
      </c>
    </row>
    <row r="22" spans="2:23" x14ac:dyDescent="0.2">
      <c r="B22" s="49" t="s">
        <v>1440</v>
      </c>
      <c r="C22" s="21">
        <f>IFERROR(GETPIVOTDATA("Cantidad",'TD AVANCE'!$B$20,"PART",$B22),0)</f>
        <v>1</v>
      </c>
      <c r="D22" s="22">
        <f>IFERROR(GETPIVOTDATA("Cantidad",'TD AVANCE'!$B$20,"PART",$B22,"ESTADO","CERRADO"),0)</f>
        <v>0</v>
      </c>
      <c r="E22" s="22">
        <f>IFERROR(GETPIVOTDATA("Cantidad",'TD AVANCE'!$B$20,"PART",$B22,"ESTADO","PTE Validar Enel"),0)</f>
        <v>1</v>
      </c>
      <c r="F22" s="22">
        <f>Tabla7[[#This Row],[Cantidad]]-Tabla7[[#This Row],[Cerrados]]-Tabla7[[#This Row],[Pendiente validación de ENEL]]</f>
        <v>0</v>
      </c>
      <c r="G22" s="22"/>
      <c r="R22" s="49" t="s">
        <v>1440</v>
      </c>
      <c r="S22" s="21">
        <f>IFERROR(GETPIVOTDATA("Cantidad",'TD AVANCE'!$B$20,"PART",$R22),0)</f>
        <v>1</v>
      </c>
      <c r="T22" s="22">
        <f>IFERROR(GETPIVOTDATA("Cantidad",'TD AVANCE'!$B$20,"PART",$R22,"ESTADO","CERRADO"),0)</f>
        <v>0</v>
      </c>
      <c r="U22" s="22">
        <f>IFERROR(GETPIVOTDATA("Cantidad",'TD AVANCE'!$B$20,"PART",$R22,"ESTADO","PTE Validar Enel"),0)</f>
        <v>1</v>
      </c>
      <c r="V22" s="22">
        <f>Tabla711[[#This Row],[Cantidad]]-Tabla711[[#This Row],[Cerrados]]-Tabla711[[#This Row],[Pendiente validación de ENEL]]</f>
        <v>0</v>
      </c>
    </row>
    <row r="23" spans="2:23" x14ac:dyDescent="0.2">
      <c r="B23" s="49" t="s">
        <v>1452</v>
      </c>
      <c r="C23" s="21">
        <f>IFERROR(GETPIVOTDATA("Cantidad",'TD AVANCE'!$B$20,"PART",$B23),0)</f>
        <v>2</v>
      </c>
      <c r="D23" s="22">
        <f>IFERROR(GETPIVOTDATA("Cantidad",'TD AVANCE'!$B$20,"PART",$B23,"ESTADO","CERRADO"),0)</f>
        <v>2</v>
      </c>
      <c r="E23" s="22">
        <f>IFERROR(GETPIVOTDATA("Cantidad",'TD AVANCE'!$B$20,"PART",$B23,"ESTADO","PTE Validar Enel"),0)</f>
        <v>0</v>
      </c>
      <c r="F23" s="22">
        <f>Tabla7[[#This Row],[Cantidad]]-Tabla7[[#This Row],[Cerrados]]-Tabla7[[#This Row],[Pendiente validación de ENEL]]</f>
        <v>0</v>
      </c>
      <c r="G23" s="22"/>
      <c r="R23" s="49" t="s">
        <v>1452</v>
      </c>
      <c r="S23" s="21">
        <f>IFERROR(GETPIVOTDATA("Cantidad",'TD AVANCE'!$B$20,"PART",$R23),0)</f>
        <v>2</v>
      </c>
      <c r="T23" s="22">
        <f>IFERROR(GETPIVOTDATA("Cantidad",'TD AVANCE'!$B$20,"PART",$R23,"ESTADO","CERRADO"),0)</f>
        <v>2</v>
      </c>
      <c r="U23" s="22">
        <f>IFERROR(GETPIVOTDATA("Cantidad",'TD AVANCE'!$B$20,"PART",$R23,"ESTADO","PTE Validar Enel"),0)</f>
        <v>0</v>
      </c>
      <c r="V23" s="22">
        <f>Tabla711[[#This Row],[Cantidad]]-Tabla711[[#This Row],[Cerrados]]-Tabla711[[#This Row],[Pendiente validación de ENEL]]</f>
        <v>0</v>
      </c>
    </row>
    <row r="24" spans="2:23" x14ac:dyDescent="0.2">
      <c r="B24" s="48" t="s">
        <v>1371</v>
      </c>
      <c r="C24" s="21">
        <f>IFERROR(GETPIVOTDATA("Cantidad",'TD AVANCE'!$B$20,"PART",$B24),0)</f>
        <v>5</v>
      </c>
      <c r="D24" s="22">
        <f>IFERROR(GETPIVOTDATA("Cantidad",'TD AVANCE'!$B$20,"PART",$B24,"ESTADO","CERRADO"),0)</f>
        <v>4</v>
      </c>
      <c r="E24" s="22">
        <f>IFERROR(GETPIVOTDATA("Cantidad",'TD AVANCE'!$B$20,"PART",$B24,"ESTADO","PTE Validar Enel"),0)</f>
        <v>0</v>
      </c>
      <c r="F24" s="22">
        <f>Tabla7[[#This Row],[Cantidad]]-Tabla7[[#This Row],[Cerrados]]-Tabla7[[#This Row],[Pendiente validación de ENEL]]</f>
        <v>1</v>
      </c>
      <c r="G24" s="22"/>
      <c r="R24" s="48" t="s">
        <v>1371</v>
      </c>
      <c r="S24" s="21">
        <f>IFERROR(GETPIVOTDATA("Cantidad",'TD AVANCE'!$B$20,"PART",$R24),0)</f>
        <v>5</v>
      </c>
      <c r="T24" s="22">
        <f>IFERROR(GETPIVOTDATA("Cantidad",'TD AVANCE'!$B$20,"PART",$R24,"ESTADO","CERRADO"),0)</f>
        <v>4</v>
      </c>
      <c r="U24" s="22">
        <f>IFERROR(GETPIVOTDATA("Cantidad",'TD AVANCE'!$B$20,"PART",$R24,"ESTADO","PTE Validar Enel"),0)</f>
        <v>0</v>
      </c>
      <c r="V24" s="22">
        <f>Tabla711[[#This Row],[Cantidad]]-Tabla711[[#This Row],[Cerrados]]-Tabla711[[#This Row],[Pendiente validación de ENEL]]</f>
        <v>1</v>
      </c>
    </row>
    <row r="25" spans="2:23" x14ac:dyDescent="0.2">
      <c r="B25" s="48" t="s">
        <v>1297</v>
      </c>
      <c r="C25" s="21">
        <f>IFERROR(GETPIVOTDATA("Cantidad",'TD AVANCE'!$B$20,"PART",$B25),0)</f>
        <v>14</v>
      </c>
      <c r="D25" s="22">
        <f>IFERROR(GETPIVOTDATA("Cantidad",'TD AVANCE'!$B$20,"PART",$B25,"ESTADO","CERRADO"),0)</f>
        <v>13</v>
      </c>
      <c r="E25" s="22">
        <f>IFERROR(GETPIVOTDATA("Cantidad",'TD AVANCE'!$B$20,"PART",$B25,"ESTADO","PTE Validar Enel"),0)</f>
        <v>0</v>
      </c>
      <c r="F25" s="22">
        <f>Tabla7[[#This Row],[Cantidad]]-Tabla7[[#This Row],[Cerrados]]-Tabla7[[#This Row],[Pendiente validación de ENEL]]</f>
        <v>1</v>
      </c>
      <c r="G25" s="22"/>
      <c r="R25" s="48" t="s">
        <v>1297</v>
      </c>
      <c r="S25" s="21">
        <f>IFERROR(GETPIVOTDATA("Cantidad",'TD AVANCE'!$B$20,"PART",$R25),0)</f>
        <v>14</v>
      </c>
      <c r="T25" s="22">
        <f>IFERROR(GETPIVOTDATA("Cantidad",'TD AVANCE'!$B$20,"PART",$R25,"ESTADO","CERRADO"),0)</f>
        <v>13</v>
      </c>
      <c r="U25" s="22">
        <f>IFERROR(GETPIVOTDATA("Cantidad",'TD AVANCE'!$B$20,"PART",$R25,"ESTADO","PTE Validar Enel"),0)</f>
        <v>0</v>
      </c>
      <c r="V25" s="22">
        <f>Tabla711[[#This Row],[Cantidad]]-Tabla711[[#This Row],[Cerrados]]-Tabla711[[#This Row],[Pendiente validación de ENEL]]</f>
        <v>1</v>
      </c>
    </row>
    <row r="26" spans="2:23" x14ac:dyDescent="0.2">
      <c r="B26" s="48" t="s">
        <v>47</v>
      </c>
      <c r="C26" s="21">
        <f>IFERROR(GETPIVOTDATA("Cantidad",'TD AVANCE'!$B$20,"PART",$B26),0)</f>
        <v>15</v>
      </c>
      <c r="D26" s="22">
        <f>IFERROR(GETPIVOTDATA("Cantidad",'TD AVANCE'!$B$20,"PART",$B26,"ESTADO","CERRADO"),0)</f>
        <v>15</v>
      </c>
      <c r="E26" s="22">
        <f>IFERROR(GETPIVOTDATA("Cantidad",'TD AVANCE'!$B$20,"PART",$B26,"ESTADO","PTE Validar Enel"),0)</f>
        <v>0</v>
      </c>
      <c r="F26" s="22">
        <f>Tabla7[[#This Row],[Cantidad]]-Tabla7[[#This Row],[Cerrados]]-Tabla7[[#This Row],[Pendiente validación de ENEL]]</f>
        <v>0</v>
      </c>
      <c r="G26" s="22"/>
      <c r="R26" s="48" t="s">
        <v>47</v>
      </c>
      <c r="S26" s="21">
        <f>IFERROR(GETPIVOTDATA("Cantidad",'TD AVANCE'!$B$20,"PART",$R26),0)</f>
        <v>15</v>
      </c>
      <c r="T26" s="22">
        <f>IFERROR(GETPIVOTDATA("Cantidad",'TD AVANCE'!$B$20,"PART",$R26,"ESTADO","CERRADO"),0)</f>
        <v>15</v>
      </c>
      <c r="U26" s="22">
        <f>IFERROR(GETPIVOTDATA("Cantidad",'TD AVANCE'!$B$20,"PART",$R26,"ESTADO","PTE Validar Enel"),0)</f>
        <v>0</v>
      </c>
      <c r="V26" s="22">
        <f>Tabla711[[#This Row],[Cantidad]]-Tabla711[[#This Row],[Cerrados]]-Tabla711[[#This Row],[Pendiente validación de ENEL]]</f>
        <v>0</v>
      </c>
    </row>
    <row r="27" spans="2:23" x14ac:dyDescent="0.2">
      <c r="B27" t="s">
        <v>1295</v>
      </c>
      <c r="C27" s="21">
        <f>IFERROR(GETPIVOTDATA("Cantidad",'TD AVANCE'!$B$20,"PART",$B27),0)</f>
        <v>18</v>
      </c>
      <c r="D27" s="22">
        <f>IFERROR(GETPIVOTDATA("Cantidad",'TD AVANCE'!$B$20,"PART",$B27,"ESTADO","CERRADO"),0)</f>
        <v>16</v>
      </c>
      <c r="E27" s="22">
        <f>IFERROR(GETPIVOTDATA("Cantidad",'TD AVANCE'!$B$20,"PART",$B27,"ESTADO","PTE Validar Enel"),0)</f>
        <v>0</v>
      </c>
      <c r="F27" s="22">
        <f>Tabla7[[#This Row],[Cantidad]]-Tabla7[[#This Row],[Cerrados]]-Tabla7[[#This Row],[Pendiente validación de ENEL]]</f>
        <v>2</v>
      </c>
      <c r="G27" s="22"/>
      <c r="R27" t="s">
        <v>1295</v>
      </c>
      <c r="S27" s="21">
        <f>IFERROR(GETPIVOTDATA("Cantidad",'TD AVANCE'!$B$20,"PART",$R27),0)</f>
        <v>18</v>
      </c>
      <c r="T27" s="22">
        <f>IFERROR(GETPIVOTDATA("Cantidad",'TD AVANCE'!$B$20,"PART",$R27,"ESTADO","CERRADO"),0)</f>
        <v>16</v>
      </c>
      <c r="U27" s="22">
        <f>IFERROR(GETPIVOTDATA("Cantidad",'TD AVANCE'!$B$20,"PART",$R27,"ESTADO","PTE Validar Enel"),0)</f>
        <v>0</v>
      </c>
      <c r="V27" s="22">
        <f>Tabla711[[#This Row],[Cantidad]]-Tabla711[[#This Row],[Cerrados]]-Tabla711[[#This Row],[Pendiente validación de ENEL]]</f>
        <v>2</v>
      </c>
      <c r="W27" t="s">
        <v>3447</v>
      </c>
    </row>
    <row r="28" spans="2:23" x14ac:dyDescent="0.2">
      <c r="B28" s="49" t="s">
        <v>1291</v>
      </c>
      <c r="C28" s="21">
        <f>IFERROR(GETPIVOTDATA("Cantidad",'TD AVANCE'!$B$20,"PART",$B28),0)</f>
        <v>56</v>
      </c>
      <c r="D28" s="22">
        <f>IFERROR(GETPIVOTDATA("Cantidad",'TD AVANCE'!$B$20,"PART",$B28,"ESTADO","CERRADO"),0)</f>
        <v>53</v>
      </c>
      <c r="E28" s="22">
        <f>IFERROR(GETPIVOTDATA("Cantidad",'TD AVANCE'!$B$20,"PART",$B28,"ESTADO","PTE Validar Enel"),0)</f>
        <v>3</v>
      </c>
      <c r="F28" s="22">
        <f>Tabla7[[#This Row],[Cantidad]]-Tabla7[[#This Row],[Cerrados]]-Tabla7[[#This Row],[Pendiente validación de ENEL]]</f>
        <v>0</v>
      </c>
      <c r="G28" s="22"/>
      <c r="R28" s="49" t="s">
        <v>1291</v>
      </c>
      <c r="S28" s="21">
        <f>IFERROR(GETPIVOTDATA("Cantidad",'TD AVANCE'!$B$20,"PART",$R28),0)</f>
        <v>56</v>
      </c>
      <c r="T28" s="22">
        <f>IFERROR(GETPIVOTDATA("Cantidad",'TD AVANCE'!$B$20,"PART",$R28,"ESTADO","CERRADO"),0)</f>
        <v>53</v>
      </c>
      <c r="U28" s="22">
        <f>IFERROR(GETPIVOTDATA("Cantidad",'TD AVANCE'!$B$20,"PART",$R28,"ESTADO","PTE Validar Enel"),0)</f>
        <v>3</v>
      </c>
      <c r="V28" s="22">
        <f>Tabla711[[#This Row],[Cantidad]]-Tabla711[[#This Row],[Cerrados]]-Tabla711[[#This Row],[Pendiente validación de ENEL]]</f>
        <v>0</v>
      </c>
      <c r="W28" t="s">
        <v>3448</v>
      </c>
    </row>
    <row r="29" spans="2:23" x14ac:dyDescent="0.2">
      <c r="B29" s="49" t="s">
        <v>1432</v>
      </c>
      <c r="C29" s="21">
        <f>IFERROR(GETPIVOTDATA("Cantidad",'TD AVANCE'!$B$20,"PART",$B29),0)</f>
        <v>6</v>
      </c>
      <c r="D29" s="22">
        <f>IFERROR(GETPIVOTDATA("Cantidad",'TD AVANCE'!$B$20,"PART",$B29,"ESTADO","CERRADO"),0)</f>
        <v>5</v>
      </c>
      <c r="E29" s="22">
        <f>IFERROR(GETPIVOTDATA("Cantidad",'TD AVANCE'!$B$20,"PART",$B29,"ESTADO","PTE Validar Enel"),0)</f>
        <v>1</v>
      </c>
      <c r="F29" s="22">
        <f>Tabla7[[#This Row],[Cantidad]]-Tabla7[[#This Row],[Cerrados]]-Tabla7[[#This Row],[Pendiente validación de ENEL]]</f>
        <v>0</v>
      </c>
      <c r="G29" s="22"/>
      <c r="R29" s="49" t="s">
        <v>1432</v>
      </c>
      <c r="S29" s="21">
        <f>IFERROR(GETPIVOTDATA("Cantidad",'TD AVANCE'!$B$20,"PART",$R29),0)</f>
        <v>6</v>
      </c>
      <c r="T29" s="22">
        <f>IFERROR(GETPIVOTDATA("Cantidad",'TD AVANCE'!$B$20,"PART",$R29,"ESTADO","CERRADO"),0)</f>
        <v>5</v>
      </c>
      <c r="U29" s="22">
        <f>IFERROR(GETPIVOTDATA("Cantidad",'TD AVANCE'!$B$20,"PART",$R29,"ESTADO","PTE Validar Enel"),0)</f>
        <v>1</v>
      </c>
      <c r="V29" s="22">
        <f>Tabla711[[#This Row],[Cantidad]]-Tabla711[[#This Row],[Cerrados]]-Tabla711[[#This Row],[Pendiente validación de ENEL]]</f>
        <v>0</v>
      </c>
    </row>
    <row r="30" spans="2:23" x14ac:dyDescent="0.2">
      <c r="B30" s="48" t="s">
        <v>290</v>
      </c>
      <c r="C30" s="21">
        <f>IFERROR(GETPIVOTDATA("Cantidad",'TD AVANCE'!$B$20,"PART",$B30),0)</f>
        <v>20</v>
      </c>
      <c r="D30" s="22">
        <f>IFERROR(GETPIVOTDATA("Cantidad",'TD AVANCE'!$B$20,"PART",$B30,"ESTADO","CERRADO"),0)</f>
        <v>18</v>
      </c>
      <c r="E30" s="22">
        <f>IFERROR(GETPIVOTDATA("Cantidad",'TD AVANCE'!$B$20,"PART",$B30,"ESTADO","PTE Validar Enel"),0)</f>
        <v>0</v>
      </c>
      <c r="F30" s="22">
        <f>Tabla7[[#This Row],[Cantidad]]-Tabla7[[#This Row],[Cerrados]]-Tabla7[[#This Row],[Pendiente validación de ENEL]]</f>
        <v>2</v>
      </c>
      <c r="G30" s="22"/>
      <c r="R30" s="48" t="s">
        <v>290</v>
      </c>
      <c r="S30" s="21">
        <f>IFERROR(GETPIVOTDATA("Cantidad",'TD AVANCE'!$B$20,"PART",$R30),0)</f>
        <v>20</v>
      </c>
      <c r="T30" s="22">
        <f>IFERROR(GETPIVOTDATA("Cantidad",'TD AVANCE'!$B$20,"PART",$R30,"ESTADO","CERRADO"),0)</f>
        <v>18</v>
      </c>
      <c r="U30" s="22">
        <f>IFERROR(GETPIVOTDATA("Cantidad",'TD AVANCE'!$B$20,"PART",$R30,"ESTADO","PTE Validar Enel"),0)</f>
        <v>0</v>
      </c>
      <c r="V30" s="22">
        <f>Tabla711[[#This Row],[Cantidad]]-Tabla711[[#This Row],[Cerrados]]-Tabla711[[#This Row],[Pendiente validación de ENEL]]</f>
        <v>2</v>
      </c>
      <c r="W30" t="s">
        <v>3449</v>
      </c>
    </row>
    <row r="31" spans="2:23" x14ac:dyDescent="0.2">
      <c r="B31" s="49" t="s">
        <v>1266</v>
      </c>
      <c r="C31" s="21">
        <f>IFERROR(GETPIVOTDATA("Cantidad",'TD AVANCE'!$B$20,"PART",$B31),0)</f>
        <v>27</v>
      </c>
      <c r="D31" s="22">
        <f>IFERROR(GETPIVOTDATA("Cantidad",'TD AVANCE'!$B$20,"PART",$B31,"ESTADO","CERRADO"),0)</f>
        <v>23</v>
      </c>
      <c r="E31" s="22">
        <f>IFERROR(GETPIVOTDATA("Cantidad",'TD AVANCE'!$B$20,"PART",$B31,"ESTADO","PTE Validar Enel"),0)</f>
        <v>2</v>
      </c>
      <c r="F31" s="22">
        <f>Tabla7[[#This Row],[Cantidad]]-Tabla7[[#This Row],[Cerrados]]-Tabla7[[#This Row],[Pendiente validación de ENEL]]</f>
        <v>2</v>
      </c>
      <c r="G31" s="22"/>
      <c r="R31" s="49" t="s">
        <v>1266</v>
      </c>
      <c r="S31" s="21">
        <f>IFERROR(GETPIVOTDATA("Cantidad",'TD AVANCE'!$B$20,"PART",$R31),0)</f>
        <v>27</v>
      </c>
      <c r="T31" s="22">
        <f>IFERROR(GETPIVOTDATA("Cantidad",'TD AVANCE'!$B$20,"PART",$R31,"ESTADO","CERRADO"),0)</f>
        <v>23</v>
      </c>
      <c r="U31" s="22">
        <f>IFERROR(GETPIVOTDATA("Cantidad",'TD AVANCE'!$B$20,"PART",$R31,"ESTADO","PTE Validar Enel"),0)</f>
        <v>2</v>
      </c>
      <c r="V31" s="22">
        <f>Tabla711[[#This Row],[Cantidad]]-Tabla711[[#This Row],[Cerrados]]-Tabla711[[#This Row],[Pendiente validación de ENEL]]</f>
        <v>2</v>
      </c>
      <c r="W31" t="s">
        <v>3449</v>
      </c>
    </row>
    <row r="32" spans="2:23" x14ac:dyDescent="0.2">
      <c r="B32" s="48" t="s">
        <v>1314</v>
      </c>
      <c r="C32" s="21">
        <f>IFERROR(GETPIVOTDATA("Cantidad",'TD AVANCE'!$B$20,"PART",$B32),0)</f>
        <v>64</v>
      </c>
      <c r="D32" s="22">
        <f>IFERROR(GETPIVOTDATA("Cantidad",'TD AVANCE'!$B$20,"PART",$B32,"ESTADO","CERRADO"),0)</f>
        <v>61</v>
      </c>
      <c r="E32" s="22">
        <f>IFERROR(GETPIVOTDATA("Cantidad",'TD AVANCE'!$B$20,"PART",$B32,"ESTADO","PTE Validar Enel"),0)</f>
        <v>3</v>
      </c>
      <c r="F32" s="22">
        <f>Tabla7[[#This Row],[Cantidad]]-Tabla7[[#This Row],[Cerrados]]-Tabla7[[#This Row],[Pendiente validación de ENEL]]</f>
        <v>0</v>
      </c>
      <c r="G32" s="22"/>
      <c r="R32" s="48" t="s">
        <v>1314</v>
      </c>
      <c r="S32" s="21">
        <f>IFERROR(GETPIVOTDATA("Cantidad",'TD AVANCE'!$B$20,"PART",$R32),0)</f>
        <v>64</v>
      </c>
      <c r="T32" s="22">
        <f>IFERROR(GETPIVOTDATA("Cantidad",'TD AVANCE'!$B$20,"PART",$R32,"ESTADO","CERRADO"),0)</f>
        <v>61</v>
      </c>
      <c r="U32" s="22">
        <f>IFERROR(GETPIVOTDATA("Cantidad",'TD AVANCE'!$B$20,"PART",$R32,"ESTADO","PTE Validar Enel"),0)</f>
        <v>3</v>
      </c>
      <c r="V32" s="22">
        <f>Tabla711[[#This Row],[Cantidad]]-Tabla711[[#This Row],[Cerrados]]-Tabla711[[#This Row],[Pendiente validación de ENEL]]</f>
        <v>0</v>
      </c>
    </row>
    <row r="33" spans="2:23" x14ac:dyDescent="0.2">
      <c r="B33" s="48" t="s">
        <v>929</v>
      </c>
      <c r="C33" s="21">
        <f>IFERROR(GETPIVOTDATA("Cantidad",'TD AVANCE'!$B$20,"PART",$B33),0)</f>
        <v>75</v>
      </c>
      <c r="D33" s="22">
        <f>IFERROR(GETPIVOTDATA("Cantidad",'TD AVANCE'!$B$20,"PART",$B33,"ESTADO","CERRADO"),0)</f>
        <v>68</v>
      </c>
      <c r="E33" s="22">
        <f>IFERROR(GETPIVOTDATA("Cantidad",'TD AVANCE'!$B$20,"PART",$B33,"ESTADO","PTE Validar Enel"),0)</f>
        <v>3</v>
      </c>
      <c r="F33" s="22">
        <f>Tabla7[[#This Row],[Cantidad]]-Tabla7[[#This Row],[Cerrados]]-Tabla7[[#This Row],[Pendiente validación de ENEL]]</f>
        <v>4</v>
      </c>
      <c r="G33" s="22"/>
      <c r="R33" s="48" t="s">
        <v>929</v>
      </c>
      <c r="S33" s="21">
        <f>IFERROR(GETPIVOTDATA("Cantidad",'TD AVANCE'!$B$20,"PART",$R33),0)</f>
        <v>75</v>
      </c>
      <c r="T33" s="22">
        <f>IFERROR(GETPIVOTDATA("Cantidad",'TD AVANCE'!$B$20,"PART",$R33,"ESTADO","CERRADO"),0)</f>
        <v>68</v>
      </c>
      <c r="U33" s="22">
        <f>IFERROR(GETPIVOTDATA("Cantidad",'TD AVANCE'!$B$20,"PART",$R33,"ESTADO","PTE Validar Enel"),0)</f>
        <v>3</v>
      </c>
      <c r="V33" s="22">
        <f>Tabla711[[#This Row],[Cantidad]]-Tabla711[[#This Row],[Cerrados]]-Tabla711[[#This Row],[Pendiente validación de ENEL]]</f>
        <v>4</v>
      </c>
      <c r="W33" t="s">
        <v>3450</v>
      </c>
    </row>
    <row r="34" spans="2:23" x14ac:dyDescent="0.2">
      <c r="B34" s="48" t="s">
        <v>41</v>
      </c>
      <c r="C34" s="21">
        <f>IFERROR(GETPIVOTDATA("Cantidad",'TD AVANCE'!$B$20,"PART",$B34),0)</f>
        <v>288</v>
      </c>
      <c r="D34" s="22">
        <f>IFERROR(GETPIVOTDATA("Cantidad",'TD AVANCE'!$B$20,"PART",$B34,"ESTADO","CERRADO"),0)</f>
        <v>191</v>
      </c>
      <c r="E34" s="22">
        <f>IFERROR(GETPIVOTDATA("Cantidad",'TD AVANCE'!$B$20,"PART",$B34,"ESTADO","PTE Validar Enel"),0)</f>
        <v>10</v>
      </c>
      <c r="F34" s="22">
        <f>Tabla7[[#This Row],[Cantidad]]-Tabla7[[#This Row],[Cerrados]]-Tabla7[[#This Row],[Pendiente validación de ENEL]]</f>
        <v>87</v>
      </c>
      <c r="G34" s="22"/>
      <c r="R34" s="48" t="s">
        <v>41</v>
      </c>
      <c r="S34" s="21">
        <f>IFERROR(GETPIVOTDATA("Cantidad",'TD AVANCE'!$B$20,"PART",$R34),0)</f>
        <v>288</v>
      </c>
      <c r="T34" s="22">
        <f>IFERROR(GETPIVOTDATA("Cantidad",'TD AVANCE'!$B$20,"PART",$R34,"ESTADO","CERRADO"),0)</f>
        <v>191</v>
      </c>
      <c r="U34" s="22">
        <f>IFERROR(GETPIVOTDATA("Cantidad",'TD AVANCE'!$B$20,"PART",$R34,"ESTADO","PTE Validar Enel"),0)</f>
        <v>10</v>
      </c>
      <c r="V34" s="22">
        <f>Tabla711[[#This Row],[Cantidad]]-Tabla711[[#This Row],[Cerrados]]-Tabla711[[#This Row],[Pendiente validación de ENEL]]</f>
        <v>87</v>
      </c>
      <c r="W34" t="s">
        <v>3451</v>
      </c>
    </row>
    <row r="35" spans="2:23" x14ac:dyDescent="0.2">
      <c r="B35" s="48" t="s">
        <v>8</v>
      </c>
      <c r="C35" s="21">
        <f>IFERROR(GETPIVOTDATA("Cantidad",'TD AVANCE'!$B$20,"PART",$B35),0)</f>
        <v>771</v>
      </c>
      <c r="D35" s="22">
        <f>IFERROR(GETPIVOTDATA("Cantidad",'TD AVANCE'!$B$20,"PART",$B35,"ESTADO","CERRADO"),0)</f>
        <v>626</v>
      </c>
      <c r="E35" s="22">
        <f>IFERROR(GETPIVOTDATA("Cantidad",'TD AVANCE'!$B$20,"PART",$B35,"ESTADO","PTE Validar Enel"),0)</f>
        <v>51</v>
      </c>
      <c r="F35" s="22">
        <f>Tabla7[[#This Row],[Cantidad]]-Tabla7[[#This Row],[Cerrados]]-Tabla7[[#This Row],[Pendiente validación de ENEL]]</f>
        <v>94</v>
      </c>
      <c r="G35" s="22"/>
      <c r="R35" s="48" t="s">
        <v>8</v>
      </c>
      <c r="S35" s="21">
        <f>IFERROR(GETPIVOTDATA("Cantidad",'TD AVANCE'!$B$20,"PART",$R35),0)</f>
        <v>771</v>
      </c>
      <c r="T35" s="22">
        <f>IFERROR(GETPIVOTDATA("Cantidad",'TD AVANCE'!$B$20,"PART",$R35,"ESTADO","CERRADO"),0)</f>
        <v>626</v>
      </c>
      <c r="U35" s="22">
        <f>IFERROR(GETPIVOTDATA("Cantidad",'TD AVANCE'!$B$20,"PART",$R35,"ESTADO","PTE Validar Enel"),0)</f>
        <v>51</v>
      </c>
      <c r="V35" s="22">
        <f>Tabla711[[#This Row],[Cantidad]]-Tabla711[[#This Row],[Cerrados]]-Tabla711[[#This Row],[Pendiente validación de ENEL]]</f>
        <v>94</v>
      </c>
      <c r="W35" t="s">
        <v>3452</v>
      </c>
    </row>
    <row r="36" spans="2:23" x14ac:dyDescent="0.2">
      <c r="B36" s="50" t="s">
        <v>3423</v>
      </c>
      <c r="C36" s="51">
        <f>SUM(C21:C35)</f>
        <v>1363</v>
      </c>
      <c r="D36" s="51">
        <f t="shared" ref="D36:E36" si="1">SUM(D21:D35)</f>
        <v>1096</v>
      </c>
      <c r="E36" s="51">
        <f t="shared" si="1"/>
        <v>74</v>
      </c>
      <c r="F36" s="51">
        <f>SUM(F21:F35)</f>
        <v>193</v>
      </c>
      <c r="G36" s="22"/>
      <c r="R36" s="50" t="s">
        <v>3423</v>
      </c>
      <c r="S36" s="51">
        <f>SUM(S21:S35)</f>
        <v>1363</v>
      </c>
      <c r="T36" s="51">
        <f t="shared" ref="T36:U36" si="2">SUM(T21:T35)</f>
        <v>1096</v>
      </c>
      <c r="U36" s="51">
        <f t="shared" si="2"/>
        <v>74</v>
      </c>
      <c r="V36" s="51">
        <f>SUM(V21:V35)</f>
        <v>193</v>
      </c>
    </row>
    <row r="37" spans="2:23" x14ac:dyDescent="0.2">
      <c r="B37" s="22"/>
      <c r="C37" s="22"/>
      <c r="D37" s="22"/>
      <c r="E37" s="22"/>
      <c r="F37" s="22"/>
      <c r="G37" s="22"/>
    </row>
    <row r="38" spans="2:23" x14ac:dyDescent="0.2">
      <c r="B38" s="22"/>
      <c r="C38" s="22"/>
      <c r="D38" s="22"/>
      <c r="E38" s="22"/>
      <c r="F38" s="22"/>
      <c r="G38" s="22"/>
    </row>
    <row r="39" spans="2:23" x14ac:dyDescent="0.2">
      <c r="B39" s="91" t="s">
        <v>3466</v>
      </c>
      <c r="C39" s="91"/>
      <c r="D39" s="92">
        <f>IFERROR(GETPIVOTDATA("Cantidad",'TD AVANCE'!$B$40,"ESTADO","CERRADO","DETALLE ESTADO",$B39),0)</f>
        <v>1096</v>
      </c>
      <c r="E39" s="10"/>
    </row>
    <row r="40" spans="2:23" x14ac:dyDescent="0.2">
      <c r="B40" s="91" t="s">
        <v>3467</v>
      </c>
      <c r="C40" s="91"/>
      <c r="D40" s="92">
        <f>IFERROR(GETPIVOTDATA("Cantidad",'TD AVANCE'!$B$40,"ESTADO","PTE Validar Enel","DETALLE ESTADO",$B40),0)</f>
        <v>74</v>
      </c>
      <c r="E40" s="23"/>
    </row>
    <row r="41" spans="2:23" x14ac:dyDescent="0.2">
      <c r="B41" s="91" t="s">
        <v>3468</v>
      </c>
      <c r="C41" s="91" t="s">
        <v>3469</v>
      </c>
      <c r="D41" s="92">
        <f>IFERROR(GETPIVOTDATA("Cantidad",'TD AVANCE'!$B$40,"ESTADO","ABIERTO","DETALLE ESTADO",$C41),0)</f>
        <v>99</v>
      </c>
      <c r="E41" s="23"/>
    </row>
    <row r="42" spans="2:23" x14ac:dyDescent="0.2">
      <c r="B42" s="91"/>
      <c r="C42" s="91" t="s">
        <v>3470</v>
      </c>
      <c r="D42" s="92">
        <f>IFERROR(GETPIVOTDATA("Cantidad",'TD AVANCE'!$B$40,"ESTADO","ABIERTO","DETALLE ESTADO",$C42),0)</f>
        <v>13</v>
      </c>
      <c r="E42" s="23"/>
    </row>
    <row r="43" spans="2:23" x14ac:dyDescent="0.2">
      <c r="B43" s="91"/>
      <c r="C43" s="91" t="s">
        <v>3471</v>
      </c>
      <c r="D43" s="92">
        <f>IFERROR(GETPIVOTDATA("Cantidad",'TD AVANCE'!$B$40,"ESTADO","ABIERTO","DETALLE ESTADO",$C43),0)</f>
        <v>9</v>
      </c>
    </row>
    <row r="44" spans="2:23" x14ac:dyDescent="0.2">
      <c r="B44" s="91"/>
      <c r="C44" s="91" t="s">
        <v>3472</v>
      </c>
      <c r="D44" s="92">
        <f>IFERROR(GETPIVOTDATA("Cantidad",'TD AVANCE'!$B$40,"ESTADO","ABIERTO","DETALLE ESTADO",$C44),0)</f>
        <v>72</v>
      </c>
    </row>
    <row r="45" spans="2:23" x14ac:dyDescent="0.2">
      <c r="B45" s="91" t="s">
        <v>3400</v>
      </c>
      <c r="C45" s="91"/>
      <c r="D45" s="93">
        <f>SUM(D39:D44)</f>
        <v>1363</v>
      </c>
    </row>
    <row r="46" spans="2:23" ht="32" x14ac:dyDescent="0.2">
      <c r="B46" s="22" t="s">
        <v>3403</v>
      </c>
      <c r="C46" s="22" t="s">
        <v>3404</v>
      </c>
      <c r="D46" s="22" t="s">
        <v>3417</v>
      </c>
      <c r="E46" s="22" t="s">
        <v>3407</v>
      </c>
      <c r="F46" s="22" t="s">
        <v>3409</v>
      </c>
      <c r="G46" s="22" t="s">
        <v>3408</v>
      </c>
    </row>
    <row r="47" spans="2:23" ht="16" x14ac:dyDescent="0.2">
      <c r="B47" s="22" t="s">
        <v>3380</v>
      </c>
      <c r="C47" s="22">
        <f>IFERROR(GETPIVOTDATA("Cantidad",'TD AVANCE'!$B$54,"SC",$B47),0)</f>
        <v>49</v>
      </c>
      <c r="D47" s="22">
        <f>SEGSC8[[#This Row],[Items Cerrados IUP]]+SEGSC8[[#This Row],[Items por revisión de ENEL]]</f>
        <v>48</v>
      </c>
      <c r="E47" s="24">
        <f>IFERROR(GETPIVOTDATA("Cantidad",'TD AVANCE'!$B$54,"SC",$B47,"ESTADO","CERRADO"),0)</f>
        <v>42</v>
      </c>
      <c r="F47" s="24">
        <f>IFERROR(GETPIVOTDATA("Cantidad",'TD AVANCE'!$B$54,"SC",$B47,"ESTADO","PTE Validar Enel"),0)</f>
        <v>6</v>
      </c>
      <c r="G47" s="22">
        <f>SEGSC8[[#This Row],[Items Totales]]-SEGSC8[[#This Row],[Atendidos por ELECNOR]]</f>
        <v>1</v>
      </c>
    </row>
    <row r="48" spans="2:23" ht="16" x14ac:dyDescent="0.2">
      <c r="B48" s="22" t="s">
        <v>3383</v>
      </c>
      <c r="C48" s="22">
        <f>IFERROR(GETPIVOTDATA("Cantidad",'TD AVANCE'!$B$54,"SC",$B48),0)</f>
        <v>99</v>
      </c>
      <c r="D48" s="22">
        <f>SEGSC8[[#This Row],[Items Cerrados IUP]]+SEGSC8[[#This Row],[Items por revisión de ENEL]]</f>
        <v>93</v>
      </c>
      <c r="E48" s="25">
        <f>IFERROR(GETPIVOTDATA("Cantidad",'TD AVANCE'!$B$54,"SC",$B48,"ESTADO","CERRADO"),0)</f>
        <v>92</v>
      </c>
      <c r="F48" s="25">
        <f>IFERROR(GETPIVOTDATA("Cantidad",'TD AVANCE'!$B$54,"SC",$B48,"ESTADO","PTE Validar Enel"),0)</f>
        <v>1</v>
      </c>
      <c r="G48" s="22">
        <f>SEGSC8[[#This Row],[Items Totales]]-SEGSC8[[#This Row],[Atendidos por ELECNOR]]</f>
        <v>6</v>
      </c>
    </row>
    <row r="49" spans="2:7" ht="16" x14ac:dyDescent="0.2">
      <c r="B49" s="22" t="s">
        <v>3381</v>
      </c>
      <c r="C49" s="22">
        <f>IFERROR(GETPIVOTDATA("Cantidad",'TD AVANCE'!$B$54,"SC",$B49),0)</f>
        <v>106</v>
      </c>
      <c r="D49" s="22">
        <f>SEGSC8[[#This Row],[Items Cerrados IUP]]+SEGSC8[[#This Row],[Items por revisión de ENEL]]</f>
        <v>101</v>
      </c>
      <c r="E49" s="24">
        <f>IFERROR(GETPIVOTDATA("Cantidad",'TD AVANCE'!$B$54,"SC",$B49,"ESTADO","CERRADO"),0)</f>
        <v>90</v>
      </c>
      <c r="F49" s="24">
        <f>IFERROR(GETPIVOTDATA("Cantidad",'TD AVANCE'!$B$54,"SC",$B49,"ESTADO","PTE Validar Enel"),0)</f>
        <v>11</v>
      </c>
      <c r="G49" s="22">
        <f>SEGSC8[[#This Row],[Items Totales]]-SEGSC8[[#This Row],[Atendidos por ELECNOR]]</f>
        <v>5</v>
      </c>
    </row>
    <row r="50" spans="2:7" ht="16" x14ac:dyDescent="0.2">
      <c r="B50" s="22" t="s">
        <v>3382</v>
      </c>
      <c r="C50" s="22">
        <f>IFERROR(GETPIVOTDATA("Cantidad",'TD AVANCE'!$B$54,"SC",$B50),0)</f>
        <v>99</v>
      </c>
      <c r="D50" s="22">
        <f>SEGSC8[[#This Row],[Items Cerrados IUP]]+SEGSC8[[#This Row],[Items por revisión de ENEL]]</f>
        <v>95</v>
      </c>
      <c r="E50" s="25">
        <f>IFERROR(GETPIVOTDATA("Cantidad",'TD AVANCE'!$B$54,"SC",$B50,"ESTADO","CERRADO"),0)</f>
        <v>91</v>
      </c>
      <c r="F50" s="25">
        <f>IFERROR(GETPIVOTDATA("Cantidad",'TD AVANCE'!$B$54,"SC",$B50,"ESTADO","PTE Validar Enel"),0)</f>
        <v>4</v>
      </c>
      <c r="G50" s="22">
        <f>SEGSC8[[#This Row],[Items Totales]]-SEGSC8[[#This Row],[Atendidos por ELECNOR]]</f>
        <v>4</v>
      </c>
    </row>
    <row r="51" spans="2:7" ht="16" x14ac:dyDescent="0.2">
      <c r="B51" s="22" t="s">
        <v>3384</v>
      </c>
      <c r="C51" s="22">
        <f>IFERROR(GETPIVOTDATA("Cantidad",'TD AVANCE'!$B$54,"SC",$B51),0)</f>
        <v>130</v>
      </c>
      <c r="D51" s="22">
        <f>SEGSC8[[#This Row],[Items Cerrados IUP]]+SEGSC8[[#This Row],[Items por revisión de ENEL]]</f>
        <v>116</v>
      </c>
      <c r="E51" s="24">
        <f>IFERROR(GETPIVOTDATA("Cantidad",'TD AVANCE'!$B$54,"SC",$B51,"ESTADO","CERRADO"),0)</f>
        <v>115</v>
      </c>
      <c r="F51" s="24">
        <f>IFERROR(GETPIVOTDATA("Cantidad",'TD AVANCE'!$B$54,"SC",$B51,"ESTADO","PTE Validar Enel"),0)</f>
        <v>1</v>
      </c>
      <c r="G51" s="22">
        <f>SEGSC8[[#This Row],[Items Totales]]-SEGSC8[[#This Row],[Atendidos por ELECNOR]]</f>
        <v>14</v>
      </c>
    </row>
    <row r="52" spans="2:7" ht="16" x14ac:dyDescent="0.2">
      <c r="B52" s="22" t="s">
        <v>3385</v>
      </c>
      <c r="C52" s="22">
        <f>IFERROR(GETPIVOTDATA("Cantidad",'TD AVANCE'!$B$54,"SC",$B52),0)</f>
        <v>165</v>
      </c>
      <c r="D52" s="22">
        <f>SEGSC8[[#This Row],[Items Cerrados IUP]]+SEGSC8[[#This Row],[Items por revisión de ENEL]]</f>
        <v>161</v>
      </c>
      <c r="E52" s="25">
        <f>IFERROR(GETPIVOTDATA("Cantidad",'TD AVANCE'!$B$54,"SC",$B52,"ESTADO","CERRADO"),0)</f>
        <v>158</v>
      </c>
      <c r="F52" s="25">
        <f>IFERROR(GETPIVOTDATA("Cantidad",'TD AVANCE'!$B$54,"SC",$B52,"ESTADO","PTE Validar Enel"),0)</f>
        <v>3</v>
      </c>
      <c r="G52" s="22">
        <f>SEGSC8[[#This Row],[Items Totales]]-SEGSC8[[#This Row],[Atendidos por ELECNOR]]</f>
        <v>4</v>
      </c>
    </row>
    <row r="53" spans="2:7" ht="16" x14ac:dyDescent="0.2">
      <c r="B53" s="22" t="s">
        <v>3375</v>
      </c>
      <c r="C53" s="22">
        <f>IFERROR(GETPIVOTDATA("Cantidad",'TD AVANCE'!$B$54,"SC",$B53),0)</f>
        <v>98</v>
      </c>
      <c r="D53" s="22">
        <f>SEGSC8[[#This Row],[Items Cerrados IUP]]+SEGSC8[[#This Row],[Items por revisión de ENEL]]</f>
        <v>80</v>
      </c>
      <c r="E53" s="24">
        <f>IFERROR(GETPIVOTDATA("Cantidad",'TD AVANCE'!$B$54,"SC",$B53,"ESTADO","CERRADO"),0)</f>
        <v>78</v>
      </c>
      <c r="F53" s="24">
        <f>IFERROR(GETPIVOTDATA("Cantidad",'TD AVANCE'!$B$54,"SC",$B53,"ESTADO","PTE Validar Enel"),0)</f>
        <v>2</v>
      </c>
      <c r="G53" s="22">
        <f>SEGSC8[[#This Row],[Items Totales]]-SEGSC8[[#This Row],[Atendidos por ELECNOR]]</f>
        <v>18</v>
      </c>
    </row>
    <row r="54" spans="2:7" ht="16" x14ac:dyDescent="0.2">
      <c r="B54" s="22" t="s">
        <v>3376</v>
      </c>
      <c r="C54" s="22">
        <f>IFERROR(GETPIVOTDATA("Cantidad",'TD AVANCE'!$B$54,"SC",$B54),0)</f>
        <v>86</v>
      </c>
      <c r="D54" s="22">
        <f>SEGSC8[[#This Row],[Items Cerrados IUP]]+SEGSC8[[#This Row],[Items por revisión de ENEL]]</f>
        <v>75</v>
      </c>
      <c r="E54" s="25">
        <f>IFERROR(GETPIVOTDATA("Cantidad",'TD AVANCE'!$B$54,"SC",$B54,"ESTADO","CERRADO"),0)</f>
        <v>71</v>
      </c>
      <c r="F54" s="25">
        <f>IFERROR(GETPIVOTDATA("Cantidad",'TD AVANCE'!$B$54,"SC",$B54,"ESTADO","PTE Validar Enel"),0)</f>
        <v>4</v>
      </c>
      <c r="G54" s="22">
        <f>SEGSC8[[#This Row],[Items Totales]]-SEGSC8[[#This Row],[Atendidos por ELECNOR]]</f>
        <v>11</v>
      </c>
    </row>
    <row r="55" spans="2:7" ht="16" x14ac:dyDescent="0.2">
      <c r="B55" s="22" t="s">
        <v>3377</v>
      </c>
      <c r="C55" s="22">
        <f>IFERROR(GETPIVOTDATA("Cantidad",'TD AVANCE'!$B$54,"SC",$B55),0)</f>
        <v>44</v>
      </c>
      <c r="D55" s="22">
        <f>SEGSC8[[#This Row],[Items Cerrados IUP]]+SEGSC8[[#This Row],[Items por revisión de ENEL]]</f>
        <v>40</v>
      </c>
      <c r="E55" s="24">
        <f>IFERROR(GETPIVOTDATA("Cantidad",'TD AVANCE'!$B$54,"SC",$B55,"ESTADO","CERRADO"),0)</f>
        <v>34</v>
      </c>
      <c r="F55" s="24">
        <f>IFERROR(GETPIVOTDATA("Cantidad",'TD AVANCE'!$B$54,"SC",$B55,"ESTADO","PTE Validar Enel"),0)</f>
        <v>6</v>
      </c>
      <c r="G55" s="22">
        <f>SEGSC8[[#This Row],[Items Totales]]-SEGSC8[[#This Row],[Atendidos por ELECNOR]]</f>
        <v>4</v>
      </c>
    </row>
    <row r="56" spans="2:7" ht="16" x14ac:dyDescent="0.2">
      <c r="B56" s="22" t="s">
        <v>3378</v>
      </c>
      <c r="C56" s="22">
        <f>IFERROR(GETPIVOTDATA("Cantidad",'TD AVANCE'!$B$54,"SC",$B56),0)</f>
        <v>59</v>
      </c>
      <c r="D56" s="22">
        <f>SEGSC8[[#This Row],[Items Cerrados IUP]]+SEGSC8[[#This Row],[Items por revisión de ENEL]]</f>
        <v>50</v>
      </c>
      <c r="E56" s="25">
        <f>IFERROR(GETPIVOTDATA("Cantidad",'TD AVANCE'!$B$54,"SC",$B56,"ESTADO","CERRADO"),0)</f>
        <v>49</v>
      </c>
      <c r="F56" s="25">
        <f>IFERROR(GETPIVOTDATA("Cantidad",'TD AVANCE'!$B$54,"SC",$B56,"ESTADO","PTE Validar Enel"),0)</f>
        <v>1</v>
      </c>
      <c r="G56" s="22">
        <f>SEGSC8[[#This Row],[Items Totales]]-SEGSC8[[#This Row],[Atendidos por ELECNOR]]</f>
        <v>9</v>
      </c>
    </row>
    <row r="57" spans="2:7" ht="16" x14ac:dyDescent="0.2">
      <c r="B57" s="22" t="s">
        <v>3379</v>
      </c>
      <c r="C57" s="22">
        <f>IFERROR(GETPIVOTDATA("Cantidad",'TD AVANCE'!$B$54,"SC",$B57),0)</f>
        <v>72</v>
      </c>
      <c r="D57" s="22">
        <f>SEGSC8[[#This Row],[Items Cerrados IUP]]+SEGSC8[[#This Row],[Items por revisión de ENEL]]</f>
        <v>63</v>
      </c>
      <c r="E57" s="24">
        <f>IFERROR(GETPIVOTDATA("Cantidad",'TD AVANCE'!$B$54,"SC",$B57,"ESTADO","CERRADO"),0)</f>
        <v>59</v>
      </c>
      <c r="F57" s="24">
        <f>IFERROR(GETPIVOTDATA("Cantidad",'TD AVANCE'!$B$54,"SC",$B57,"ESTADO","PTE Validar Enel"),0)</f>
        <v>4</v>
      </c>
      <c r="G57" s="22">
        <f>SEGSC8[[#This Row],[Items Totales]]-SEGSC8[[#This Row],[Atendidos por ELECNOR]]</f>
        <v>9</v>
      </c>
    </row>
    <row r="58" spans="2:7" ht="16" x14ac:dyDescent="0.2">
      <c r="B58" s="22" t="s">
        <v>3387</v>
      </c>
      <c r="C58" s="22">
        <f>IFERROR(GETPIVOTDATA("Cantidad",'TD AVANCE'!$B$54,"SC",$B58),0)</f>
        <v>78</v>
      </c>
      <c r="D58" s="22">
        <f>SEGSC8[[#This Row],[Items Cerrados IUP]]+SEGSC8[[#This Row],[Items por revisión de ENEL]]</f>
        <v>70</v>
      </c>
      <c r="E58" s="25">
        <f>IFERROR(GETPIVOTDATA("Cantidad",'TD AVANCE'!$B$54,"SC",$B58,"ESTADO","CERRADO"),0)</f>
        <v>60</v>
      </c>
      <c r="F58" s="25">
        <f>IFERROR(GETPIVOTDATA("Cantidad",'TD AVANCE'!$B$54,"SC",$B58,"ESTADO","PTE Validar Enel"),0)</f>
        <v>10</v>
      </c>
      <c r="G58" s="22">
        <f>SEGSC8[[#This Row],[Items Totales]]-SEGSC8[[#This Row],[Atendidos por ELECNOR]]</f>
        <v>8</v>
      </c>
    </row>
    <row r="59" spans="2:7" ht="16" x14ac:dyDescent="0.2">
      <c r="B59" s="22" t="s">
        <v>3388</v>
      </c>
      <c r="C59" s="22">
        <f>IFERROR(GETPIVOTDATA("Cantidad",'TD AVANCE'!$B$54,"SC",$B59),0)</f>
        <v>69</v>
      </c>
      <c r="D59" s="22">
        <f>SEGSC8[[#This Row],[Items Cerrados IUP]]+SEGSC8[[#This Row],[Items por revisión de ENEL]]</f>
        <v>62</v>
      </c>
      <c r="E59" s="24">
        <f>IFERROR(GETPIVOTDATA("Cantidad",'TD AVANCE'!$B$54,"SC",$B59,"ESTADO","CERRADO"),0)</f>
        <v>58</v>
      </c>
      <c r="F59" s="24">
        <f>IFERROR(GETPIVOTDATA("Cantidad",'TD AVANCE'!$B$54,"SC",$B59,"ESTADO","PTE Validar Enel"),0)</f>
        <v>4</v>
      </c>
      <c r="G59" s="22">
        <f>SEGSC8[[#This Row],[Items Totales]]-SEGSC8[[#This Row],[Atendidos por ELECNOR]]</f>
        <v>7</v>
      </c>
    </row>
    <row r="60" spans="2:7" ht="16" x14ac:dyDescent="0.2">
      <c r="B60" s="22" t="s">
        <v>3389</v>
      </c>
      <c r="C60" s="22">
        <f>IFERROR(GETPIVOTDATA("Cantidad",'TD AVANCE'!$B$54,"SC",$B60),0)</f>
        <v>94</v>
      </c>
      <c r="D60" s="22">
        <f>SEGSC8[[#This Row],[Items Cerrados IUP]]+SEGSC8[[#This Row],[Items por revisión de ENEL]]</f>
        <v>30</v>
      </c>
      <c r="E60" s="25">
        <f>IFERROR(GETPIVOTDATA("Cantidad",'TD AVANCE'!$B$54,"SC",$B60,"ESTADO","CERRADO"),0)</f>
        <v>26</v>
      </c>
      <c r="F60" s="25">
        <f>IFERROR(GETPIVOTDATA("Cantidad",'TD AVANCE'!$B$54,"SC",$B60,"ESTADO","PTE Validar Enel"),0)</f>
        <v>4</v>
      </c>
      <c r="G60" s="22">
        <f>SEGSC8[[#This Row],[Items Totales]]-SEGSC8[[#This Row],[Atendidos por ELECNOR]]</f>
        <v>64</v>
      </c>
    </row>
    <row r="61" spans="2:7" ht="16" x14ac:dyDescent="0.2">
      <c r="B61" s="22" t="s">
        <v>3386</v>
      </c>
      <c r="C61" s="22">
        <f>IFERROR(GETPIVOTDATA("Cantidad",'TD AVANCE'!$B$54,"SC",$B61),0)</f>
        <v>37</v>
      </c>
      <c r="D61" s="22">
        <f>SEGSC8[[#This Row],[Items Cerrados IUP]]+SEGSC8[[#This Row],[Items por revisión de ENEL]]</f>
        <v>28</v>
      </c>
      <c r="E61" s="24">
        <f>IFERROR(GETPIVOTDATA("Cantidad",'TD AVANCE'!$B$54,"SC",$B61,"ESTADO","CERRADO"),0)</f>
        <v>22</v>
      </c>
      <c r="F61" s="24">
        <f>IFERROR(GETPIVOTDATA("Cantidad",'TD AVANCE'!$B$54,"SC",$B61,"ESTADO","PTE Validar Enel"),0)</f>
        <v>6</v>
      </c>
      <c r="G61" s="22">
        <f>SEGSC8[[#This Row],[Items Totales]]-SEGSC8[[#This Row],[Atendidos por ELECNOR]]</f>
        <v>9</v>
      </c>
    </row>
    <row r="62" spans="2:7" ht="16" x14ac:dyDescent="0.2">
      <c r="B62" s="22" t="s">
        <v>3419</v>
      </c>
      <c r="C62" s="22">
        <f>IFERROR(GETPIVOTDATA("Cantidad",'TD AVANCE'!$B$54,"SC",$B62),0)</f>
        <v>6</v>
      </c>
      <c r="D62" s="22">
        <f>SEGSC8[[#This Row],[Items Cerrados IUP]]+SEGSC8[[#This Row],[Items por revisión de ENEL]]</f>
        <v>3</v>
      </c>
      <c r="E62" s="25">
        <f>IFERROR(GETPIVOTDATA("Cantidad",'TD AVANCE'!$B$54,"SC",$B62,"ESTADO","CERRADO"),0)</f>
        <v>0</v>
      </c>
      <c r="F62" s="25">
        <f>IFERROR(GETPIVOTDATA("Cantidad",'TD AVANCE'!$B$54,"SC",$B62,"ESTADO","PTE Validar Enel"),0)</f>
        <v>3</v>
      </c>
      <c r="G62" s="22">
        <f>SEGSC8[[#This Row],[Items Totales]]-SEGSC8[[#This Row],[Atendidos por ELECNOR]]</f>
        <v>3</v>
      </c>
    </row>
    <row r="63" spans="2:7" ht="16" x14ac:dyDescent="0.2">
      <c r="B63" s="22" t="s">
        <v>3405</v>
      </c>
      <c r="C63" s="22">
        <f>IFERROR(GETPIVOTDATA("Cantidad",'TD AVANCE'!$B$54,"SC","CAJAS"),0)+IFERROR(GETPIVOTDATA("Cantidad",'TD AVANCE'!$B$54,"SC","SOCIAL"),0)</f>
        <v>72</v>
      </c>
      <c r="D63" s="22">
        <f>SEGSC8[[#This Row],[Items Cerrados IUP]]+SEGSC8[[#This Row],[Items por revisión de ENEL]]</f>
        <v>55</v>
      </c>
      <c r="E63" s="25">
        <f>IFERROR(GETPIVOTDATA("Cantidad",'TD AVANCE'!$B$54,"SC","CAJAS","ESTADO","CERRADO"),0)+IFERROR(GETPIVOTDATA("Cantidad",'TD AVANCE'!$B$54,"SC","SOCIAL","ESTADO","CERRADO"),0)</f>
        <v>51</v>
      </c>
      <c r="F63" s="25">
        <f>IFERROR(GETPIVOTDATA("Cantidad",'TD AVANCE'!$B$54,"SC","CAJAS","ESTADO","PTE Validar Enel"),0)+IFERROR(GETPIVOTDATA("Cantidad",'TD AVANCE'!$B$54,"SC","SOCIAL","ESTADO","PTE Validar Enel"),0)</f>
        <v>4</v>
      </c>
      <c r="G63" s="22">
        <f>SEGSC8[[#This Row],[Items Totales]]-SEGSC8[[#This Row],[Atendidos por ELECNOR]]</f>
        <v>17</v>
      </c>
    </row>
    <row r="64" spans="2:7" ht="16" x14ac:dyDescent="0.2">
      <c r="B64" s="22" t="s">
        <v>3400</v>
      </c>
      <c r="C64" s="22">
        <f>SUM(C47:C63)</f>
        <v>1363</v>
      </c>
      <c r="D64" s="22">
        <f>SUM(D47:D63)</f>
        <v>1170</v>
      </c>
      <c r="E64" s="22">
        <f t="shared" ref="E64:G64" si="3">SUM(E47:E63)</f>
        <v>1096</v>
      </c>
      <c r="F64" s="22">
        <f>SUM(F47:F63)</f>
        <v>74</v>
      </c>
      <c r="G64" s="22">
        <f t="shared" si="3"/>
        <v>193</v>
      </c>
    </row>
    <row r="65" spans="2:26" ht="30" customHeight="1" x14ac:dyDescent="0.2">
      <c r="D65" s="26" t="s">
        <v>3410</v>
      </c>
      <c r="E65" s="28">
        <f>D64/C64</f>
        <v>0.858400586940572</v>
      </c>
    </row>
    <row r="66" spans="2:26" ht="30" customHeight="1" x14ac:dyDescent="0.2">
      <c r="D66" s="26" t="s">
        <v>3411</v>
      </c>
      <c r="E66" s="27"/>
      <c r="G66" s="23">
        <f>E64/C64</f>
        <v>0.804108584005869</v>
      </c>
    </row>
    <row r="67" spans="2:26" ht="30" customHeight="1" x14ac:dyDescent="0.2">
      <c r="D67" s="26" t="s">
        <v>3412</v>
      </c>
      <c r="E67" s="27"/>
      <c r="G67" s="23">
        <f>F64/C64</f>
        <v>0.0542920029347029</v>
      </c>
    </row>
    <row r="68" spans="2:26" ht="30" customHeight="1" x14ac:dyDescent="0.2">
      <c r="D68" s="26" t="s">
        <v>3406</v>
      </c>
      <c r="E68" s="27">
        <f>G64/C64</f>
        <v>0.141599413059428</v>
      </c>
      <c r="G68" s="23">
        <f>G64/C64</f>
        <v>0.141599413059428</v>
      </c>
    </row>
    <row r="69" spans="2:26" ht="30" customHeight="1" x14ac:dyDescent="0.2">
      <c r="D69" s="26" t="s">
        <v>3400</v>
      </c>
      <c r="E69" s="27">
        <f>SUM(E65:E68)</f>
        <v>1</v>
      </c>
      <c r="G69" s="23">
        <f>SUM(G66:G68)</f>
        <v>1</v>
      </c>
    </row>
    <row r="73" spans="2:26" ht="43.25" customHeight="1" x14ac:dyDescent="0.2">
      <c r="B73" s="136" t="s">
        <v>3403</v>
      </c>
      <c r="C73" s="141" t="s">
        <v>1371</v>
      </c>
      <c r="D73" s="142"/>
      <c r="E73" s="141" t="s">
        <v>1297</v>
      </c>
      <c r="F73" s="142"/>
      <c r="G73" s="141" t="s">
        <v>929</v>
      </c>
      <c r="H73" s="142"/>
      <c r="I73" s="141" t="s">
        <v>1314</v>
      </c>
      <c r="J73" s="142"/>
      <c r="K73" s="141" t="s">
        <v>1432</v>
      </c>
      <c r="L73" s="142"/>
      <c r="M73" s="141" t="s">
        <v>47</v>
      </c>
      <c r="N73" s="142"/>
      <c r="O73" s="138" t="s">
        <v>102</v>
      </c>
      <c r="P73" s="139"/>
      <c r="Q73" s="138" t="s">
        <v>41</v>
      </c>
      <c r="R73" s="139"/>
      <c r="S73" s="138" t="s">
        <v>1440</v>
      </c>
      <c r="T73" s="139"/>
      <c r="U73" s="138" t="s">
        <v>1452</v>
      </c>
      <c r="V73" s="139"/>
      <c r="W73" s="138" t="s">
        <v>1291</v>
      </c>
      <c r="X73" s="139"/>
      <c r="Y73" s="138" t="s">
        <v>1295</v>
      </c>
      <c r="Z73" s="139"/>
    </row>
    <row r="74" spans="2:26" ht="43.25" customHeight="1" x14ac:dyDescent="0.2">
      <c r="B74" s="137"/>
      <c r="C74" s="36" t="s">
        <v>3414</v>
      </c>
      <c r="D74" s="37" t="s">
        <v>3415</v>
      </c>
      <c r="E74" s="36" t="s">
        <v>3414</v>
      </c>
      <c r="F74" s="37" t="s">
        <v>3415</v>
      </c>
      <c r="G74" s="36" t="s">
        <v>3414</v>
      </c>
      <c r="H74" s="37" t="s">
        <v>3415</v>
      </c>
      <c r="I74" s="36" t="s">
        <v>3414</v>
      </c>
      <c r="J74" s="37" t="s">
        <v>3415</v>
      </c>
      <c r="K74" s="36" t="s">
        <v>3414</v>
      </c>
      <c r="L74" s="37" t="s">
        <v>3415</v>
      </c>
      <c r="M74" s="36" t="s">
        <v>3414</v>
      </c>
      <c r="N74" s="37" t="s">
        <v>3415</v>
      </c>
      <c r="O74" s="38" t="s">
        <v>3414</v>
      </c>
      <c r="P74" s="39" t="s">
        <v>3415</v>
      </c>
      <c r="Q74" s="38" t="s">
        <v>3414</v>
      </c>
      <c r="R74" s="39" t="s">
        <v>3415</v>
      </c>
      <c r="S74" s="38" t="s">
        <v>3414</v>
      </c>
      <c r="T74" s="39" t="s">
        <v>3415</v>
      </c>
      <c r="U74" s="38" t="s">
        <v>3414</v>
      </c>
      <c r="V74" s="39" t="s">
        <v>3415</v>
      </c>
      <c r="W74" s="38" t="s">
        <v>3414</v>
      </c>
      <c r="X74" s="39" t="s">
        <v>3415</v>
      </c>
      <c r="Y74" s="38" t="s">
        <v>3414</v>
      </c>
      <c r="Z74" s="39" t="s">
        <v>3415</v>
      </c>
    </row>
    <row r="75" spans="2:26" ht="16" x14ac:dyDescent="0.2">
      <c r="B75" s="34" t="s">
        <v>3380</v>
      </c>
      <c r="C75" s="34" t="str">
        <f>IF(IFERROR(GETPIVOTDATA("Cantidad",'TD AVANCE'!$B$121,"SC",$B75,"PART",C$73),0)-IFERROR(GETPIVOTDATA("Cantidad",'TD AVANCE'!$B$121,"SC",$B75,"PART",C$73,"ESTADO","CERRADO"),0)=0,"",IFERROR(GETPIVOTDATA("Cantidad",'TD AVANCE'!$B$121,"SC",$B75,"PART",C$73),0)-IFERROR(GETPIVOTDATA("Cantidad",'TD AVANCE'!$B$121,"SC",$B75,"PART",C$73,"ESTADO","CERRADO"),0))</f>
        <v/>
      </c>
      <c r="D75" s="34" t="str">
        <f>IF(IFERROR(GETPIVOTDATA("Cantidad",'TD AVANCE'!$B$121,"SC",$B75,"PART",C$73,"ESTADO","CERRADO"),0)=0,"",IFERROR(GETPIVOTDATA("Cantidad",'TD AVANCE'!$B$121,"SC",$B75,"PART",C$73,"ESTADO","CERRADO"),0))</f>
        <v/>
      </c>
      <c r="E75" s="34" t="str">
        <f>IF(IFERROR(GETPIVOTDATA("Cantidad",'TD AVANCE'!$B$121,"SC",$B75,"PART",E$73),0)-IFERROR(GETPIVOTDATA("Cantidad",'TD AVANCE'!$B$121,"SC",$B75,"PART",E$73,"ESTADO","CERRADO"),0)=0,"",IFERROR(GETPIVOTDATA("Cantidad",'TD AVANCE'!$B$121,"SC",$B75,"PART",E$73),0)-IFERROR(GETPIVOTDATA("Cantidad",'TD AVANCE'!$B$121,"SC",$B75,"PART",E$73,"ESTADO","CERRADO"),0))</f>
        <v/>
      </c>
      <c r="F75" s="34" t="str">
        <f>IF(IFERROR(GETPIVOTDATA("Cantidad",'TD AVANCE'!$B$121,"SC",$B75,"PART",E$73,"ESTADO","CERRADO"),0)=0,"",IFERROR(GETPIVOTDATA("Cantidad",'TD AVANCE'!$B$121,"SC",$B75,"PART",E$73,"ESTADO","CERRADO"),0))</f>
        <v/>
      </c>
      <c r="G75" s="34" t="str">
        <f>IF(IFERROR(GETPIVOTDATA("Cantidad",'TD AVANCE'!$B$121,"SC",$B75,"PART",G$73),0)-IFERROR(GETPIVOTDATA("Cantidad",'TD AVANCE'!$B$121,"SC",$B75,"PART",G$73,"ESTADO","CERRADO"),0)=0,"",IFERROR(GETPIVOTDATA("Cantidad",'TD AVANCE'!$B$121,"SC",$B75,"PART",G$73),0)-IFERROR(GETPIVOTDATA("Cantidad",'TD AVANCE'!$B$121,"SC",$B75,"PART",G$73,"ESTADO","CERRADO"),0))</f>
        <v/>
      </c>
      <c r="H75" s="34" t="str">
        <f>IF(IFERROR(GETPIVOTDATA("Cantidad",'TD AVANCE'!$B$121,"SC",$B75,"PART",G$73,"ESTADO","CERRADO"),0)=0,"",IFERROR(GETPIVOTDATA("Cantidad",'TD AVANCE'!$B$121,"SC",$B75,"PART",G$73,"ESTADO","CERRADO"),0))</f>
        <v/>
      </c>
      <c r="I75" s="34" t="str">
        <f>IF(IFERROR(GETPIVOTDATA("Cantidad",'TD AVANCE'!$B$121,"SC",$B75,"PART",I$73),0)-IFERROR(GETPIVOTDATA("Cantidad",'TD AVANCE'!$B$121,"SC",$B75,"PART",I$73,"ESTADO","CERRADO"),0)=0,"",IFERROR(GETPIVOTDATA("Cantidad",'TD AVANCE'!$B$121,"SC",$B75,"PART",I$73),0)-IFERROR(GETPIVOTDATA("Cantidad",'TD AVANCE'!$B$121,"SC",$B75,"PART",I$73,"ESTADO","CERRADO"),0))</f>
        <v/>
      </c>
      <c r="J75" s="34" t="str">
        <f>IF(IFERROR(GETPIVOTDATA("Cantidad",'TD AVANCE'!$B$121,"SC",$B75,"PART",I$73,"ESTADO","CERRADO"),0)=0,"",IFERROR(GETPIVOTDATA("Cantidad",'TD AVANCE'!$B$121,"SC",$B75,"PART",I$73,"ESTADO","CERRADO"),0))</f>
        <v/>
      </c>
      <c r="K75" s="34">
        <f>IF(IFERROR(GETPIVOTDATA("Cantidad",'TD AVANCE'!$B$121,"SC",$B75,"PART",K$73),0)-IFERROR(GETPIVOTDATA("Cantidad",'TD AVANCE'!$B$121,"SC",$B75,"PART",K$73,"ESTADO","CERRADO"),0)=0,"",IFERROR(GETPIVOTDATA("Cantidad",'TD AVANCE'!$B$121,"SC",$B75,"PART",K$73),0)-IFERROR(GETPIVOTDATA("Cantidad",'TD AVANCE'!$B$121,"SC",$B75,"PART",K$73,"ESTADO","CERRADO"),0))</f>
        <v>1</v>
      </c>
      <c r="L75" s="34">
        <f>IF(IFERROR(GETPIVOTDATA("Cantidad",'TD AVANCE'!$B$121,"SC",$B75,"PART",K$73,"ESTADO","CERRADO"),0)=0,"",IFERROR(GETPIVOTDATA("Cantidad",'TD AVANCE'!$B$121,"SC",$B75,"PART",K$73,"ESTADO","CERRADO"),0))</f>
        <v>5</v>
      </c>
      <c r="M75" s="34" t="str">
        <f>IF(IFERROR(GETPIVOTDATA("Cantidad",'TD AVANCE'!$B$121,"SC",$B75,"PART",M$73),0)-IFERROR(GETPIVOTDATA("Cantidad",'TD AVANCE'!$B$121,"SC",$B75,"PART",M$73,"ESTADO","CERRADO"),0)=0,"",IFERROR(GETPIVOTDATA("Cantidad",'TD AVANCE'!$B$121,"SC",$B75,"PART",M$73),0)-IFERROR(GETPIVOTDATA("Cantidad",'TD AVANCE'!$B$121,"SC",$B75,"PART",M$73,"ESTADO","CERRADO"),0))</f>
        <v/>
      </c>
      <c r="N75" s="34">
        <f>IF(IFERROR(GETPIVOTDATA("Cantidad",'TD AVANCE'!$B$121,"SC",$B75,"PART",M$73,"ESTADO","CERRADO"),0)=0,"",IFERROR(GETPIVOTDATA("Cantidad",'TD AVANCE'!$B$121,"SC",$B75,"PART",M$73,"ESTADO","CERRADO"),0))</f>
        <v>1</v>
      </c>
      <c r="O75" s="34" t="str">
        <f>IF(IFERROR(GETPIVOTDATA("Cantidad",'TD AVANCE'!$B$121,"SC",$B75,"PART",O$73),0)-IFERROR(GETPIVOTDATA("Cantidad",'TD AVANCE'!$B$121,"SC",$B75,"PART",O$73,"ESTADO","CERRADO"),0)=0,"",IFERROR(GETPIVOTDATA("Cantidad",'TD AVANCE'!$B$121,"SC",$B75,"PART",O$73),0)-IFERROR(GETPIVOTDATA("Cantidad",'TD AVANCE'!$B$121,"SC",$B75,"PART",O$73,"ESTADO","CERRADO"),0))</f>
        <v/>
      </c>
      <c r="P75" s="34" t="str">
        <f>IF(IFERROR(GETPIVOTDATA("Cantidad",'TD AVANCE'!$B$121,"SC",$B75,"PART",O$73,"ESTADO","CERRADO"),0)=0,"",IFERROR(GETPIVOTDATA("Cantidad",'TD AVANCE'!$B$121,"SC",$B75,"PART",O$73,"ESTADO","CERRADO"),0))</f>
        <v/>
      </c>
      <c r="Q75" s="34">
        <f>IF(IFERROR(GETPIVOTDATA("Cantidad",'TD AVANCE'!$B$121,"SC",$B75,"PART",Q$73),0)-IFERROR(GETPIVOTDATA("Cantidad",'TD AVANCE'!$B$121,"SC",$B75,"PART",Q$73,"ESTADO","CERRADO"),0)=0,"",IFERROR(GETPIVOTDATA("Cantidad",'TD AVANCE'!$B$121,"SC",$B75,"PART",Q$73),0)-IFERROR(GETPIVOTDATA("Cantidad",'TD AVANCE'!$B$121,"SC",$B75,"PART",Q$73,"ESTADO","CERRADO"),0))</f>
        <v>2</v>
      </c>
      <c r="R75" s="34">
        <f>IF(IFERROR(GETPIVOTDATA("Cantidad",'TD AVANCE'!$B$121,"SC",$B75,"PART",Q$73,"ESTADO","CERRADO"),0)=0,"",IFERROR(GETPIVOTDATA("Cantidad",'TD AVANCE'!$B$121,"SC",$B75,"PART",Q$73,"ESTADO","CERRADO"),0))</f>
        <v>10</v>
      </c>
      <c r="S75" s="34">
        <f>IF(IFERROR(GETPIVOTDATA("Cantidad",'TD AVANCE'!$B$121,"SC",$B75,"PART",S$73),0)-IFERROR(GETPIVOTDATA("Cantidad",'TD AVANCE'!$B$121,"SC",$B75,"PART",S$73,"ESTADO","CERRADO"),0)=0,"",IFERROR(GETPIVOTDATA("Cantidad",'TD AVANCE'!$B$121,"SC",$B75,"PART",S$73),0)-IFERROR(GETPIVOTDATA("Cantidad",'TD AVANCE'!$B$121,"SC",$B75,"PART",S$73,"ESTADO","CERRADO"),0))</f>
        <v>1</v>
      </c>
      <c r="T75" s="34" t="str">
        <f>IF(IFERROR(GETPIVOTDATA("Cantidad",'TD AVANCE'!$B$121,"SC",$B75,"PART",S$73,"ESTADO","CERRADO"),0)=0,"",IFERROR(GETPIVOTDATA("Cantidad",'TD AVANCE'!$B$121,"SC",$B75,"PART",S$73,"ESTADO","CERRADO"),0))</f>
        <v/>
      </c>
      <c r="U75" s="34" t="str">
        <f>IF(IFERROR(GETPIVOTDATA("Cantidad",'TD AVANCE'!$B$121,"SC",$B75,"PART",U$73),0)-IFERROR(GETPIVOTDATA("Cantidad",'TD AVANCE'!$B$121,"SC",$B75,"PART",U$73,"ESTADO","CERRADO"),0)=0,"",IFERROR(GETPIVOTDATA("Cantidad",'TD AVANCE'!$B$121,"SC",$B75,"PART",U$73),0)-IFERROR(GETPIVOTDATA("Cantidad",'TD AVANCE'!$B$121,"SC",$B75,"PART",U$73,"ESTADO","CERRADO"),0))</f>
        <v/>
      </c>
      <c r="V75" s="34">
        <f>IF(IFERROR(GETPIVOTDATA("Cantidad",'TD AVANCE'!$B$121,"SC",$B75,"PART",U$73,"ESTADO","CERRADO"),0)=0,"",IFERROR(GETPIVOTDATA("Cantidad",'TD AVANCE'!$B$121,"SC",$B75,"PART",U$73,"ESTADO","CERRADO"),0))</f>
        <v>1</v>
      </c>
      <c r="W75" s="34" t="str">
        <f>IF(IFERROR(GETPIVOTDATA("Cantidad",'TD AVANCE'!$B$121,"SC",$B75,"PART",W$73),0)-IFERROR(GETPIVOTDATA("Cantidad",'TD AVANCE'!$B$121,"SC",$B75,"PART",W$73,"ESTADO","CERRADO"),0)=0,"",IFERROR(GETPIVOTDATA("Cantidad",'TD AVANCE'!$B$121,"SC",$B75,"PART",W$73),0)-IFERROR(GETPIVOTDATA("Cantidad",'TD AVANCE'!$B$121,"SC",$B75,"PART",W$73,"ESTADO","CERRADO"),0))</f>
        <v/>
      </c>
      <c r="X75" s="34">
        <f>IF(IFERROR(GETPIVOTDATA("Cantidad",'TD AVANCE'!$B$121,"SC",$B75,"PART",W$73,"ESTADO","CERRADO"),0)=0,"",IFERROR(GETPIVOTDATA("Cantidad",'TD AVANCE'!$B$121,"SC",$B75,"PART",W$73,"ESTADO","CERRADO"),0))</f>
        <v>1</v>
      </c>
      <c r="Y75" s="34" t="str">
        <f>IF(IFERROR(GETPIVOTDATA("Cantidad",'TD AVANCE'!$B$121,"SC",$B75,"PART",Y$73),0)-IFERROR(GETPIVOTDATA("Cantidad",'TD AVANCE'!$B$121,"SC",$B75,"PART",Y$73,"ESTADO","CERRADO"),0)=0,"",IFERROR(GETPIVOTDATA("Cantidad",'TD AVANCE'!$B$121,"SC",$B75,"PART",Y$73),0)-IFERROR(GETPIVOTDATA("Cantidad",'TD AVANCE'!$B$121,"SC",$B75,"PART",Y$73,"ESTADO","CERRADO"),0))</f>
        <v/>
      </c>
      <c r="Z75" s="34" t="str">
        <f>IF(IFERROR(GETPIVOTDATA("Cantidad",'TD AVANCE'!$B$121,"SC",$B75,"PART",Y$73,"ESTADO","CERRADO"),0)=0,"",IFERROR(GETPIVOTDATA("Cantidad",'TD AVANCE'!$B$121,"SC",$B75,"PART",Y$73,"ESTADO","CERRADO"),0))</f>
        <v/>
      </c>
    </row>
    <row r="76" spans="2:26" ht="16" x14ac:dyDescent="0.2">
      <c r="B76" s="35" t="s">
        <v>3383</v>
      </c>
      <c r="C76" s="35" t="str">
        <f>IF(IFERROR(GETPIVOTDATA("Cantidad",'TD AVANCE'!$B$121,"SC",$B76,"PART",C$73),0)-IFERROR(GETPIVOTDATA("Cantidad",'TD AVANCE'!$B$121,"SC",$B76,"PART",C$73,"ESTADO","CERRADO"),0)=0,"",IFERROR(GETPIVOTDATA("Cantidad",'TD AVANCE'!$B$121,"SC",$B76,"PART",C$73),0)-IFERROR(GETPIVOTDATA("Cantidad",'TD AVANCE'!$B$121,"SC",$B76,"PART",C$73,"ESTADO","CERRADO"),0))</f>
        <v/>
      </c>
      <c r="D76" s="35" t="str">
        <f>IF(IFERROR(GETPIVOTDATA("Cantidad",'TD AVANCE'!$B$121,"SC",$B76,"PART",C$73,"ESTADO","CERRADO"),0)=0,"",IFERROR(GETPIVOTDATA("Cantidad",'TD AVANCE'!$B$121,"SC",$B76,"PART",C$73,"ESTADO","CERRADO"),0))</f>
        <v/>
      </c>
      <c r="E76" s="35" t="str">
        <f>IF(IFERROR(GETPIVOTDATA("Cantidad",'TD AVANCE'!$B$121,"SC",$B76,"PART",E$73),0)-IFERROR(GETPIVOTDATA("Cantidad",'TD AVANCE'!$B$121,"SC",$B76,"PART",E$73,"ESTADO","CERRADO"),0)=0,"",IFERROR(GETPIVOTDATA("Cantidad",'TD AVANCE'!$B$121,"SC",$B76,"PART",E$73),0)-IFERROR(GETPIVOTDATA("Cantidad",'TD AVANCE'!$B$121,"SC",$B76,"PART",E$73,"ESTADO","CERRADO"),0))</f>
        <v/>
      </c>
      <c r="F76" s="35">
        <f>IF(IFERROR(GETPIVOTDATA("Cantidad",'TD AVANCE'!$B$121,"SC",$B76,"PART",E$73,"ESTADO","CERRADO"),0)=0,"",IFERROR(GETPIVOTDATA("Cantidad",'TD AVANCE'!$B$121,"SC",$B76,"PART",E$73,"ESTADO","CERRADO"),0))</f>
        <v>4</v>
      </c>
      <c r="G76" s="35" t="str">
        <f>IF(IFERROR(GETPIVOTDATA("Cantidad",'TD AVANCE'!$B$121,"SC",$B76,"PART",G$73),0)-IFERROR(GETPIVOTDATA("Cantidad",'TD AVANCE'!$B$121,"SC",$B76,"PART",G$73,"ESTADO","CERRADO"),0)=0,"",IFERROR(GETPIVOTDATA("Cantidad",'TD AVANCE'!$B$121,"SC",$B76,"PART",G$73),0)-IFERROR(GETPIVOTDATA("Cantidad",'TD AVANCE'!$B$121,"SC",$B76,"PART",G$73,"ESTADO","CERRADO"),0))</f>
        <v/>
      </c>
      <c r="H76" s="35">
        <f>IF(IFERROR(GETPIVOTDATA("Cantidad",'TD AVANCE'!$B$121,"SC",$B76,"PART",G$73,"ESTADO","CERRADO"),0)=0,"",IFERROR(GETPIVOTDATA("Cantidad",'TD AVANCE'!$B$121,"SC",$B76,"PART",G$73,"ESTADO","CERRADO"),0))</f>
        <v>5</v>
      </c>
      <c r="I76" s="35" t="str">
        <f>IF(IFERROR(GETPIVOTDATA("Cantidad",'TD AVANCE'!$B$121,"SC",$B76,"PART",I$73),0)-IFERROR(GETPIVOTDATA("Cantidad",'TD AVANCE'!$B$121,"SC",$B76,"PART",I$73,"ESTADO","CERRADO"),0)=0,"",IFERROR(GETPIVOTDATA("Cantidad",'TD AVANCE'!$B$121,"SC",$B76,"PART",I$73),0)-IFERROR(GETPIVOTDATA("Cantidad",'TD AVANCE'!$B$121,"SC",$B76,"PART",I$73,"ESTADO","CERRADO"),0))</f>
        <v/>
      </c>
      <c r="J76" s="35">
        <f>IF(IFERROR(GETPIVOTDATA("Cantidad",'TD AVANCE'!$B$121,"SC",$B76,"PART",I$73,"ESTADO","CERRADO"),0)=0,"",IFERROR(GETPIVOTDATA("Cantidad",'TD AVANCE'!$B$121,"SC",$B76,"PART",I$73,"ESTADO","CERRADO"),0))</f>
        <v>5</v>
      </c>
      <c r="K76" s="35" t="str">
        <f>IF(IFERROR(GETPIVOTDATA("Cantidad",'TD AVANCE'!$B$121,"SC",$B76,"PART",K$73),0)-IFERROR(GETPIVOTDATA("Cantidad",'TD AVANCE'!$B$121,"SC",$B76,"PART",K$73,"ESTADO","CERRADO"),0)=0,"",IFERROR(GETPIVOTDATA("Cantidad",'TD AVANCE'!$B$121,"SC",$B76,"PART",K$73),0)-IFERROR(GETPIVOTDATA("Cantidad",'TD AVANCE'!$B$121,"SC",$B76,"PART",K$73,"ESTADO","CERRADO"),0))</f>
        <v/>
      </c>
      <c r="L76" s="35" t="str">
        <f>IF(IFERROR(GETPIVOTDATA("Cantidad",'TD AVANCE'!$B$121,"SC",$B76,"PART",K$73,"ESTADO","CERRADO"),0)=0,"",IFERROR(GETPIVOTDATA("Cantidad",'TD AVANCE'!$B$121,"SC",$B76,"PART",K$73,"ESTADO","CERRADO"),0))</f>
        <v/>
      </c>
      <c r="M76" s="35" t="str">
        <f>IF(IFERROR(GETPIVOTDATA("Cantidad",'TD AVANCE'!$B$121,"SC",$B76,"PART",M$73),0)-IFERROR(GETPIVOTDATA("Cantidad",'TD AVANCE'!$B$121,"SC",$B76,"PART",M$73,"ESTADO","CERRADO"),0)=0,"",IFERROR(GETPIVOTDATA("Cantidad",'TD AVANCE'!$B$121,"SC",$B76,"PART",M$73),0)-IFERROR(GETPIVOTDATA("Cantidad",'TD AVANCE'!$B$121,"SC",$B76,"PART",M$73,"ESTADO","CERRADO"),0))</f>
        <v/>
      </c>
      <c r="N76" s="35">
        <f>IF(IFERROR(GETPIVOTDATA("Cantidad",'TD AVANCE'!$B$121,"SC",$B76,"PART",M$73,"ESTADO","CERRADO"),0)=0,"",IFERROR(GETPIVOTDATA("Cantidad",'TD AVANCE'!$B$121,"SC",$B76,"PART",M$73,"ESTADO","CERRADO"),0))</f>
        <v>2</v>
      </c>
      <c r="O76" s="35" t="str">
        <f>IF(IFERROR(GETPIVOTDATA("Cantidad",'TD AVANCE'!$B$121,"SC",$B76,"PART",O$73),0)-IFERROR(GETPIVOTDATA("Cantidad",'TD AVANCE'!$B$121,"SC",$B76,"PART",O$73,"ESTADO","CERRADO"),0)=0,"",IFERROR(GETPIVOTDATA("Cantidad",'TD AVANCE'!$B$121,"SC",$B76,"PART",O$73),0)-IFERROR(GETPIVOTDATA("Cantidad",'TD AVANCE'!$B$121,"SC",$B76,"PART",O$73,"ESTADO","CERRADO"),0))</f>
        <v/>
      </c>
      <c r="P76" s="35" t="str">
        <f>IF(IFERROR(GETPIVOTDATA("Cantidad",'TD AVANCE'!$B$121,"SC",$B76,"PART",O$73,"ESTADO","CERRADO"),0)=0,"",IFERROR(GETPIVOTDATA("Cantidad",'TD AVANCE'!$B$121,"SC",$B76,"PART",O$73,"ESTADO","CERRADO"),0))</f>
        <v/>
      </c>
      <c r="Q76" s="35">
        <f>IF(IFERROR(GETPIVOTDATA("Cantidad",'TD AVANCE'!$B$121,"SC",$B76,"PART",Q$73),0)-IFERROR(GETPIVOTDATA("Cantidad",'TD AVANCE'!$B$121,"SC",$B76,"PART",Q$73,"ESTADO","CERRADO"),0)=0,"",IFERROR(GETPIVOTDATA("Cantidad",'TD AVANCE'!$B$121,"SC",$B76,"PART",Q$73),0)-IFERROR(GETPIVOTDATA("Cantidad",'TD AVANCE'!$B$121,"SC",$B76,"PART",Q$73,"ESTADO","CERRADO"),0))</f>
        <v>2</v>
      </c>
      <c r="R76" s="35">
        <f>IF(IFERROR(GETPIVOTDATA("Cantidad",'TD AVANCE'!$B$121,"SC",$B76,"PART",Q$73,"ESTADO","CERRADO"),0)=0,"",IFERROR(GETPIVOTDATA("Cantidad",'TD AVANCE'!$B$121,"SC",$B76,"PART",Q$73,"ESTADO","CERRADO"),0))</f>
        <v>39</v>
      </c>
      <c r="S76" s="35" t="str">
        <f>IF(IFERROR(GETPIVOTDATA("Cantidad",'TD AVANCE'!$B$121,"SC",$B76,"PART",S$73),0)-IFERROR(GETPIVOTDATA("Cantidad",'TD AVANCE'!$B$121,"SC",$B76,"PART",S$73,"ESTADO","CERRADO"),0)=0,"",IFERROR(GETPIVOTDATA("Cantidad",'TD AVANCE'!$B$121,"SC",$B76,"PART",S$73),0)-IFERROR(GETPIVOTDATA("Cantidad",'TD AVANCE'!$B$121,"SC",$B76,"PART",S$73,"ESTADO","CERRADO"),0))</f>
        <v/>
      </c>
      <c r="T76" s="35" t="str">
        <f>IF(IFERROR(GETPIVOTDATA("Cantidad",'TD AVANCE'!$B$121,"SC",$B76,"PART",S$73,"ESTADO","CERRADO"),0)=0,"",IFERROR(GETPIVOTDATA("Cantidad",'TD AVANCE'!$B$121,"SC",$B76,"PART",S$73,"ESTADO","CERRADO"),0))</f>
        <v/>
      </c>
      <c r="U76" s="35" t="str">
        <f>IF(IFERROR(GETPIVOTDATA("Cantidad",'TD AVANCE'!$B$121,"SC",$B76,"PART",U$73),0)-IFERROR(GETPIVOTDATA("Cantidad",'TD AVANCE'!$B$121,"SC",$B76,"PART",U$73,"ESTADO","CERRADO"),0)=0,"",IFERROR(GETPIVOTDATA("Cantidad",'TD AVANCE'!$B$121,"SC",$B76,"PART",U$73),0)-IFERROR(GETPIVOTDATA("Cantidad",'TD AVANCE'!$B$121,"SC",$B76,"PART",U$73,"ESTADO","CERRADO"),0))</f>
        <v/>
      </c>
      <c r="V76" s="35" t="str">
        <f>IF(IFERROR(GETPIVOTDATA("Cantidad",'TD AVANCE'!$B$121,"SC",$B76,"PART",U$73,"ESTADO","CERRADO"),0)=0,"",IFERROR(GETPIVOTDATA("Cantidad",'TD AVANCE'!$B$121,"SC",$B76,"PART",U$73,"ESTADO","CERRADO"),0))</f>
        <v/>
      </c>
      <c r="W76" s="35" t="str">
        <f>IF(IFERROR(GETPIVOTDATA("Cantidad",'TD AVANCE'!$B$121,"SC",$B76,"PART",W$73),0)-IFERROR(GETPIVOTDATA("Cantidad",'TD AVANCE'!$B$121,"SC",$B76,"PART",W$73,"ESTADO","CERRADO"),0)=0,"",IFERROR(GETPIVOTDATA("Cantidad",'TD AVANCE'!$B$121,"SC",$B76,"PART",W$73),0)-IFERROR(GETPIVOTDATA("Cantidad",'TD AVANCE'!$B$121,"SC",$B76,"PART",W$73,"ESTADO","CERRADO"),0))</f>
        <v/>
      </c>
      <c r="X76" s="35">
        <f>IF(IFERROR(GETPIVOTDATA("Cantidad",'TD AVANCE'!$B$121,"SC",$B76,"PART",W$73,"ESTADO","CERRADO"),0)=0,"",IFERROR(GETPIVOTDATA("Cantidad",'TD AVANCE'!$B$121,"SC",$B76,"PART",W$73,"ESTADO","CERRADO"),0))</f>
        <v>12</v>
      </c>
      <c r="Y76" s="35" t="str">
        <f>IF(IFERROR(GETPIVOTDATA("Cantidad",'TD AVANCE'!$B$121,"SC",$B76,"PART",Y$73),0)-IFERROR(GETPIVOTDATA("Cantidad",'TD AVANCE'!$B$121,"SC",$B76,"PART",Y$73,"ESTADO","CERRADO"),0)=0,"",IFERROR(GETPIVOTDATA("Cantidad",'TD AVANCE'!$B$121,"SC",$B76,"PART",Y$73),0)-IFERROR(GETPIVOTDATA("Cantidad",'TD AVANCE'!$B$121,"SC",$B76,"PART",Y$73,"ESTADO","CERRADO"),0))</f>
        <v/>
      </c>
      <c r="Z76" s="35" t="str">
        <f>IF(IFERROR(GETPIVOTDATA("Cantidad",'TD AVANCE'!$B$121,"SC",$B76,"PART",Y$73,"ESTADO","CERRADO"),0)=0,"",IFERROR(GETPIVOTDATA("Cantidad",'TD AVANCE'!$B$121,"SC",$B76,"PART",Y$73,"ESTADO","CERRADO"),0))</f>
        <v/>
      </c>
    </row>
    <row r="77" spans="2:26" ht="16" x14ac:dyDescent="0.2">
      <c r="B77" s="34" t="s">
        <v>3381</v>
      </c>
      <c r="C77" s="34" t="str">
        <f>IF(IFERROR(GETPIVOTDATA("Cantidad",'TD AVANCE'!$B$121,"SC",$B77,"PART",C$73),0)-IFERROR(GETPIVOTDATA("Cantidad",'TD AVANCE'!$B$121,"SC",$B77,"PART",C$73,"ESTADO","CERRADO"),0)=0,"",IFERROR(GETPIVOTDATA("Cantidad",'TD AVANCE'!$B$121,"SC",$B77,"PART",C$73),0)-IFERROR(GETPIVOTDATA("Cantidad",'TD AVANCE'!$B$121,"SC",$B77,"PART",C$73,"ESTADO","CERRADO"),0))</f>
        <v/>
      </c>
      <c r="D77" s="34" t="str">
        <f>IF(IFERROR(GETPIVOTDATA("Cantidad",'TD AVANCE'!$B$121,"SC",$B77,"PART",C$73,"ESTADO","CERRADO"),0)=0,"",IFERROR(GETPIVOTDATA("Cantidad",'TD AVANCE'!$B$121,"SC",$B77,"PART",C$73,"ESTADO","CERRADO"),0))</f>
        <v/>
      </c>
      <c r="E77" s="34" t="str">
        <f>IF(IFERROR(GETPIVOTDATA("Cantidad",'TD AVANCE'!$B$121,"SC",$B77,"PART",E$73),0)-IFERROR(GETPIVOTDATA("Cantidad",'TD AVANCE'!$B$121,"SC",$B77,"PART",E$73,"ESTADO","CERRADO"),0)=0,"",IFERROR(GETPIVOTDATA("Cantidad",'TD AVANCE'!$B$121,"SC",$B77,"PART",E$73),0)-IFERROR(GETPIVOTDATA("Cantidad",'TD AVANCE'!$B$121,"SC",$B77,"PART",E$73,"ESTADO","CERRADO"),0))</f>
        <v/>
      </c>
      <c r="F77" s="34">
        <f>IF(IFERROR(GETPIVOTDATA("Cantidad",'TD AVANCE'!$B$121,"SC",$B77,"PART",E$73,"ESTADO","CERRADO"),0)=0,"",IFERROR(GETPIVOTDATA("Cantidad",'TD AVANCE'!$B$121,"SC",$B77,"PART",E$73,"ESTADO","CERRADO"),0))</f>
        <v>5</v>
      </c>
      <c r="G77" s="34" t="str">
        <f>IF(IFERROR(GETPIVOTDATA("Cantidad",'TD AVANCE'!$B$121,"SC",$B77,"PART",G$73),0)-IFERROR(GETPIVOTDATA("Cantidad",'TD AVANCE'!$B$121,"SC",$B77,"PART",G$73,"ESTADO","CERRADO"),0)=0,"",IFERROR(GETPIVOTDATA("Cantidad",'TD AVANCE'!$B$121,"SC",$B77,"PART",G$73),0)-IFERROR(GETPIVOTDATA("Cantidad",'TD AVANCE'!$B$121,"SC",$B77,"PART",G$73,"ESTADO","CERRADO"),0))</f>
        <v/>
      </c>
      <c r="H77" s="34">
        <f>IF(IFERROR(GETPIVOTDATA("Cantidad",'TD AVANCE'!$B$121,"SC",$B77,"PART",G$73,"ESTADO","CERRADO"),0)=0,"",IFERROR(GETPIVOTDATA("Cantidad",'TD AVANCE'!$B$121,"SC",$B77,"PART",G$73,"ESTADO","CERRADO"),0))</f>
        <v>6</v>
      </c>
      <c r="I77" s="34">
        <f>IF(IFERROR(GETPIVOTDATA("Cantidad",'TD AVANCE'!$B$121,"SC",$B77,"PART",I$73),0)-IFERROR(GETPIVOTDATA("Cantidad",'TD AVANCE'!$B$121,"SC",$B77,"PART",I$73,"ESTADO","CERRADO"),0)=0,"",IFERROR(GETPIVOTDATA("Cantidad",'TD AVANCE'!$B$121,"SC",$B77,"PART",I$73),0)-IFERROR(GETPIVOTDATA("Cantidad",'TD AVANCE'!$B$121,"SC",$B77,"PART",I$73,"ESTADO","CERRADO"),0))</f>
        <v>2</v>
      </c>
      <c r="J77" s="34">
        <f>IF(IFERROR(GETPIVOTDATA("Cantidad",'TD AVANCE'!$B$121,"SC",$B77,"PART",I$73,"ESTADO","CERRADO"),0)=0,"",IFERROR(GETPIVOTDATA("Cantidad",'TD AVANCE'!$B$121,"SC",$B77,"PART",I$73,"ESTADO","CERRADO"),0))</f>
        <v>24</v>
      </c>
      <c r="K77" s="34" t="str">
        <f>IF(IFERROR(GETPIVOTDATA("Cantidad",'TD AVANCE'!$B$121,"SC",$B77,"PART",K$73),0)-IFERROR(GETPIVOTDATA("Cantidad",'TD AVANCE'!$B$121,"SC",$B77,"PART",K$73,"ESTADO","CERRADO"),0)=0,"",IFERROR(GETPIVOTDATA("Cantidad",'TD AVANCE'!$B$121,"SC",$B77,"PART",K$73),0)-IFERROR(GETPIVOTDATA("Cantidad",'TD AVANCE'!$B$121,"SC",$B77,"PART",K$73,"ESTADO","CERRADO"),0))</f>
        <v/>
      </c>
      <c r="L77" s="34" t="str">
        <f>IF(IFERROR(GETPIVOTDATA("Cantidad",'TD AVANCE'!$B$121,"SC",$B77,"PART",K$73,"ESTADO","CERRADO"),0)=0,"",IFERROR(GETPIVOTDATA("Cantidad",'TD AVANCE'!$B$121,"SC",$B77,"PART",K$73,"ESTADO","CERRADO"),0))</f>
        <v/>
      </c>
      <c r="M77" s="34" t="str">
        <f>IF(IFERROR(GETPIVOTDATA("Cantidad",'TD AVANCE'!$B$121,"SC",$B77,"PART",M$73),0)-IFERROR(GETPIVOTDATA("Cantidad",'TD AVANCE'!$B$121,"SC",$B77,"PART",M$73,"ESTADO","CERRADO"),0)=0,"",IFERROR(GETPIVOTDATA("Cantidad",'TD AVANCE'!$B$121,"SC",$B77,"PART",M$73),0)-IFERROR(GETPIVOTDATA("Cantidad",'TD AVANCE'!$B$121,"SC",$B77,"PART",M$73,"ESTADO","CERRADO"),0))</f>
        <v/>
      </c>
      <c r="N77" s="34">
        <f>IF(IFERROR(GETPIVOTDATA("Cantidad",'TD AVANCE'!$B$121,"SC",$B77,"PART",M$73,"ESTADO","CERRADO"),0)=0,"",IFERROR(GETPIVOTDATA("Cantidad",'TD AVANCE'!$B$121,"SC",$B77,"PART",M$73,"ESTADO","CERRADO"),0))</f>
        <v>2</v>
      </c>
      <c r="O77" s="34" t="str">
        <f>IF(IFERROR(GETPIVOTDATA("Cantidad",'TD AVANCE'!$B$121,"SC",$B77,"PART",O$73),0)-IFERROR(GETPIVOTDATA("Cantidad",'TD AVANCE'!$B$121,"SC",$B77,"PART",O$73,"ESTADO","CERRADO"),0)=0,"",IFERROR(GETPIVOTDATA("Cantidad",'TD AVANCE'!$B$121,"SC",$B77,"PART",O$73),0)-IFERROR(GETPIVOTDATA("Cantidad",'TD AVANCE'!$B$121,"SC",$B77,"PART",O$73,"ESTADO","CERRADO"),0))</f>
        <v/>
      </c>
      <c r="P77" s="34" t="str">
        <f>IF(IFERROR(GETPIVOTDATA("Cantidad",'TD AVANCE'!$B$121,"SC",$B77,"PART",O$73,"ESTADO","CERRADO"),0)=0,"",IFERROR(GETPIVOTDATA("Cantidad",'TD AVANCE'!$B$121,"SC",$B77,"PART",O$73,"ESTADO","CERRADO"),0))</f>
        <v/>
      </c>
      <c r="Q77" s="34">
        <f>IF(IFERROR(GETPIVOTDATA("Cantidad",'TD AVANCE'!$B$121,"SC",$B77,"PART",Q$73),0)-IFERROR(GETPIVOTDATA("Cantidad",'TD AVANCE'!$B$121,"SC",$B77,"PART",Q$73,"ESTADO","CERRADO"),0)=0,"",IFERROR(GETPIVOTDATA("Cantidad",'TD AVANCE'!$B$121,"SC",$B77,"PART",Q$73),0)-IFERROR(GETPIVOTDATA("Cantidad",'TD AVANCE'!$B$121,"SC",$B77,"PART",Q$73,"ESTADO","CERRADO"),0))</f>
        <v>9</v>
      </c>
      <c r="R77" s="34">
        <f>IF(IFERROR(GETPIVOTDATA("Cantidad",'TD AVANCE'!$B$121,"SC",$B77,"PART",Q$73,"ESTADO","CERRADO"),0)=0,"",IFERROR(GETPIVOTDATA("Cantidad",'TD AVANCE'!$B$121,"SC",$B77,"PART",Q$73,"ESTADO","CERRADO"),0))</f>
        <v>20</v>
      </c>
      <c r="S77" s="34" t="str">
        <f>IF(IFERROR(GETPIVOTDATA("Cantidad",'TD AVANCE'!$B$121,"SC",$B77,"PART",S$73),0)-IFERROR(GETPIVOTDATA("Cantidad",'TD AVANCE'!$B$121,"SC",$B77,"PART",S$73,"ESTADO","CERRADO"),0)=0,"",IFERROR(GETPIVOTDATA("Cantidad",'TD AVANCE'!$B$121,"SC",$B77,"PART",S$73),0)-IFERROR(GETPIVOTDATA("Cantidad",'TD AVANCE'!$B$121,"SC",$B77,"PART",S$73,"ESTADO","CERRADO"),0))</f>
        <v/>
      </c>
      <c r="T77" s="34" t="str">
        <f>IF(IFERROR(GETPIVOTDATA("Cantidad",'TD AVANCE'!$B$121,"SC",$B77,"PART",S$73,"ESTADO","CERRADO"),0)=0,"",IFERROR(GETPIVOTDATA("Cantidad",'TD AVANCE'!$B$121,"SC",$B77,"PART",S$73,"ESTADO","CERRADO"),0))</f>
        <v/>
      </c>
      <c r="U77" s="34" t="str">
        <f>IF(IFERROR(GETPIVOTDATA("Cantidad",'TD AVANCE'!$B$121,"SC",$B77,"PART",U$73),0)-IFERROR(GETPIVOTDATA("Cantidad",'TD AVANCE'!$B$121,"SC",$B77,"PART",U$73,"ESTADO","CERRADO"),0)=0,"",IFERROR(GETPIVOTDATA("Cantidad",'TD AVANCE'!$B$121,"SC",$B77,"PART",U$73),0)-IFERROR(GETPIVOTDATA("Cantidad",'TD AVANCE'!$B$121,"SC",$B77,"PART",U$73,"ESTADO","CERRADO"),0))</f>
        <v/>
      </c>
      <c r="V77" s="34">
        <f>IF(IFERROR(GETPIVOTDATA("Cantidad",'TD AVANCE'!$B$121,"SC",$B77,"PART",U$73,"ESTADO","CERRADO"),0)=0,"",IFERROR(GETPIVOTDATA("Cantidad",'TD AVANCE'!$B$121,"SC",$B77,"PART",U$73,"ESTADO","CERRADO"),0))</f>
        <v>1</v>
      </c>
      <c r="W77" s="34">
        <f>IF(IFERROR(GETPIVOTDATA("Cantidad",'TD AVANCE'!$B$121,"SC",$B77,"PART",W$73),0)-IFERROR(GETPIVOTDATA("Cantidad",'TD AVANCE'!$B$121,"SC",$B77,"PART",W$73,"ESTADO","CERRADO"),0)=0,"",IFERROR(GETPIVOTDATA("Cantidad",'TD AVANCE'!$B$121,"SC",$B77,"PART",W$73),0)-IFERROR(GETPIVOTDATA("Cantidad",'TD AVANCE'!$B$121,"SC",$B77,"PART",W$73,"ESTADO","CERRADO"),0))</f>
        <v>1</v>
      </c>
      <c r="X77" s="34">
        <f>IF(IFERROR(GETPIVOTDATA("Cantidad",'TD AVANCE'!$B$121,"SC",$B77,"PART",W$73,"ESTADO","CERRADO"),0)=0,"",IFERROR(GETPIVOTDATA("Cantidad",'TD AVANCE'!$B$121,"SC",$B77,"PART",W$73,"ESTADO","CERRADO"),0))</f>
        <v>12</v>
      </c>
      <c r="Y77" s="34" t="str">
        <f>IF(IFERROR(GETPIVOTDATA("Cantidad",'TD AVANCE'!$B$121,"SC",$B77,"PART",Y$73),0)-IFERROR(GETPIVOTDATA("Cantidad",'TD AVANCE'!$B$121,"SC",$B77,"PART",Y$73,"ESTADO","CERRADO"),0)=0,"",IFERROR(GETPIVOTDATA("Cantidad",'TD AVANCE'!$B$121,"SC",$B77,"PART",Y$73),0)-IFERROR(GETPIVOTDATA("Cantidad",'TD AVANCE'!$B$121,"SC",$B77,"PART",Y$73,"ESTADO","CERRADO"),0))</f>
        <v/>
      </c>
      <c r="Z77" s="34" t="str">
        <f>IF(IFERROR(GETPIVOTDATA("Cantidad",'TD AVANCE'!$B$121,"SC",$B77,"PART",Y$73,"ESTADO","CERRADO"),0)=0,"",IFERROR(GETPIVOTDATA("Cantidad",'TD AVANCE'!$B$121,"SC",$B77,"PART",Y$73,"ESTADO","CERRADO"),0))</f>
        <v/>
      </c>
    </row>
    <row r="78" spans="2:26" ht="16" x14ac:dyDescent="0.2">
      <c r="B78" s="35" t="s">
        <v>3382</v>
      </c>
      <c r="C78" s="35">
        <f>IF(IFERROR(GETPIVOTDATA("Cantidad",'TD AVANCE'!$B$121,"SC",$B78,"PART",C$73),0)-IFERROR(GETPIVOTDATA("Cantidad",'TD AVANCE'!$B$121,"SC",$B78,"PART",C$73,"ESTADO","CERRADO"),0)=0,"",IFERROR(GETPIVOTDATA("Cantidad",'TD AVANCE'!$B$121,"SC",$B78,"PART",C$73),0)-IFERROR(GETPIVOTDATA("Cantidad",'TD AVANCE'!$B$121,"SC",$B78,"PART",C$73,"ESTADO","CERRADO"),0))</f>
        <v>1</v>
      </c>
      <c r="D78" s="35">
        <f>IF(IFERROR(GETPIVOTDATA("Cantidad",'TD AVANCE'!$B$121,"SC",$B78,"PART",C$73,"ESTADO","CERRADO"),0)=0,"",IFERROR(GETPIVOTDATA("Cantidad",'TD AVANCE'!$B$121,"SC",$B78,"PART",C$73,"ESTADO","CERRADO"),0))</f>
        <v>3</v>
      </c>
      <c r="E78" s="35" t="str">
        <f>IF(IFERROR(GETPIVOTDATA("Cantidad",'TD AVANCE'!$B$121,"SC",$B78,"PART",E$73),0)-IFERROR(GETPIVOTDATA("Cantidad",'TD AVANCE'!$B$121,"SC",$B78,"PART",E$73,"ESTADO","CERRADO"),0)=0,"",IFERROR(GETPIVOTDATA("Cantidad",'TD AVANCE'!$B$121,"SC",$B78,"PART",E$73),0)-IFERROR(GETPIVOTDATA("Cantidad",'TD AVANCE'!$B$121,"SC",$B78,"PART",E$73,"ESTADO","CERRADO"),0))</f>
        <v/>
      </c>
      <c r="F78" s="35">
        <f>IF(IFERROR(GETPIVOTDATA("Cantidad",'TD AVANCE'!$B$121,"SC",$B78,"PART",E$73,"ESTADO","CERRADO"),0)=0,"",IFERROR(GETPIVOTDATA("Cantidad",'TD AVANCE'!$B$121,"SC",$B78,"PART",E$73,"ESTADO","CERRADO"),0))</f>
        <v>1</v>
      </c>
      <c r="G78" s="35" t="str">
        <f>IF(IFERROR(GETPIVOTDATA("Cantidad",'TD AVANCE'!$B$121,"SC",$B78,"PART",G$73),0)-IFERROR(GETPIVOTDATA("Cantidad",'TD AVANCE'!$B$121,"SC",$B78,"PART",G$73,"ESTADO","CERRADO"),0)=0,"",IFERROR(GETPIVOTDATA("Cantidad",'TD AVANCE'!$B$121,"SC",$B78,"PART",G$73),0)-IFERROR(GETPIVOTDATA("Cantidad",'TD AVANCE'!$B$121,"SC",$B78,"PART",G$73,"ESTADO","CERRADO"),0))</f>
        <v/>
      </c>
      <c r="H78" s="35">
        <f>IF(IFERROR(GETPIVOTDATA("Cantidad",'TD AVANCE'!$B$121,"SC",$B78,"PART",G$73,"ESTADO","CERRADO"),0)=0,"",IFERROR(GETPIVOTDATA("Cantidad",'TD AVANCE'!$B$121,"SC",$B78,"PART",G$73,"ESTADO","CERRADO"),0))</f>
        <v>5</v>
      </c>
      <c r="I78" s="35">
        <f>IF(IFERROR(GETPIVOTDATA("Cantidad",'TD AVANCE'!$B$121,"SC",$B78,"PART",I$73),0)-IFERROR(GETPIVOTDATA("Cantidad",'TD AVANCE'!$B$121,"SC",$B78,"PART",I$73,"ESTADO","CERRADO"),0)=0,"",IFERROR(GETPIVOTDATA("Cantidad",'TD AVANCE'!$B$121,"SC",$B78,"PART",I$73),0)-IFERROR(GETPIVOTDATA("Cantidad",'TD AVANCE'!$B$121,"SC",$B78,"PART",I$73,"ESTADO","CERRADO"),0))</f>
        <v>1</v>
      </c>
      <c r="J78" s="35">
        <f>IF(IFERROR(GETPIVOTDATA("Cantidad",'TD AVANCE'!$B$121,"SC",$B78,"PART",I$73,"ESTADO","CERRADO"),0)=0,"",IFERROR(GETPIVOTDATA("Cantidad",'TD AVANCE'!$B$121,"SC",$B78,"PART",I$73,"ESTADO","CERRADO"),0))</f>
        <v>13</v>
      </c>
      <c r="K78" s="35" t="str">
        <f>IF(IFERROR(GETPIVOTDATA("Cantidad",'TD AVANCE'!$B$121,"SC",$B78,"PART",K$73),0)-IFERROR(GETPIVOTDATA("Cantidad",'TD AVANCE'!$B$121,"SC",$B78,"PART",K$73,"ESTADO","CERRADO"),0)=0,"",IFERROR(GETPIVOTDATA("Cantidad",'TD AVANCE'!$B$121,"SC",$B78,"PART",K$73),0)-IFERROR(GETPIVOTDATA("Cantidad",'TD AVANCE'!$B$121,"SC",$B78,"PART",K$73,"ESTADO","CERRADO"),0))</f>
        <v/>
      </c>
      <c r="L78" s="35" t="str">
        <f>IF(IFERROR(GETPIVOTDATA("Cantidad",'TD AVANCE'!$B$121,"SC",$B78,"PART",K$73,"ESTADO","CERRADO"),0)=0,"",IFERROR(GETPIVOTDATA("Cantidad",'TD AVANCE'!$B$121,"SC",$B78,"PART",K$73,"ESTADO","CERRADO"),0))</f>
        <v/>
      </c>
      <c r="M78" s="35" t="str">
        <f>IF(IFERROR(GETPIVOTDATA("Cantidad",'TD AVANCE'!$B$121,"SC",$B78,"PART",M$73),0)-IFERROR(GETPIVOTDATA("Cantidad",'TD AVANCE'!$B$121,"SC",$B78,"PART",M$73,"ESTADO","CERRADO"),0)=0,"",IFERROR(GETPIVOTDATA("Cantidad",'TD AVANCE'!$B$121,"SC",$B78,"PART",M$73),0)-IFERROR(GETPIVOTDATA("Cantidad",'TD AVANCE'!$B$121,"SC",$B78,"PART",M$73,"ESTADO","CERRADO"),0))</f>
        <v/>
      </c>
      <c r="N78" s="35">
        <f>IF(IFERROR(GETPIVOTDATA("Cantidad",'TD AVANCE'!$B$121,"SC",$B78,"PART",M$73,"ESTADO","CERRADO"),0)=0,"",IFERROR(GETPIVOTDATA("Cantidad",'TD AVANCE'!$B$121,"SC",$B78,"PART",M$73,"ESTADO","CERRADO"),0))</f>
        <v>1</v>
      </c>
      <c r="O78" s="35" t="str">
        <f>IF(IFERROR(GETPIVOTDATA("Cantidad",'TD AVANCE'!$B$121,"SC",$B78,"PART",O$73),0)-IFERROR(GETPIVOTDATA("Cantidad",'TD AVANCE'!$B$121,"SC",$B78,"PART",O$73,"ESTADO","CERRADO"),0)=0,"",IFERROR(GETPIVOTDATA("Cantidad",'TD AVANCE'!$B$121,"SC",$B78,"PART",O$73),0)-IFERROR(GETPIVOTDATA("Cantidad",'TD AVANCE'!$B$121,"SC",$B78,"PART",O$73,"ESTADO","CERRADO"),0))</f>
        <v/>
      </c>
      <c r="P78" s="35" t="str">
        <f>IF(IFERROR(GETPIVOTDATA("Cantidad",'TD AVANCE'!$B$121,"SC",$B78,"PART",O$73,"ESTADO","CERRADO"),0)=0,"",IFERROR(GETPIVOTDATA("Cantidad",'TD AVANCE'!$B$121,"SC",$B78,"PART",O$73,"ESTADO","CERRADO"),0))</f>
        <v/>
      </c>
      <c r="Q78" s="35">
        <f>IF(IFERROR(GETPIVOTDATA("Cantidad",'TD AVANCE'!$B$121,"SC",$B78,"PART",Q$73),0)-IFERROR(GETPIVOTDATA("Cantidad",'TD AVANCE'!$B$121,"SC",$B78,"PART",Q$73,"ESTADO","CERRADO"),0)=0,"",IFERROR(GETPIVOTDATA("Cantidad",'TD AVANCE'!$B$121,"SC",$B78,"PART",Q$73),0)-IFERROR(GETPIVOTDATA("Cantidad",'TD AVANCE'!$B$121,"SC",$B78,"PART",Q$73,"ESTADO","CERRADO"),0))</f>
        <v>2</v>
      </c>
      <c r="R78" s="35">
        <f>IF(IFERROR(GETPIVOTDATA("Cantidad",'TD AVANCE'!$B$121,"SC",$B78,"PART",Q$73,"ESTADO","CERRADO"),0)=0,"",IFERROR(GETPIVOTDATA("Cantidad",'TD AVANCE'!$B$121,"SC",$B78,"PART",Q$73,"ESTADO","CERRADO"),0))</f>
        <v>34</v>
      </c>
      <c r="S78" s="35" t="str">
        <f>IF(IFERROR(GETPIVOTDATA("Cantidad",'TD AVANCE'!$B$121,"SC",$B78,"PART",S$73),0)-IFERROR(GETPIVOTDATA("Cantidad",'TD AVANCE'!$B$121,"SC",$B78,"PART",S$73,"ESTADO","CERRADO"),0)=0,"",IFERROR(GETPIVOTDATA("Cantidad",'TD AVANCE'!$B$121,"SC",$B78,"PART",S$73),0)-IFERROR(GETPIVOTDATA("Cantidad",'TD AVANCE'!$B$121,"SC",$B78,"PART",S$73,"ESTADO","CERRADO"),0))</f>
        <v/>
      </c>
      <c r="T78" s="35" t="str">
        <f>IF(IFERROR(GETPIVOTDATA("Cantidad",'TD AVANCE'!$B$121,"SC",$B78,"PART",S$73,"ESTADO","CERRADO"),0)=0,"",IFERROR(GETPIVOTDATA("Cantidad",'TD AVANCE'!$B$121,"SC",$B78,"PART",S$73,"ESTADO","CERRADO"),0))</f>
        <v/>
      </c>
      <c r="U78" s="35" t="str">
        <f>IF(IFERROR(GETPIVOTDATA("Cantidad",'TD AVANCE'!$B$121,"SC",$B78,"PART",U$73),0)-IFERROR(GETPIVOTDATA("Cantidad",'TD AVANCE'!$B$121,"SC",$B78,"PART",U$73,"ESTADO","CERRADO"),0)=0,"",IFERROR(GETPIVOTDATA("Cantidad",'TD AVANCE'!$B$121,"SC",$B78,"PART",U$73),0)-IFERROR(GETPIVOTDATA("Cantidad",'TD AVANCE'!$B$121,"SC",$B78,"PART",U$73,"ESTADO","CERRADO"),0))</f>
        <v/>
      </c>
      <c r="V78" s="35" t="str">
        <f>IF(IFERROR(GETPIVOTDATA("Cantidad",'TD AVANCE'!$B$121,"SC",$B78,"PART",U$73,"ESTADO","CERRADO"),0)=0,"",IFERROR(GETPIVOTDATA("Cantidad",'TD AVANCE'!$B$121,"SC",$B78,"PART",U$73,"ESTADO","CERRADO"),0))</f>
        <v/>
      </c>
      <c r="W78" s="35" t="str">
        <f>IF(IFERROR(GETPIVOTDATA("Cantidad",'TD AVANCE'!$B$121,"SC",$B78,"PART",W$73),0)-IFERROR(GETPIVOTDATA("Cantidad",'TD AVANCE'!$B$121,"SC",$B78,"PART",W$73,"ESTADO","CERRADO"),0)=0,"",IFERROR(GETPIVOTDATA("Cantidad",'TD AVANCE'!$B$121,"SC",$B78,"PART",W$73),0)-IFERROR(GETPIVOTDATA("Cantidad",'TD AVANCE'!$B$121,"SC",$B78,"PART",W$73,"ESTADO","CERRADO"),0))</f>
        <v/>
      </c>
      <c r="X78" s="35">
        <f>IF(IFERROR(GETPIVOTDATA("Cantidad",'TD AVANCE'!$B$121,"SC",$B78,"PART",W$73,"ESTADO","CERRADO"),0)=0,"",IFERROR(GETPIVOTDATA("Cantidad",'TD AVANCE'!$B$121,"SC",$B78,"PART",W$73,"ESTADO","CERRADO"),0))</f>
        <v>13</v>
      </c>
      <c r="Y78" s="35" t="str">
        <f>IF(IFERROR(GETPIVOTDATA("Cantidad",'TD AVANCE'!$B$121,"SC",$B78,"PART",Y$73),0)-IFERROR(GETPIVOTDATA("Cantidad",'TD AVANCE'!$B$121,"SC",$B78,"PART",Y$73,"ESTADO","CERRADO"),0)=0,"",IFERROR(GETPIVOTDATA("Cantidad",'TD AVANCE'!$B$121,"SC",$B78,"PART",Y$73),0)-IFERROR(GETPIVOTDATA("Cantidad",'TD AVANCE'!$B$121,"SC",$B78,"PART",Y$73,"ESTADO","CERRADO"),0))</f>
        <v/>
      </c>
      <c r="Z78" s="35" t="str">
        <f>IF(IFERROR(GETPIVOTDATA("Cantidad",'TD AVANCE'!$B$121,"SC",$B78,"PART",Y$73,"ESTADO","CERRADO"),0)=0,"",IFERROR(GETPIVOTDATA("Cantidad",'TD AVANCE'!$B$121,"SC",$B78,"PART",Y$73,"ESTADO","CERRADO"),0))</f>
        <v/>
      </c>
    </row>
    <row r="79" spans="2:26" ht="16" x14ac:dyDescent="0.2">
      <c r="B79" s="34" t="s">
        <v>3384</v>
      </c>
      <c r="C79" s="34" t="str">
        <f>IF(IFERROR(GETPIVOTDATA("Cantidad",'TD AVANCE'!$B$121,"SC",$B79,"PART",C$73),0)-IFERROR(GETPIVOTDATA("Cantidad",'TD AVANCE'!$B$121,"SC",$B79,"PART",C$73,"ESTADO","CERRADO"),0)=0,"",IFERROR(GETPIVOTDATA("Cantidad",'TD AVANCE'!$B$121,"SC",$B79,"PART",C$73),0)-IFERROR(GETPIVOTDATA("Cantidad",'TD AVANCE'!$B$121,"SC",$B79,"PART",C$73,"ESTADO","CERRADO"),0))</f>
        <v/>
      </c>
      <c r="D79" s="34">
        <f>IF(IFERROR(GETPIVOTDATA("Cantidad",'TD AVANCE'!$B$121,"SC",$B79,"PART",C$73,"ESTADO","CERRADO"),0)=0,"",IFERROR(GETPIVOTDATA("Cantidad",'TD AVANCE'!$B$121,"SC",$B79,"PART",C$73,"ESTADO","CERRADO"),0))</f>
        <v>1</v>
      </c>
      <c r="E79" s="34" t="str">
        <f>IF(IFERROR(GETPIVOTDATA("Cantidad",'TD AVANCE'!$B$121,"SC",$B79,"PART",E$73),0)-IFERROR(GETPIVOTDATA("Cantidad",'TD AVANCE'!$B$121,"SC",$B79,"PART",E$73,"ESTADO","CERRADO"),0)=0,"",IFERROR(GETPIVOTDATA("Cantidad",'TD AVANCE'!$B$121,"SC",$B79,"PART",E$73),0)-IFERROR(GETPIVOTDATA("Cantidad",'TD AVANCE'!$B$121,"SC",$B79,"PART",E$73,"ESTADO","CERRADO"),0))</f>
        <v/>
      </c>
      <c r="F79" s="34">
        <f>IF(IFERROR(GETPIVOTDATA("Cantidad",'TD AVANCE'!$B$121,"SC",$B79,"PART",E$73,"ESTADO","CERRADO"),0)=0,"",IFERROR(GETPIVOTDATA("Cantidad",'TD AVANCE'!$B$121,"SC",$B79,"PART",E$73,"ESTADO","CERRADO"),0))</f>
        <v>1</v>
      </c>
      <c r="G79" s="34" t="str">
        <f>IF(IFERROR(GETPIVOTDATA("Cantidad",'TD AVANCE'!$B$121,"SC",$B79,"PART",G$73),0)-IFERROR(GETPIVOTDATA("Cantidad",'TD AVANCE'!$B$121,"SC",$B79,"PART",G$73,"ESTADO","CERRADO"),0)=0,"",IFERROR(GETPIVOTDATA("Cantidad",'TD AVANCE'!$B$121,"SC",$B79,"PART",G$73),0)-IFERROR(GETPIVOTDATA("Cantidad",'TD AVANCE'!$B$121,"SC",$B79,"PART",G$73,"ESTADO","CERRADO"),0))</f>
        <v/>
      </c>
      <c r="H79" s="34">
        <f>IF(IFERROR(GETPIVOTDATA("Cantidad",'TD AVANCE'!$B$121,"SC",$B79,"PART",G$73,"ESTADO","CERRADO"),0)=0,"",IFERROR(GETPIVOTDATA("Cantidad",'TD AVANCE'!$B$121,"SC",$B79,"PART",G$73,"ESTADO","CERRADO"),0))</f>
        <v>1</v>
      </c>
      <c r="I79" s="34" t="str">
        <f>IF(IFERROR(GETPIVOTDATA("Cantidad",'TD AVANCE'!$B$121,"SC",$B79,"PART",I$73),0)-IFERROR(GETPIVOTDATA("Cantidad",'TD AVANCE'!$B$121,"SC",$B79,"PART",I$73,"ESTADO","CERRADO"),0)=0,"",IFERROR(GETPIVOTDATA("Cantidad",'TD AVANCE'!$B$121,"SC",$B79,"PART",I$73),0)-IFERROR(GETPIVOTDATA("Cantidad",'TD AVANCE'!$B$121,"SC",$B79,"PART",I$73,"ESTADO","CERRADO"),0))</f>
        <v/>
      </c>
      <c r="J79" s="34">
        <f>IF(IFERROR(GETPIVOTDATA("Cantidad",'TD AVANCE'!$B$121,"SC",$B79,"PART",I$73,"ESTADO","CERRADO"),0)=0,"",IFERROR(GETPIVOTDATA("Cantidad",'TD AVANCE'!$B$121,"SC",$B79,"PART",I$73,"ESTADO","CERRADO"),0))</f>
        <v>10</v>
      </c>
      <c r="K79" s="34" t="str">
        <f>IF(IFERROR(GETPIVOTDATA("Cantidad",'TD AVANCE'!$B$121,"SC",$B79,"PART",K$73),0)-IFERROR(GETPIVOTDATA("Cantidad",'TD AVANCE'!$B$121,"SC",$B79,"PART",K$73,"ESTADO","CERRADO"),0)=0,"",IFERROR(GETPIVOTDATA("Cantidad",'TD AVANCE'!$B$121,"SC",$B79,"PART",K$73),0)-IFERROR(GETPIVOTDATA("Cantidad",'TD AVANCE'!$B$121,"SC",$B79,"PART",K$73,"ESTADO","CERRADO"),0))</f>
        <v/>
      </c>
      <c r="L79" s="34" t="str">
        <f>IF(IFERROR(GETPIVOTDATA("Cantidad",'TD AVANCE'!$B$121,"SC",$B79,"PART",K$73,"ESTADO","CERRADO"),0)=0,"",IFERROR(GETPIVOTDATA("Cantidad",'TD AVANCE'!$B$121,"SC",$B79,"PART",K$73,"ESTADO","CERRADO"),0))</f>
        <v/>
      </c>
      <c r="M79" s="34" t="str">
        <f>IF(IFERROR(GETPIVOTDATA("Cantidad",'TD AVANCE'!$B$121,"SC",$B79,"PART",M$73),0)-IFERROR(GETPIVOTDATA("Cantidad",'TD AVANCE'!$B$121,"SC",$B79,"PART",M$73,"ESTADO","CERRADO"),0)=0,"",IFERROR(GETPIVOTDATA("Cantidad",'TD AVANCE'!$B$121,"SC",$B79,"PART",M$73),0)-IFERROR(GETPIVOTDATA("Cantidad",'TD AVANCE'!$B$121,"SC",$B79,"PART",M$73,"ESTADO","CERRADO"),0))</f>
        <v/>
      </c>
      <c r="N79" s="34">
        <f>IF(IFERROR(GETPIVOTDATA("Cantidad",'TD AVANCE'!$B$121,"SC",$B79,"PART",M$73,"ESTADO","CERRADO"),0)=0,"",IFERROR(GETPIVOTDATA("Cantidad",'TD AVANCE'!$B$121,"SC",$B79,"PART",M$73,"ESTADO","CERRADO"),0))</f>
        <v>1</v>
      </c>
      <c r="O79" s="34" t="str">
        <f>IF(IFERROR(GETPIVOTDATA("Cantidad",'TD AVANCE'!$B$121,"SC",$B79,"PART",O$73),0)-IFERROR(GETPIVOTDATA("Cantidad",'TD AVANCE'!$B$121,"SC",$B79,"PART",O$73,"ESTADO","CERRADO"),0)=0,"",IFERROR(GETPIVOTDATA("Cantidad",'TD AVANCE'!$B$121,"SC",$B79,"PART",O$73),0)-IFERROR(GETPIVOTDATA("Cantidad",'TD AVANCE'!$B$121,"SC",$B79,"PART",O$73,"ESTADO","CERRADO"),0))</f>
        <v/>
      </c>
      <c r="P79" s="34" t="str">
        <f>IF(IFERROR(GETPIVOTDATA("Cantidad",'TD AVANCE'!$B$121,"SC",$B79,"PART",O$73,"ESTADO","CERRADO"),0)=0,"",IFERROR(GETPIVOTDATA("Cantidad",'TD AVANCE'!$B$121,"SC",$B79,"PART",O$73,"ESTADO","CERRADO"),0))</f>
        <v/>
      </c>
      <c r="Q79" s="34">
        <f>IF(IFERROR(GETPIVOTDATA("Cantidad",'TD AVANCE'!$B$121,"SC",$B79,"PART",Q$73),0)-IFERROR(GETPIVOTDATA("Cantidad",'TD AVANCE'!$B$121,"SC",$B79,"PART",Q$73,"ESTADO","CERRADO"),0)=0,"",IFERROR(GETPIVOTDATA("Cantidad",'TD AVANCE'!$B$121,"SC",$B79,"PART",Q$73),0)-IFERROR(GETPIVOTDATA("Cantidad",'TD AVANCE'!$B$121,"SC",$B79,"PART",Q$73,"ESTADO","CERRADO"),0))</f>
        <v>2</v>
      </c>
      <c r="R79" s="34">
        <f>IF(IFERROR(GETPIVOTDATA("Cantidad",'TD AVANCE'!$B$121,"SC",$B79,"PART",Q$73,"ESTADO","CERRADO"),0)=0,"",IFERROR(GETPIVOTDATA("Cantidad",'TD AVANCE'!$B$121,"SC",$B79,"PART",Q$73,"ESTADO","CERRADO"),0))</f>
        <v>12</v>
      </c>
      <c r="S79" s="34" t="str">
        <f>IF(IFERROR(GETPIVOTDATA("Cantidad",'TD AVANCE'!$B$121,"SC",$B79,"PART",S$73),0)-IFERROR(GETPIVOTDATA("Cantidad",'TD AVANCE'!$B$121,"SC",$B79,"PART",S$73,"ESTADO","CERRADO"),0)=0,"",IFERROR(GETPIVOTDATA("Cantidad",'TD AVANCE'!$B$121,"SC",$B79,"PART",S$73),0)-IFERROR(GETPIVOTDATA("Cantidad",'TD AVANCE'!$B$121,"SC",$B79,"PART",S$73,"ESTADO","CERRADO"),0))</f>
        <v/>
      </c>
      <c r="T79" s="34" t="str">
        <f>IF(IFERROR(GETPIVOTDATA("Cantidad",'TD AVANCE'!$B$121,"SC",$B79,"PART",S$73,"ESTADO","CERRADO"),0)=0,"",IFERROR(GETPIVOTDATA("Cantidad",'TD AVANCE'!$B$121,"SC",$B79,"PART",S$73,"ESTADO","CERRADO"),0))</f>
        <v/>
      </c>
      <c r="U79" s="34" t="str">
        <f>IF(IFERROR(GETPIVOTDATA("Cantidad",'TD AVANCE'!$B$121,"SC",$B79,"PART",U$73),0)-IFERROR(GETPIVOTDATA("Cantidad",'TD AVANCE'!$B$121,"SC",$B79,"PART",U$73,"ESTADO","CERRADO"),0)=0,"",IFERROR(GETPIVOTDATA("Cantidad",'TD AVANCE'!$B$121,"SC",$B79,"PART",U$73),0)-IFERROR(GETPIVOTDATA("Cantidad",'TD AVANCE'!$B$121,"SC",$B79,"PART",U$73,"ESTADO","CERRADO"),0))</f>
        <v/>
      </c>
      <c r="V79" s="34" t="str">
        <f>IF(IFERROR(GETPIVOTDATA("Cantidad",'TD AVANCE'!$B$121,"SC",$B79,"PART",U$73,"ESTADO","CERRADO"),0)=0,"",IFERROR(GETPIVOTDATA("Cantidad",'TD AVANCE'!$B$121,"SC",$B79,"PART",U$73,"ESTADO","CERRADO"),0))</f>
        <v/>
      </c>
      <c r="W79" s="34" t="str">
        <f>IF(IFERROR(GETPIVOTDATA("Cantidad",'TD AVANCE'!$B$121,"SC",$B79,"PART",W$73),0)-IFERROR(GETPIVOTDATA("Cantidad",'TD AVANCE'!$B$121,"SC",$B79,"PART",W$73,"ESTADO","CERRADO"),0)=0,"",IFERROR(GETPIVOTDATA("Cantidad",'TD AVANCE'!$B$121,"SC",$B79,"PART",W$73),0)-IFERROR(GETPIVOTDATA("Cantidad",'TD AVANCE'!$B$121,"SC",$B79,"PART",W$73,"ESTADO","CERRADO"),0))</f>
        <v/>
      </c>
      <c r="X79" s="34">
        <f>IF(IFERROR(GETPIVOTDATA("Cantidad",'TD AVANCE'!$B$121,"SC",$B79,"PART",W$73,"ESTADO","CERRADO"),0)=0,"",IFERROR(GETPIVOTDATA("Cantidad",'TD AVANCE'!$B$121,"SC",$B79,"PART",W$73,"ESTADO","CERRADO"),0))</f>
        <v>5</v>
      </c>
      <c r="Y79" s="34">
        <f>IF(IFERROR(GETPIVOTDATA("Cantidad",'TD AVANCE'!$B$121,"SC",$B79,"PART",Y$73),0)-IFERROR(GETPIVOTDATA("Cantidad",'TD AVANCE'!$B$121,"SC",$B79,"PART",Y$73,"ESTADO","CERRADO"),0)=0,"",IFERROR(GETPIVOTDATA("Cantidad",'TD AVANCE'!$B$121,"SC",$B79,"PART",Y$73),0)-IFERROR(GETPIVOTDATA("Cantidad",'TD AVANCE'!$B$121,"SC",$B79,"PART",Y$73,"ESTADO","CERRADO"),0))</f>
        <v>1</v>
      </c>
      <c r="Z79" s="34">
        <f>IF(IFERROR(GETPIVOTDATA("Cantidad",'TD AVANCE'!$B$121,"SC",$B79,"PART",Y$73,"ESTADO","CERRADO"),0)=0,"",IFERROR(GETPIVOTDATA("Cantidad",'TD AVANCE'!$B$121,"SC",$B79,"PART",Y$73,"ESTADO","CERRADO"),0))</f>
        <v>2</v>
      </c>
    </row>
    <row r="80" spans="2:26" ht="16" x14ac:dyDescent="0.2">
      <c r="B80" s="35" t="s">
        <v>3385</v>
      </c>
      <c r="C80" s="35" t="str">
        <f>IF(IFERROR(GETPIVOTDATA("Cantidad",'TD AVANCE'!$B$121,"SC",$B80,"PART",C$73),0)-IFERROR(GETPIVOTDATA("Cantidad",'TD AVANCE'!$B$121,"SC",$B80,"PART",C$73,"ESTADO","CERRADO"),0)=0,"",IFERROR(GETPIVOTDATA("Cantidad",'TD AVANCE'!$B$121,"SC",$B80,"PART",C$73),0)-IFERROR(GETPIVOTDATA("Cantidad",'TD AVANCE'!$B$121,"SC",$B80,"PART",C$73,"ESTADO","CERRADO"),0))</f>
        <v/>
      </c>
      <c r="D80" s="35" t="str">
        <f>IF(IFERROR(GETPIVOTDATA("Cantidad",'TD AVANCE'!$B$121,"SC",$B80,"PART",C$73,"ESTADO","CERRADO"),0)=0,"",IFERROR(GETPIVOTDATA("Cantidad",'TD AVANCE'!$B$121,"SC",$B80,"PART",C$73,"ESTADO","CERRADO"),0))</f>
        <v/>
      </c>
      <c r="E80" s="35" t="str">
        <f>IF(IFERROR(GETPIVOTDATA("Cantidad",'TD AVANCE'!$B$121,"SC",$B80,"PART",E$73),0)-IFERROR(GETPIVOTDATA("Cantidad",'TD AVANCE'!$B$121,"SC",$B80,"PART",E$73,"ESTADO","CERRADO"),0)=0,"",IFERROR(GETPIVOTDATA("Cantidad",'TD AVANCE'!$B$121,"SC",$B80,"PART",E$73),0)-IFERROR(GETPIVOTDATA("Cantidad",'TD AVANCE'!$B$121,"SC",$B80,"PART",E$73,"ESTADO","CERRADO"),0))</f>
        <v/>
      </c>
      <c r="F80" s="35">
        <f>IF(IFERROR(GETPIVOTDATA("Cantidad",'TD AVANCE'!$B$121,"SC",$B80,"PART",E$73,"ESTADO","CERRADO"),0)=0,"",IFERROR(GETPIVOTDATA("Cantidad",'TD AVANCE'!$B$121,"SC",$B80,"PART",E$73,"ESTADO","CERRADO"),0))</f>
        <v>1</v>
      </c>
      <c r="G80" s="35" t="str">
        <f>IF(IFERROR(GETPIVOTDATA("Cantidad",'TD AVANCE'!$B$121,"SC",$B80,"PART",G$73),0)-IFERROR(GETPIVOTDATA("Cantidad",'TD AVANCE'!$B$121,"SC",$B80,"PART",G$73,"ESTADO","CERRADO"),0)=0,"",IFERROR(GETPIVOTDATA("Cantidad",'TD AVANCE'!$B$121,"SC",$B80,"PART",G$73),0)-IFERROR(GETPIVOTDATA("Cantidad",'TD AVANCE'!$B$121,"SC",$B80,"PART",G$73,"ESTADO","CERRADO"),0))</f>
        <v/>
      </c>
      <c r="H80" s="35">
        <f>IF(IFERROR(GETPIVOTDATA("Cantidad",'TD AVANCE'!$B$121,"SC",$B80,"PART",G$73,"ESTADO","CERRADO"),0)=0,"",IFERROR(GETPIVOTDATA("Cantidad",'TD AVANCE'!$B$121,"SC",$B80,"PART",G$73,"ESTADO","CERRADO"),0))</f>
        <v>7</v>
      </c>
      <c r="I80" s="35" t="str">
        <f>IF(IFERROR(GETPIVOTDATA("Cantidad",'TD AVANCE'!$B$121,"SC",$B80,"PART",I$73),0)-IFERROR(GETPIVOTDATA("Cantidad",'TD AVANCE'!$B$121,"SC",$B80,"PART",I$73,"ESTADO","CERRADO"),0)=0,"",IFERROR(GETPIVOTDATA("Cantidad",'TD AVANCE'!$B$121,"SC",$B80,"PART",I$73),0)-IFERROR(GETPIVOTDATA("Cantidad",'TD AVANCE'!$B$121,"SC",$B80,"PART",I$73,"ESTADO","CERRADO"),0))</f>
        <v/>
      </c>
      <c r="J80" s="35">
        <f>IF(IFERROR(GETPIVOTDATA("Cantidad",'TD AVANCE'!$B$121,"SC",$B80,"PART",I$73,"ESTADO","CERRADO"),0)=0,"",IFERROR(GETPIVOTDATA("Cantidad",'TD AVANCE'!$B$121,"SC",$B80,"PART",I$73,"ESTADO","CERRADO"),0))</f>
        <v>7</v>
      </c>
      <c r="K80" s="35" t="str">
        <f>IF(IFERROR(GETPIVOTDATA("Cantidad",'TD AVANCE'!$B$121,"SC",$B80,"PART",K$73),0)-IFERROR(GETPIVOTDATA("Cantidad",'TD AVANCE'!$B$121,"SC",$B80,"PART",K$73,"ESTADO","CERRADO"),0)=0,"",IFERROR(GETPIVOTDATA("Cantidad",'TD AVANCE'!$B$121,"SC",$B80,"PART",K$73),0)-IFERROR(GETPIVOTDATA("Cantidad",'TD AVANCE'!$B$121,"SC",$B80,"PART",K$73,"ESTADO","CERRADO"),0))</f>
        <v/>
      </c>
      <c r="L80" s="35" t="str">
        <f>IF(IFERROR(GETPIVOTDATA("Cantidad",'TD AVANCE'!$B$121,"SC",$B80,"PART",K$73,"ESTADO","CERRADO"),0)=0,"",IFERROR(GETPIVOTDATA("Cantidad",'TD AVANCE'!$B$121,"SC",$B80,"PART",K$73,"ESTADO","CERRADO"),0))</f>
        <v/>
      </c>
      <c r="M80" s="35" t="str">
        <f>IF(IFERROR(GETPIVOTDATA("Cantidad",'TD AVANCE'!$B$121,"SC",$B80,"PART",M$73),0)-IFERROR(GETPIVOTDATA("Cantidad",'TD AVANCE'!$B$121,"SC",$B80,"PART",M$73,"ESTADO","CERRADO"),0)=0,"",IFERROR(GETPIVOTDATA("Cantidad",'TD AVANCE'!$B$121,"SC",$B80,"PART",M$73),0)-IFERROR(GETPIVOTDATA("Cantidad",'TD AVANCE'!$B$121,"SC",$B80,"PART",M$73,"ESTADO","CERRADO"),0))</f>
        <v/>
      </c>
      <c r="N80" s="35">
        <f>IF(IFERROR(GETPIVOTDATA("Cantidad",'TD AVANCE'!$B$121,"SC",$B80,"PART",M$73,"ESTADO","CERRADO"),0)=0,"",IFERROR(GETPIVOTDATA("Cantidad",'TD AVANCE'!$B$121,"SC",$B80,"PART",M$73,"ESTADO","CERRADO"),0))</f>
        <v>1</v>
      </c>
      <c r="O80" s="35" t="str">
        <f>IF(IFERROR(GETPIVOTDATA("Cantidad",'TD AVANCE'!$B$121,"SC",$B80,"PART",O$73),0)-IFERROR(GETPIVOTDATA("Cantidad",'TD AVANCE'!$B$121,"SC",$B80,"PART",O$73,"ESTADO","CERRADO"),0)=0,"",IFERROR(GETPIVOTDATA("Cantidad",'TD AVANCE'!$B$121,"SC",$B80,"PART",O$73),0)-IFERROR(GETPIVOTDATA("Cantidad",'TD AVANCE'!$B$121,"SC",$B80,"PART",O$73,"ESTADO","CERRADO"),0))</f>
        <v/>
      </c>
      <c r="P80" s="35">
        <f>IF(IFERROR(GETPIVOTDATA("Cantidad",'TD AVANCE'!$B$121,"SC",$B80,"PART",O$73,"ESTADO","CERRADO"),0)=0,"",IFERROR(GETPIVOTDATA("Cantidad",'TD AVANCE'!$B$121,"SC",$B80,"PART",O$73,"ESTADO","CERRADO"),0))</f>
        <v>1</v>
      </c>
      <c r="Q80" s="35">
        <f>IF(IFERROR(GETPIVOTDATA("Cantidad",'TD AVANCE'!$B$121,"SC",$B80,"PART",Q$73),0)-IFERROR(GETPIVOTDATA("Cantidad",'TD AVANCE'!$B$121,"SC",$B80,"PART",Q$73,"ESTADO","CERRADO"),0)=0,"",IFERROR(GETPIVOTDATA("Cantidad",'TD AVANCE'!$B$121,"SC",$B80,"PART",Q$73),0)-IFERROR(GETPIVOTDATA("Cantidad",'TD AVANCE'!$B$121,"SC",$B80,"PART",Q$73,"ESTADO","CERRADO"),0))</f>
        <v>1</v>
      </c>
      <c r="R80" s="35">
        <f>IF(IFERROR(GETPIVOTDATA("Cantidad",'TD AVANCE'!$B$121,"SC",$B80,"PART",Q$73,"ESTADO","CERRADO"),0)=0,"",IFERROR(GETPIVOTDATA("Cantidad",'TD AVANCE'!$B$121,"SC",$B80,"PART",Q$73,"ESTADO","CERRADO"),0))</f>
        <v>37</v>
      </c>
      <c r="S80" s="35" t="str">
        <f>IF(IFERROR(GETPIVOTDATA("Cantidad",'TD AVANCE'!$B$121,"SC",$B80,"PART",S$73),0)-IFERROR(GETPIVOTDATA("Cantidad",'TD AVANCE'!$B$121,"SC",$B80,"PART",S$73,"ESTADO","CERRADO"),0)=0,"",IFERROR(GETPIVOTDATA("Cantidad",'TD AVANCE'!$B$121,"SC",$B80,"PART",S$73),0)-IFERROR(GETPIVOTDATA("Cantidad",'TD AVANCE'!$B$121,"SC",$B80,"PART",S$73,"ESTADO","CERRADO"),0))</f>
        <v/>
      </c>
      <c r="T80" s="35" t="str">
        <f>IF(IFERROR(GETPIVOTDATA("Cantidad",'TD AVANCE'!$B$121,"SC",$B80,"PART",S$73,"ESTADO","CERRADO"),0)=0,"",IFERROR(GETPIVOTDATA("Cantidad",'TD AVANCE'!$B$121,"SC",$B80,"PART",S$73,"ESTADO","CERRADO"),0))</f>
        <v/>
      </c>
      <c r="U80" s="35" t="str">
        <f>IF(IFERROR(GETPIVOTDATA("Cantidad",'TD AVANCE'!$B$121,"SC",$B80,"PART",U$73),0)-IFERROR(GETPIVOTDATA("Cantidad",'TD AVANCE'!$B$121,"SC",$B80,"PART",U$73,"ESTADO","CERRADO"),0)=0,"",IFERROR(GETPIVOTDATA("Cantidad",'TD AVANCE'!$B$121,"SC",$B80,"PART",U$73),0)-IFERROR(GETPIVOTDATA("Cantidad",'TD AVANCE'!$B$121,"SC",$B80,"PART",U$73,"ESTADO","CERRADO"),0))</f>
        <v/>
      </c>
      <c r="V80" s="35" t="str">
        <f>IF(IFERROR(GETPIVOTDATA("Cantidad",'TD AVANCE'!$B$121,"SC",$B80,"PART",U$73,"ESTADO","CERRADO"),0)=0,"",IFERROR(GETPIVOTDATA("Cantidad",'TD AVANCE'!$B$121,"SC",$B80,"PART",U$73,"ESTADO","CERRADO"),0))</f>
        <v/>
      </c>
      <c r="W80" s="35">
        <f>IF(IFERROR(GETPIVOTDATA("Cantidad",'TD AVANCE'!$B$121,"SC",$B80,"PART",W$73),0)-IFERROR(GETPIVOTDATA("Cantidad",'TD AVANCE'!$B$121,"SC",$B80,"PART",W$73,"ESTADO","CERRADO"),0)=0,"",IFERROR(GETPIVOTDATA("Cantidad",'TD AVANCE'!$B$121,"SC",$B80,"PART",W$73),0)-IFERROR(GETPIVOTDATA("Cantidad",'TD AVANCE'!$B$121,"SC",$B80,"PART",W$73,"ESTADO","CERRADO"),0))</f>
        <v>2</v>
      </c>
      <c r="X80" s="35">
        <f>IF(IFERROR(GETPIVOTDATA("Cantidad",'TD AVANCE'!$B$121,"SC",$B80,"PART",W$73,"ESTADO","CERRADO"),0)=0,"",IFERROR(GETPIVOTDATA("Cantidad",'TD AVANCE'!$B$121,"SC",$B80,"PART",W$73,"ESTADO","CERRADO"),0))</f>
        <v>7</v>
      </c>
      <c r="Y80" s="35" t="str">
        <f>IF(IFERROR(GETPIVOTDATA("Cantidad",'TD AVANCE'!$B$121,"SC",$B80,"PART",Y$73),0)-IFERROR(GETPIVOTDATA("Cantidad",'TD AVANCE'!$B$121,"SC",$B80,"PART",Y$73,"ESTADO","CERRADO"),0)=0,"",IFERROR(GETPIVOTDATA("Cantidad",'TD AVANCE'!$B$121,"SC",$B80,"PART",Y$73),0)-IFERROR(GETPIVOTDATA("Cantidad",'TD AVANCE'!$B$121,"SC",$B80,"PART",Y$73,"ESTADO","CERRADO"),0))</f>
        <v/>
      </c>
      <c r="Z80" s="35" t="str">
        <f>IF(IFERROR(GETPIVOTDATA("Cantidad",'TD AVANCE'!$B$121,"SC",$B80,"PART",Y$73,"ESTADO","CERRADO"),0)=0,"",IFERROR(GETPIVOTDATA("Cantidad",'TD AVANCE'!$B$121,"SC",$B80,"PART",Y$73,"ESTADO","CERRADO"),0))</f>
        <v/>
      </c>
    </row>
    <row r="81" spans="2:26" ht="16" x14ac:dyDescent="0.2">
      <c r="B81" s="34" t="s">
        <v>3375</v>
      </c>
      <c r="C81" s="34" t="str">
        <f>IF(IFERROR(GETPIVOTDATA("Cantidad",'TD AVANCE'!$B$121,"SC",$B81,"PART",C$73),0)-IFERROR(GETPIVOTDATA("Cantidad",'TD AVANCE'!$B$121,"SC",$B81,"PART",C$73,"ESTADO","CERRADO"),0)=0,"",IFERROR(GETPIVOTDATA("Cantidad",'TD AVANCE'!$B$121,"SC",$B81,"PART",C$73),0)-IFERROR(GETPIVOTDATA("Cantidad",'TD AVANCE'!$B$121,"SC",$B81,"PART",C$73,"ESTADO","CERRADO"),0))</f>
        <v/>
      </c>
      <c r="D81" s="34" t="str">
        <f>IF(IFERROR(GETPIVOTDATA("Cantidad",'TD AVANCE'!$B$121,"SC",$B81,"PART",C$73,"ESTADO","CERRADO"),0)=0,"",IFERROR(GETPIVOTDATA("Cantidad",'TD AVANCE'!$B$121,"SC",$B81,"PART",C$73,"ESTADO","CERRADO"),0))</f>
        <v/>
      </c>
      <c r="E81" s="34">
        <f>IF(IFERROR(GETPIVOTDATA("Cantidad",'TD AVANCE'!$B$121,"SC",$B81,"PART",E$73),0)-IFERROR(GETPIVOTDATA("Cantidad",'TD AVANCE'!$B$121,"SC",$B81,"PART",E$73,"ESTADO","CERRADO"),0)=0,"",IFERROR(GETPIVOTDATA("Cantidad",'TD AVANCE'!$B$121,"SC",$B81,"PART",E$73),0)-IFERROR(GETPIVOTDATA("Cantidad",'TD AVANCE'!$B$121,"SC",$B81,"PART",E$73,"ESTADO","CERRADO"),0))</f>
        <v>1</v>
      </c>
      <c r="F81" s="34">
        <f>IF(IFERROR(GETPIVOTDATA("Cantidad",'TD AVANCE'!$B$121,"SC",$B81,"PART",E$73,"ESTADO","CERRADO"),0)=0,"",IFERROR(GETPIVOTDATA("Cantidad",'TD AVANCE'!$B$121,"SC",$B81,"PART",E$73,"ESTADO","CERRADO"),0))</f>
        <v>1</v>
      </c>
      <c r="G81" s="34" t="str">
        <f>IF(IFERROR(GETPIVOTDATA("Cantidad",'TD AVANCE'!$B$121,"SC",$B81,"PART",G$73),0)-IFERROR(GETPIVOTDATA("Cantidad",'TD AVANCE'!$B$121,"SC",$B81,"PART",G$73,"ESTADO","CERRADO"),0)=0,"",IFERROR(GETPIVOTDATA("Cantidad",'TD AVANCE'!$B$121,"SC",$B81,"PART",G$73),0)-IFERROR(GETPIVOTDATA("Cantidad",'TD AVANCE'!$B$121,"SC",$B81,"PART",G$73,"ESTADO","CERRADO"),0))</f>
        <v/>
      </c>
      <c r="H81" s="34">
        <f>IF(IFERROR(GETPIVOTDATA("Cantidad",'TD AVANCE'!$B$121,"SC",$B81,"PART",G$73,"ESTADO","CERRADO"),0)=0,"",IFERROR(GETPIVOTDATA("Cantidad",'TD AVANCE'!$B$121,"SC",$B81,"PART",G$73,"ESTADO","CERRADO"),0))</f>
        <v>2</v>
      </c>
      <c r="I81" s="34" t="str">
        <f>IF(IFERROR(GETPIVOTDATA("Cantidad",'TD AVANCE'!$B$121,"SC",$B81,"PART",I$73),0)-IFERROR(GETPIVOTDATA("Cantidad",'TD AVANCE'!$B$121,"SC",$B81,"PART",I$73,"ESTADO","CERRADO"),0)=0,"",IFERROR(GETPIVOTDATA("Cantidad",'TD AVANCE'!$B$121,"SC",$B81,"PART",I$73),0)-IFERROR(GETPIVOTDATA("Cantidad",'TD AVANCE'!$B$121,"SC",$B81,"PART",I$73,"ESTADO","CERRADO"),0))</f>
        <v/>
      </c>
      <c r="J81" s="34">
        <f>IF(IFERROR(GETPIVOTDATA("Cantidad",'TD AVANCE'!$B$121,"SC",$B81,"PART",I$73,"ESTADO","CERRADO"),0)=0,"",IFERROR(GETPIVOTDATA("Cantidad",'TD AVANCE'!$B$121,"SC",$B81,"PART",I$73,"ESTADO","CERRADO"),0))</f>
        <v>2</v>
      </c>
      <c r="K81" s="34" t="str">
        <f>IF(IFERROR(GETPIVOTDATA("Cantidad",'TD AVANCE'!$B$121,"SC",$B81,"PART",K$73),0)-IFERROR(GETPIVOTDATA("Cantidad",'TD AVANCE'!$B$121,"SC",$B81,"PART",K$73,"ESTADO","CERRADO"),0)=0,"",IFERROR(GETPIVOTDATA("Cantidad",'TD AVANCE'!$B$121,"SC",$B81,"PART",K$73),0)-IFERROR(GETPIVOTDATA("Cantidad",'TD AVANCE'!$B$121,"SC",$B81,"PART",K$73,"ESTADO","CERRADO"),0))</f>
        <v/>
      </c>
      <c r="L81" s="34" t="str">
        <f>IF(IFERROR(GETPIVOTDATA("Cantidad",'TD AVANCE'!$B$121,"SC",$B81,"PART",K$73,"ESTADO","CERRADO"),0)=0,"",IFERROR(GETPIVOTDATA("Cantidad",'TD AVANCE'!$B$121,"SC",$B81,"PART",K$73,"ESTADO","CERRADO"),0))</f>
        <v/>
      </c>
      <c r="M81" s="34" t="str">
        <f>IF(IFERROR(GETPIVOTDATA("Cantidad",'TD AVANCE'!$B$121,"SC",$B81,"PART",M$73),0)-IFERROR(GETPIVOTDATA("Cantidad",'TD AVANCE'!$B$121,"SC",$B81,"PART",M$73,"ESTADO","CERRADO"),0)=0,"",IFERROR(GETPIVOTDATA("Cantidad",'TD AVANCE'!$B$121,"SC",$B81,"PART",M$73),0)-IFERROR(GETPIVOTDATA("Cantidad",'TD AVANCE'!$B$121,"SC",$B81,"PART",M$73,"ESTADO","CERRADO"),0))</f>
        <v/>
      </c>
      <c r="N81" s="34">
        <f>IF(IFERROR(GETPIVOTDATA("Cantidad",'TD AVANCE'!$B$121,"SC",$B81,"PART",M$73,"ESTADO","CERRADO"),0)=0,"",IFERROR(GETPIVOTDATA("Cantidad",'TD AVANCE'!$B$121,"SC",$B81,"PART",M$73,"ESTADO","CERRADO"),0))</f>
        <v>1</v>
      </c>
      <c r="O81" s="34" t="str">
        <f>IF(IFERROR(GETPIVOTDATA("Cantidad",'TD AVANCE'!$B$121,"SC",$B81,"PART",O$73),0)-IFERROR(GETPIVOTDATA("Cantidad",'TD AVANCE'!$B$121,"SC",$B81,"PART",O$73,"ESTADO","CERRADO"),0)=0,"",IFERROR(GETPIVOTDATA("Cantidad",'TD AVANCE'!$B$121,"SC",$B81,"PART",O$73),0)-IFERROR(GETPIVOTDATA("Cantidad",'TD AVANCE'!$B$121,"SC",$B81,"PART",O$73,"ESTADO","CERRADO"),0))</f>
        <v/>
      </c>
      <c r="P81" s="34" t="str">
        <f>IF(IFERROR(GETPIVOTDATA("Cantidad",'TD AVANCE'!$B$121,"SC",$B81,"PART",O$73,"ESTADO","CERRADO"),0)=0,"",IFERROR(GETPIVOTDATA("Cantidad",'TD AVANCE'!$B$121,"SC",$B81,"PART",O$73,"ESTADO","CERRADO"),0))</f>
        <v/>
      </c>
      <c r="Q81" s="34">
        <f>IF(IFERROR(GETPIVOTDATA("Cantidad",'TD AVANCE'!$B$121,"SC",$B81,"PART",Q$73),0)-IFERROR(GETPIVOTDATA("Cantidad",'TD AVANCE'!$B$121,"SC",$B81,"PART",Q$73,"ESTADO","CERRADO"),0)=0,"",IFERROR(GETPIVOTDATA("Cantidad",'TD AVANCE'!$B$121,"SC",$B81,"PART",Q$73),0)-IFERROR(GETPIVOTDATA("Cantidad",'TD AVANCE'!$B$121,"SC",$B81,"PART",Q$73,"ESTADO","CERRADO"),0))</f>
        <v>10</v>
      </c>
      <c r="R81" s="34">
        <f>IF(IFERROR(GETPIVOTDATA("Cantidad",'TD AVANCE'!$B$121,"SC",$B81,"PART",Q$73,"ESTADO","CERRADO"),0)=0,"",IFERROR(GETPIVOTDATA("Cantidad",'TD AVANCE'!$B$121,"SC",$B81,"PART",Q$73,"ESTADO","CERRADO"),0))</f>
        <v>14</v>
      </c>
      <c r="S81" s="34" t="str">
        <f>IF(IFERROR(GETPIVOTDATA("Cantidad",'TD AVANCE'!$B$121,"SC",$B81,"PART",S$73),0)-IFERROR(GETPIVOTDATA("Cantidad",'TD AVANCE'!$B$121,"SC",$B81,"PART",S$73,"ESTADO","CERRADO"),0)=0,"",IFERROR(GETPIVOTDATA("Cantidad",'TD AVANCE'!$B$121,"SC",$B81,"PART",S$73),0)-IFERROR(GETPIVOTDATA("Cantidad",'TD AVANCE'!$B$121,"SC",$B81,"PART",S$73,"ESTADO","CERRADO"),0))</f>
        <v/>
      </c>
      <c r="T81" s="34" t="str">
        <f>IF(IFERROR(GETPIVOTDATA("Cantidad",'TD AVANCE'!$B$121,"SC",$B81,"PART",S$73,"ESTADO","CERRADO"),0)=0,"",IFERROR(GETPIVOTDATA("Cantidad",'TD AVANCE'!$B$121,"SC",$B81,"PART",S$73,"ESTADO","CERRADO"),0))</f>
        <v/>
      </c>
      <c r="U81" s="34" t="str">
        <f>IF(IFERROR(GETPIVOTDATA("Cantidad",'TD AVANCE'!$B$121,"SC",$B81,"PART",U$73),0)-IFERROR(GETPIVOTDATA("Cantidad",'TD AVANCE'!$B$121,"SC",$B81,"PART",U$73,"ESTADO","CERRADO"),0)=0,"",IFERROR(GETPIVOTDATA("Cantidad",'TD AVANCE'!$B$121,"SC",$B81,"PART",U$73),0)-IFERROR(GETPIVOTDATA("Cantidad",'TD AVANCE'!$B$121,"SC",$B81,"PART",U$73,"ESTADO","CERRADO"),0))</f>
        <v/>
      </c>
      <c r="V81" s="34" t="str">
        <f>IF(IFERROR(GETPIVOTDATA("Cantidad",'TD AVANCE'!$B$121,"SC",$B81,"PART",U$73,"ESTADO","CERRADO"),0)=0,"",IFERROR(GETPIVOTDATA("Cantidad",'TD AVANCE'!$B$121,"SC",$B81,"PART",U$73,"ESTADO","CERRADO"),0))</f>
        <v/>
      </c>
      <c r="W81" s="34" t="str">
        <f>IF(IFERROR(GETPIVOTDATA("Cantidad",'TD AVANCE'!$B$121,"SC",$B81,"PART",W$73),0)-IFERROR(GETPIVOTDATA("Cantidad",'TD AVANCE'!$B$121,"SC",$B81,"PART",W$73,"ESTADO","CERRADO"),0)=0,"",IFERROR(GETPIVOTDATA("Cantidad",'TD AVANCE'!$B$121,"SC",$B81,"PART",W$73),0)-IFERROR(GETPIVOTDATA("Cantidad",'TD AVANCE'!$B$121,"SC",$B81,"PART",W$73,"ESTADO","CERRADO"),0))</f>
        <v/>
      </c>
      <c r="X81" s="34">
        <f>IF(IFERROR(GETPIVOTDATA("Cantidad",'TD AVANCE'!$B$121,"SC",$B81,"PART",W$73,"ESTADO","CERRADO"),0)=0,"",IFERROR(GETPIVOTDATA("Cantidad",'TD AVANCE'!$B$121,"SC",$B81,"PART",W$73,"ESTADO","CERRADO"),0))</f>
        <v>3</v>
      </c>
      <c r="Y81" s="34" t="str">
        <f>IF(IFERROR(GETPIVOTDATA("Cantidad",'TD AVANCE'!$B$121,"SC",$B81,"PART",Y$73),0)-IFERROR(GETPIVOTDATA("Cantidad",'TD AVANCE'!$B$121,"SC",$B81,"PART",Y$73,"ESTADO","CERRADO"),0)=0,"",IFERROR(GETPIVOTDATA("Cantidad",'TD AVANCE'!$B$121,"SC",$B81,"PART",Y$73),0)-IFERROR(GETPIVOTDATA("Cantidad",'TD AVANCE'!$B$121,"SC",$B81,"PART",Y$73,"ESTADO","CERRADO"),0))</f>
        <v/>
      </c>
      <c r="Z81" s="34" t="str">
        <f>IF(IFERROR(GETPIVOTDATA("Cantidad",'TD AVANCE'!$B$121,"SC",$B81,"PART",Y$73,"ESTADO","CERRADO"),0)=0,"",IFERROR(GETPIVOTDATA("Cantidad",'TD AVANCE'!$B$121,"SC",$B81,"PART",Y$73,"ESTADO","CERRADO"),0))</f>
        <v/>
      </c>
    </row>
    <row r="82" spans="2:26" ht="16" x14ac:dyDescent="0.2">
      <c r="B82" s="35" t="s">
        <v>3376</v>
      </c>
      <c r="C82" s="35" t="str">
        <f>IF(IFERROR(GETPIVOTDATA("Cantidad",'TD AVANCE'!$B$121,"SC",$B82,"PART",C$73),0)-IFERROR(GETPIVOTDATA("Cantidad",'TD AVANCE'!$B$121,"SC",$B82,"PART",C$73,"ESTADO","CERRADO"),0)=0,"",IFERROR(GETPIVOTDATA("Cantidad",'TD AVANCE'!$B$121,"SC",$B82,"PART",C$73),0)-IFERROR(GETPIVOTDATA("Cantidad",'TD AVANCE'!$B$121,"SC",$B82,"PART",C$73,"ESTADO","CERRADO"),0))</f>
        <v/>
      </c>
      <c r="D82" s="35" t="str">
        <f>IF(IFERROR(GETPIVOTDATA("Cantidad",'TD AVANCE'!$B$121,"SC",$B82,"PART",C$73,"ESTADO","CERRADO"),0)=0,"",IFERROR(GETPIVOTDATA("Cantidad",'TD AVANCE'!$B$121,"SC",$B82,"PART",C$73,"ESTADO","CERRADO"),0))</f>
        <v/>
      </c>
      <c r="E82" s="35" t="str">
        <f>IF(IFERROR(GETPIVOTDATA("Cantidad",'TD AVANCE'!$B$121,"SC",$B82,"PART",E$73),0)-IFERROR(GETPIVOTDATA("Cantidad",'TD AVANCE'!$B$121,"SC",$B82,"PART",E$73,"ESTADO","CERRADO"),0)=0,"",IFERROR(GETPIVOTDATA("Cantidad",'TD AVANCE'!$B$121,"SC",$B82,"PART",E$73),0)-IFERROR(GETPIVOTDATA("Cantidad",'TD AVANCE'!$B$121,"SC",$B82,"PART",E$73,"ESTADO","CERRADO"),0))</f>
        <v/>
      </c>
      <c r="F82" s="35" t="str">
        <f>IF(IFERROR(GETPIVOTDATA("Cantidad",'TD AVANCE'!$B$121,"SC",$B82,"PART",E$73,"ESTADO","CERRADO"),0)=0,"",IFERROR(GETPIVOTDATA("Cantidad",'TD AVANCE'!$B$121,"SC",$B82,"PART",E$73,"ESTADO","CERRADO"),0))</f>
        <v/>
      </c>
      <c r="G82" s="35" t="str">
        <f>IF(IFERROR(GETPIVOTDATA("Cantidad",'TD AVANCE'!$B$121,"SC",$B82,"PART",G$73),0)-IFERROR(GETPIVOTDATA("Cantidad",'TD AVANCE'!$B$121,"SC",$B82,"PART",G$73,"ESTADO","CERRADO"),0)=0,"",IFERROR(GETPIVOTDATA("Cantidad",'TD AVANCE'!$B$121,"SC",$B82,"PART",G$73),0)-IFERROR(GETPIVOTDATA("Cantidad",'TD AVANCE'!$B$121,"SC",$B82,"PART",G$73,"ESTADO","CERRADO"),0))</f>
        <v/>
      </c>
      <c r="H82" s="35">
        <f>IF(IFERROR(GETPIVOTDATA("Cantidad",'TD AVANCE'!$B$121,"SC",$B82,"PART",G$73,"ESTADO","CERRADO"),0)=0,"",IFERROR(GETPIVOTDATA("Cantidad",'TD AVANCE'!$B$121,"SC",$B82,"PART",G$73,"ESTADO","CERRADO"),0))</f>
        <v>4</v>
      </c>
      <c r="I82" s="35" t="str">
        <f>IF(IFERROR(GETPIVOTDATA("Cantidad",'TD AVANCE'!$B$121,"SC",$B82,"PART",I$73),0)-IFERROR(GETPIVOTDATA("Cantidad",'TD AVANCE'!$B$121,"SC",$B82,"PART",I$73,"ESTADO","CERRADO"),0)=0,"",IFERROR(GETPIVOTDATA("Cantidad",'TD AVANCE'!$B$121,"SC",$B82,"PART",I$73),0)-IFERROR(GETPIVOTDATA("Cantidad",'TD AVANCE'!$B$121,"SC",$B82,"PART",I$73,"ESTADO","CERRADO"),0))</f>
        <v/>
      </c>
      <c r="J82" s="35" t="str">
        <f>IF(IFERROR(GETPIVOTDATA("Cantidad",'TD AVANCE'!$B$121,"SC",$B82,"PART",I$73,"ESTADO","CERRADO"),0)=0,"",IFERROR(GETPIVOTDATA("Cantidad",'TD AVANCE'!$B$121,"SC",$B82,"PART",I$73,"ESTADO","CERRADO"),0))</f>
        <v/>
      </c>
      <c r="K82" s="35" t="str">
        <f>IF(IFERROR(GETPIVOTDATA("Cantidad",'TD AVANCE'!$B$121,"SC",$B82,"PART",K$73),0)-IFERROR(GETPIVOTDATA("Cantidad",'TD AVANCE'!$B$121,"SC",$B82,"PART",K$73,"ESTADO","CERRADO"),0)=0,"",IFERROR(GETPIVOTDATA("Cantidad",'TD AVANCE'!$B$121,"SC",$B82,"PART",K$73),0)-IFERROR(GETPIVOTDATA("Cantidad",'TD AVANCE'!$B$121,"SC",$B82,"PART",K$73,"ESTADO","CERRADO"),0))</f>
        <v/>
      </c>
      <c r="L82" s="35" t="str">
        <f>IF(IFERROR(GETPIVOTDATA("Cantidad",'TD AVANCE'!$B$121,"SC",$B82,"PART",K$73,"ESTADO","CERRADO"),0)=0,"",IFERROR(GETPIVOTDATA("Cantidad",'TD AVANCE'!$B$121,"SC",$B82,"PART",K$73,"ESTADO","CERRADO"),0))</f>
        <v/>
      </c>
      <c r="M82" s="35" t="str">
        <f>IF(IFERROR(GETPIVOTDATA("Cantidad",'TD AVANCE'!$B$121,"SC",$B82,"PART",M$73),0)-IFERROR(GETPIVOTDATA("Cantidad",'TD AVANCE'!$B$121,"SC",$B82,"PART",M$73,"ESTADO","CERRADO"),0)=0,"",IFERROR(GETPIVOTDATA("Cantidad",'TD AVANCE'!$B$121,"SC",$B82,"PART",M$73),0)-IFERROR(GETPIVOTDATA("Cantidad",'TD AVANCE'!$B$121,"SC",$B82,"PART",M$73,"ESTADO","CERRADO"),0))</f>
        <v/>
      </c>
      <c r="N82" s="35">
        <f>IF(IFERROR(GETPIVOTDATA("Cantidad",'TD AVANCE'!$B$121,"SC",$B82,"PART",M$73,"ESTADO","CERRADO"),0)=0,"",IFERROR(GETPIVOTDATA("Cantidad",'TD AVANCE'!$B$121,"SC",$B82,"PART",M$73,"ESTADO","CERRADO"),0))</f>
        <v>1</v>
      </c>
      <c r="O82" s="35" t="str">
        <f>IF(IFERROR(GETPIVOTDATA("Cantidad",'TD AVANCE'!$B$121,"SC",$B82,"PART",O$73),0)-IFERROR(GETPIVOTDATA("Cantidad",'TD AVANCE'!$B$121,"SC",$B82,"PART",O$73,"ESTADO","CERRADO"),0)=0,"",IFERROR(GETPIVOTDATA("Cantidad",'TD AVANCE'!$B$121,"SC",$B82,"PART",O$73),0)-IFERROR(GETPIVOTDATA("Cantidad",'TD AVANCE'!$B$121,"SC",$B82,"PART",O$73,"ESTADO","CERRADO"),0))</f>
        <v/>
      </c>
      <c r="P82" s="35" t="str">
        <f>IF(IFERROR(GETPIVOTDATA("Cantidad",'TD AVANCE'!$B$121,"SC",$B82,"PART",O$73,"ESTADO","CERRADO"),0)=0,"",IFERROR(GETPIVOTDATA("Cantidad",'TD AVANCE'!$B$121,"SC",$B82,"PART",O$73,"ESTADO","CERRADO"),0))</f>
        <v/>
      </c>
      <c r="Q82" s="35">
        <f>IF(IFERROR(GETPIVOTDATA("Cantidad",'TD AVANCE'!$B$121,"SC",$B82,"PART",Q$73),0)-IFERROR(GETPIVOTDATA("Cantidad",'TD AVANCE'!$B$121,"SC",$B82,"PART",Q$73,"ESTADO","CERRADO"),0)=0,"",IFERROR(GETPIVOTDATA("Cantidad",'TD AVANCE'!$B$121,"SC",$B82,"PART",Q$73),0)-IFERROR(GETPIVOTDATA("Cantidad",'TD AVANCE'!$B$121,"SC",$B82,"PART",Q$73,"ESTADO","CERRADO"),0))</f>
        <v>5</v>
      </c>
      <c r="R82" s="35">
        <f>IF(IFERROR(GETPIVOTDATA("Cantidad",'TD AVANCE'!$B$121,"SC",$B82,"PART",Q$73,"ESTADO","CERRADO"),0)=0,"",IFERROR(GETPIVOTDATA("Cantidad",'TD AVANCE'!$B$121,"SC",$B82,"PART",Q$73,"ESTADO","CERRADO"),0))</f>
        <v>1</v>
      </c>
      <c r="S82" s="35" t="str">
        <f>IF(IFERROR(GETPIVOTDATA("Cantidad",'TD AVANCE'!$B$121,"SC",$B82,"PART",S$73),0)-IFERROR(GETPIVOTDATA("Cantidad",'TD AVANCE'!$B$121,"SC",$B82,"PART",S$73,"ESTADO","CERRADO"),0)=0,"",IFERROR(GETPIVOTDATA("Cantidad",'TD AVANCE'!$B$121,"SC",$B82,"PART",S$73),0)-IFERROR(GETPIVOTDATA("Cantidad",'TD AVANCE'!$B$121,"SC",$B82,"PART",S$73,"ESTADO","CERRADO"),0))</f>
        <v/>
      </c>
      <c r="T82" s="35" t="str">
        <f>IF(IFERROR(GETPIVOTDATA("Cantidad",'TD AVANCE'!$B$121,"SC",$B82,"PART",S$73,"ESTADO","CERRADO"),0)=0,"",IFERROR(GETPIVOTDATA("Cantidad",'TD AVANCE'!$B$121,"SC",$B82,"PART",S$73,"ESTADO","CERRADO"),0))</f>
        <v/>
      </c>
      <c r="U82" s="35" t="str">
        <f>IF(IFERROR(GETPIVOTDATA("Cantidad",'TD AVANCE'!$B$121,"SC",$B82,"PART",U$73),0)-IFERROR(GETPIVOTDATA("Cantidad",'TD AVANCE'!$B$121,"SC",$B82,"PART",U$73,"ESTADO","CERRADO"),0)=0,"",IFERROR(GETPIVOTDATA("Cantidad",'TD AVANCE'!$B$121,"SC",$B82,"PART",U$73),0)-IFERROR(GETPIVOTDATA("Cantidad",'TD AVANCE'!$B$121,"SC",$B82,"PART",U$73,"ESTADO","CERRADO"),0))</f>
        <v/>
      </c>
      <c r="V82" s="35" t="str">
        <f>IF(IFERROR(GETPIVOTDATA("Cantidad",'TD AVANCE'!$B$121,"SC",$B82,"PART",U$73,"ESTADO","CERRADO"),0)=0,"",IFERROR(GETPIVOTDATA("Cantidad",'TD AVANCE'!$B$121,"SC",$B82,"PART",U$73,"ESTADO","CERRADO"),0))</f>
        <v/>
      </c>
      <c r="W82" s="35" t="str">
        <f>IF(IFERROR(GETPIVOTDATA("Cantidad",'TD AVANCE'!$B$121,"SC",$B82,"PART",W$73),0)-IFERROR(GETPIVOTDATA("Cantidad",'TD AVANCE'!$B$121,"SC",$B82,"PART",W$73,"ESTADO","CERRADO"),0)=0,"",IFERROR(GETPIVOTDATA("Cantidad",'TD AVANCE'!$B$121,"SC",$B82,"PART",W$73),0)-IFERROR(GETPIVOTDATA("Cantidad",'TD AVANCE'!$B$121,"SC",$B82,"PART",W$73,"ESTADO","CERRADO"),0))</f>
        <v/>
      </c>
      <c r="X82" s="35" t="str">
        <f>IF(IFERROR(GETPIVOTDATA("Cantidad",'TD AVANCE'!$B$121,"SC",$B82,"PART",W$73,"ESTADO","CERRADO"),0)=0,"",IFERROR(GETPIVOTDATA("Cantidad",'TD AVANCE'!$B$121,"SC",$B82,"PART",W$73,"ESTADO","CERRADO"),0))</f>
        <v/>
      </c>
      <c r="Y82" s="35" t="str">
        <f>IF(IFERROR(GETPIVOTDATA("Cantidad",'TD AVANCE'!$B$121,"SC",$B82,"PART",Y$73),0)-IFERROR(GETPIVOTDATA("Cantidad",'TD AVANCE'!$B$121,"SC",$B82,"PART",Y$73,"ESTADO","CERRADO"),0)=0,"",IFERROR(GETPIVOTDATA("Cantidad",'TD AVANCE'!$B$121,"SC",$B82,"PART",Y$73),0)-IFERROR(GETPIVOTDATA("Cantidad",'TD AVANCE'!$B$121,"SC",$B82,"PART",Y$73,"ESTADO","CERRADO"),0))</f>
        <v/>
      </c>
      <c r="Z82" s="35">
        <f>IF(IFERROR(GETPIVOTDATA("Cantidad",'TD AVANCE'!$B$121,"SC",$B82,"PART",Y$73,"ESTADO","CERRADO"),0)=0,"",IFERROR(GETPIVOTDATA("Cantidad",'TD AVANCE'!$B$121,"SC",$B82,"PART",Y$73,"ESTADO","CERRADO"),0))</f>
        <v>1</v>
      </c>
    </row>
    <row r="83" spans="2:26" ht="16" x14ac:dyDescent="0.2">
      <c r="B83" s="34" t="s">
        <v>3377</v>
      </c>
      <c r="C83" s="34" t="str">
        <f>IF(IFERROR(GETPIVOTDATA("Cantidad",'TD AVANCE'!$B$121,"SC",$B83,"PART",C$73),0)-IFERROR(GETPIVOTDATA("Cantidad",'TD AVANCE'!$B$121,"SC",$B83,"PART",C$73,"ESTADO","CERRADO"),0)=0,"",IFERROR(GETPIVOTDATA("Cantidad",'TD AVANCE'!$B$121,"SC",$B83,"PART",C$73),0)-IFERROR(GETPIVOTDATA("Cantidad",'TD AVANCE'!$B$121,"SC",$B83,"PART",C$73,"ESTADO","CERRADO"),0))</f>
        <v/>
      </c>
      <c r="D83" s="34" t="str">
        <f>IF(IFERROR(GETPIVOTDATA("Cantidad",'TD AVANCE'!$B$121,"SC",$B83,"PART",C$73,"ESTADO","CERRADO"),0)=0,"",IFERROR(GETPIVOTDATA("Cantidad",'TD AVANCE'!$B$121,"SC",$B83,"PART",C$73,"ESTADO","CERRADO"),0))</f>
        <v/>
      </c>
      <c r="E83" s="34" t="str">
        <f>IF(IFERROR(GETPIVOTDATA("Cantidad",'TD AVANCE'!$B$121,"SC",$B83,"PART",E$73),0)-IFERROR(GETPIVOTDATA("Cantidad",'TD AVANCE'!$B$121,"SC",$B83,"PART",E$73,"ESTADO","CERRADO"),0)=0,"",IFERROR(GETPIVOTDATA("Cantidad",'TD AVANCE'!$B$121,"SC",$B83,"PART",E$73),0)-IFERROR(GETPIVOTDATA("Cantidad",'TD AVANCE'!$B$121,"SC",$B83,"PART",E$73,"ESTADO","CERRADO"),0))</f>
        <v/>
      </c>
      <c r="F83" s="34" t="str">
        <f>IF(IFERROR(GETPIVOTDATA("Cantidad",'TD AVANCE'!$B$121,"SC",$B83,"PART",E$73,"ESTADO","CERRADO"),0)=0,"",IFERROR(GETPIVOTDATA("Cantidad",'TD AVANCE'!$B$121,"SC",$B83,"PART",E$73,"ESTADO","CERRADO"),0))</f>
        <v/>
      </c>
      <c r="G83" s="34" t="str">
        <f>IF(IFERROR(GETPIVOTDATA("Cantidad",'TD AVANCE'!$B$121,"SC",$B83,"PART",G$73),0)-IFERROR(GETPIVOTDATA("Cantidad",'TD AVANCE'!$B$121,"SC",$B83,"PART",G$73,"ESTADO","CERRADO"),0)=0,"",IFERROR(GETPIVOTDATA("Cantidad",'TD AVANCE'!$B$121,"SC",$B83,"PART",G$73),0)-IFERROR(GETPIVOTDATA("Cantidad",'TD AVANCE'!$B$121,"SC",$B83,"PART",G$73,"ESTADO","CERRADO"),0))</f>
        <v/>
      </c>
      <c r="H83" s="34" t="str">
        <f>IF(IFERROR(GETPIVOTDATA("Cantidad",'TD AVANCE'!$B$121,"SC",$B83,"PART",G$73,"ESTADO","CERRADO"),0)=0,"",IFERROR(GETPIVOTDATA("Cantidad",'TD AVANCE'!$B$121,"SC",$B83,"PART",G$73,"ESTADO","CERRADO"),0))</f>
        <v/>
      </c>
      <c r="I83" s="34" t="str">
        <f>IF(IFERROR(GETPIVOTDATA("Cantidad",'TD AVANCE'!$B$121,"SC",$B83,"PART",I$73),0)-IFERROR(GETPIVOTDATA("Cantidad",'TD AVANCE'!$B$121,"SC",$B83,"PART",I$73,"ESTADO","CERRADO"),0)=0,"",IFERROR(GETPIVOTDATA("Cantidad",'TD AVANCE'!$B$121,"SC",$B83,"PART",I$73),0)-IFERROR(GETPIVOTDATA("Cantidad",'TD AVANCE'!$B$121,"SC",$B83,"PART",I$73,"ESTADO","CERRADO"),0))</f>
        <v/>
      </c>
      <c r="J83" s="34" t="str">
        <f>IF(IFERROR(GETPIVOTDATA("Cantidad",'TD AVANCE'!$B$121,"SC",$B83,"PART",I$73,"ESTADO","CERRADO"),0)=0,"",IFERROR(GETPIVOTDATA("Cantidad",'TD AVANCE'!$B$121,"SC",$B83,"PART",I$73,"ESTADO","CERRADO"),0))</f>
        <v/>
      </c>
      <c r="K83" s="34" t="str">
        <f>IF(IFERROR(GETPIVOTDATA("Cantidad",'TD AVANCE'!$B$121,"SC",$B83,"PART",K$73),0)-IFERROR(GETPIVOTDATA("Cantidad",'TD AVANCE'!$B$121,"SC",$B83,"PART",K$73,"ESTADO","CERRADO"),0)=0,"",IFERROR(GETPIVOTDATA("Cantidad",'TD AVANCE'!$B$121,"SC",$B83,"PART",K$73),0)-IFERROR(GETPIVOTDATA("Cantidad",'TD AVANCE'!$B$121,"SC",$B83,"PART",K$73,"ESTADO","CERRADO"),0))</f>
        <v/>
      </c>
      <c r="L83" s="34" t="str">
        <f>IF(IFERROR(GETPIVOTDATA("Cantidad",'TD AVANCE'!$B$121,"SC",$B83,"PART",K$73,"ESTADO","CERRADO"),0)=0,"",IFERROR(GETPIVOTDATA("Cantidad",'TD AVANCE'!$B$121,"SC",$B83,"PART",K$73,"ESTADO","CERRADO"),0))</f>
        <v/>
      </c>
      <c r="M83" s="34" t="str">
        <f>IF(IFERROR(GETPIVOTDATA("Cantidad",'TD AVANCE'!$B$121,"SC",$B83,"PART",M$73),0)-IFERROR(GETPIVOTDATA("Cantidad",'TD AVANCE'!$B$121,"SC",$B83,"PART",M$73,"ESTADO","CERRADO"),0)=0,"",IFERROR(GETPIVOTDATA("Cantidad",'TD AVANCE'!$B$121,"SC",$B83,"PART",M$73),0)-IFERROR(GETPIVOTDATA("Cantidad",'TD AVANCE'!$B$121,"SC",$B83,"PART",M$73,"ESTADO","CERRADO"),0))</f>
        <v/>
      </c>
      <c r="N83" s="34">
        <f>IF(IFERROR(GETPIVOTDATA("Cantidad",'TD AVANCE'!$B$121,"SC",$B83,"PART",M$73,"ESTADO","CERRADO"),0)=0,"",IFERROR(GETPIVOTDATA("Cantidad",'TD AVANCE'!$B$121,"SC",$B83,"PART",M$73,"ESTADO","CERRADO"),0))</f>
        <v>1</v>
      </c>
      <c r="O83" s="34" t="str">
        <f>IF(IFERROR(GETPIVOTDATA("Cantidad",'TD AVANCE'!$B$121,"SC",$B83,"PART",O$73),0)-IFERROR(GETPIVOTDATA("Cantidad",'TD AVANCE'!$B$121,"SC",$B83,"PART",O$73,"ESTADO","CERRADO"),0)=0,"",IFERROR(GETPIVOTDATA("Cantidad",'TD AVANCE'!$B$121,"SC",$B83,"PART",O$73),0)-IFERROR(GETPIVOTDATA("Cantidad",'TD AVANCE'!$B$121,"SC",$B83,"PART",O$73,"ESTADO","CERRADO"),0))</f>
        <v/>
      </c>
      <c r="P83" s="34" t="str">
        <f>IF(IFERROR(GETPIVOTDATA("Cantidad",'TD AVANCE'!$B$121,"SC",$B83,"PART",O$73,"ESTADO","CERRADO"),0)=0,"",IFERROR(GETPIVOTDATA("Cantidad",'TD AVANCE'!$B$121,"SC",$B83,"PART",O$73,"ESTADO","CERRADO"),0))</f>
        <v/>
      </c>
      <c r="Q83" s="34">
        <f>IF(IFERROR(GETPIVOTDATA("Cantidad",'TD AVANCE'!$B$121,"SC",$B83,"PART",Q$73),0)-IFERROR(GETPIVOTDATA("Cantidad",'TD AVANCE'!$B$121,"SC",$B83,"PART",Q$73,"ESTADO","CERRADO"),0)=0,"",IFERROR(GETPIVOTDATA("Cantidad",'TD AVANCE'!$B$121,"SC",$B83,"PART",Q$73),0)-IFERROR(GETPIVOTDATA("Cantidad",'TD AVANCE'!$B$121,"SC",$B83,"PART",Q$73,"ESTADO","CERRADO"),0))</f>
        <v>1</v>
      </c>
      <c r="R83" s="34">
        <f>IF(IFERROR(GETPIVOTDATA("Cantidad",'TD AVANCE'!$B$121,"SC",$B83,"PART",Q$73,"ESTADO","CERRADO"),0)=0,"",IFERROR(GETPIVOTDATA("Cantidad",'TD AVANCE'!$B$121,"SC",$B83,"PART",Q$73,"ESTADO","CERRADO"),0))</f>
        <v>2</v>
      </c>
      <c r="S83" s="34" t="str">
        <f>IF(IFERROR(GETPIVOTDATA("Cantidad",'TD AVANCE'!$B$121,"SC",$B83,"PART",S$73),0)-IFERROR(GETPIVOTDATA("Cantidad",'TD AVANCE'!$B$121,"SC",$B83,"PART",S$73,"ESTADO","CERRADO"),0)=0,"",IFERROR(GETPIVOTDATA("Cantidad",'TD AVANCE'!$B$121,"SC",$B83,"PART",S$73),0)-IFERROR(GETPIVOTDATA("Cantidad",'TD AVANCE'!$B$121,"SC",$B83,"PART",S$73,"ESTADO","CERRADO"),0))</f>
        <v/>
      </c>
      <c r="T83" s="34" t="str">
        <f>IF(IFERROR(GETPIVOTDATA("Cantidad",'TD AVANCE'!$B$121,"SC",$B83,"PART",S$73,"ESTADO","CERRADO"),0)=0,"",IFERROR(GETPIVOTDATA("Cantidad",'TD AVANCE'!$B$121,"SC",$B83,"PART",S$73,"ESTADO","CERRADO"),0))</f>
        <v/>
      </c>
      <c r="U83" s="34" t="str">
        <f>IF(IFERROR(GETPIVOTDATA("Cantidad",'TD AVANCE'!$B$121,"SC",$B83,"PART",U$73),0)-IFERROR(GETPIVOTDATA("Cantidad",'TD AVANCE'!$B$121,"SC",$B83,"PART",U$73,"ESTADO","CERRADO"),0)=0,"",IFERROR(GETPIVOTDATA("Cantidad",'TD AVANCE'!$B$121,"SC",$B83,"PART",U$73),0)-IFERROR(GETPIVOTDATA("Cantidad",'TD AVANCE'!$B$121,"SC",$B83,"PART",U$73,"ESTADO","CERRADO"),0))</f>
        <v/>
      </c>
      <c r="V83" s="34" t="str">
        <f>IF(IFERROR(GETPIVOTDATA("Cantidad",'TD AVANCE'!$B$121,"SC",$B83,"PART",U$73,"ESTADO","CERRADO"),0)=0,"",IFERROR(GETPIVOTDATA("Cantidad",'TD AVANCE'!$B$121,"SC",$B83,"PART",U$73,"ESTADO","CERRADO"),0))</f>
        <v/>
      </c>
      <c r="W83" s="34" t="str">
        <f>IF(IFERROR(GETPIVOTDATA("Cantidad",'TD AVANCE'!$B$121,"SC",$B83,"PART",W$73),0)-IFERROR(GETPIVOTDATA("Cantidad",'TD AVANCE'!$B$121,"SC",$B83,"PART",W$73,"ESTADO","CERRADO"),0)=0,"",IFERROR(GETPIVOTDATA("Cantidad",'TD AVANCE'!$B$121,"SC",$B83,"PART",W$73),0)-IFERROR(GETPIVOTDATA("Cantidad",'TD AVANCE'!$B$121,"SC",$B83,"PART",W$73,"ESTADO","CERRADO"),0))</f>
        <v/>
      </c>
      <c r="X83" s="34" t="str">
        <f>IF(IFERROR(GETPIVOTDATA("Cantidad",'TD AVANCE'!$B$121,"SC",$B83,"PART",W$73,"ESTADO","CERRADO"),0)=0,"",IFERROR(GETPIVOTDATA("Cantidad",'TD AVANCE'!$B$121,"SC",$B83,"PART",W$73,"ESTADO","CERRADO"),0))</f>
        <v/>
      </c>
      <c r="Y83" s="34" t="str">
        <f>IF(IFERROR(GETPIVOTDATA("Cantidad",'TD AVANCE'!$B$121,"SC",$B83,"PART",Y$73),0)-IFERROR(GETPIVOTDATA("Cantidad",'TD AVANCE'!$B$121,"SC",$B83,"PART",Y$73,"ESTADO","CERRADO"),0)=0,"",IFERROR(GETPIVOTDATA("Cantidad",'TD AVANCE'!$B$121,"SC",$B83,"PART",Y$73),0)-IFERROR(GETPIVOTDATA("Cantidad",'TD AVANCE'!$B$121,"SC",$B83,"PART",Y$73,"ESTADO","CERRADO"),0))</f>
        <v/>
      </c>
      <c r="Z83" s="34" t="str">
        <f>IF(IFERROR(GETPIVOTDATA("Cantidad",'TD AVANCE'!$B$121,"SC",$B83,"PART",Y$73,"ESTADO","CERRADO"),0)=0,"",IFERROR(GETPIVOTDATA("Cantidad",'TD AVANCE'!$B$121,"SC",$B83,"PART",Y$73,"ESTADO","CERRADO"),0))</f>
        <v/>
      </c>
    </row>
    <row r="84" spans="2:26" ht="16" x14ac:dyDescent="0.2">
      <c r="B84" s="35" t="s">
        <v>3378</v>
      </c>
      <c r="C84" s="35" t="str">
        <f>IF(IFERROR(GETPIVOTDATA("Cantidad",'TD AVANCE'!$B$121,"SC",$B84,"PART",C$73),0)-IFERROR(GETPIVOTDATA("Cantidad",'TD AVANCE'!$B$121,"SC",$B84,"PART",C$73,"ESTADO","CERRADO"),0)=0,"",IFERROR(GETPIVOTDATA("Cantidad",'TD AVANCE'!$B$121,"SC",$B84,"PART",C$73),0)-IFERROR(GETPIVOTDATA("Cantidad",'TD AVANCE'!$B$121,"SC",$B84,"PART",C$73,"ESTADO","CERRADO"),0))</f>
        <v/>
      </c>
      <c r="D84" s="35" t="str">
        <f>IF(IFERROR(GETPIVOTDATA("Cantidad",'TD AVANCE'!$B$121,"SC",$B84,"PART",C$73,"ESTADO","CERRADO"),0)=0,"",IFERROR(GETPIVOTDATA("Cantidad",'TD AVANCE'!$B$121,"SC",$B84,"PART",C$73,"ESTADO","CERRADO"),0))</f>
        <v/>
      </c>
      <c r="E84" s="35" t="str">
        <f>IF(IFERROR(GETPIVOTDATA("Cantidad",'TD AVANCE'!$B$121,"SC",$B84,"PART",E$73),0)-IFERROR(GETPIVOTDATA("Cantidad",'TD AVANCE'!$B$121,"SC",$B84,"PART",E$73,"ESTADO","CERRADO"),0)=0,"",IFERROR(GETPIVOTDATA("Cantidad",'TD AVANCE'!$B$121,"SC",$B84,"PART",E$73),0)-IFERROR(GETPIVOTDATA("Cantidad",'TD AVANCE'!$B$121,"SC",$B84,"PART",E$73,"ESTADO","CERRADO"),0))</f>
        <v/>
      </c>
      <c r="F84" s="35" t="str">
        <f>IF(IFERROR(GETPIVOTDATA("Cantidad",'TD AVANCE'!$B$121,"SC",$B84,"PART",E$73,"ESTADO","CERRADO"),0)=0,"",IFERROR(GETPIVOTDATA("Cantidad",'TD AVANCE'!$B$121,"SC",$B84,"PART",E$73,"ESTADO","CERRADO"),0))</f>
        <v/>
      </c>
      <c r="G84" s="35" t="str">
        <f>IF(IFERROR(GETPIVOTDATA("Cantidad",'TD AVANCE'!$B$121,"SC",$B84,"PART",G$73),0)-IFERROR(GETPIVOTDATA("Cantidad",'TD AVANCE'!$B$121,"SC",$B84,"PART",G$73,"ESTADO","CERRADO"),0)=0,"",IFERROR(GETPIVOTDATA("Cantidad",'TD AVANCE'!$B$121,"SC",$B84,"PART",G$73),0)-IFERROR(GETPIVOTDATA("Cantidad",'TD AVANCE'!$B$121,"SC",$B84,"PART",G$73,"ESTADO","CERRADO"),0))</f>
        <v/>
      </c>
      <c r="H84" s="35" t="str">
        <f>IF(IFERROR(GETPIVOTDATA("Cantidad",'TD AVANCE'!$B$121,"SC",$B84,"PART",G$73,"ESTADO","CERRADO"),0)=0,"",IFERROR(GETPIVOTDATA("Cantidad",'TD AVANCE'!$B$121,"SC",$B84,"PART",G$73,"ESTADO","CERRADO"),0))</f>
        <v/>
      </c>
      <c r="I84" s="35" t="str">
        <f>IF(IFERROR(GETPIVOTDATA("Cantidad",'TD AVANCE'!$B$121,"SC",$B84,"PART",I$73),0)-IFERROR(GETPIVOTDATA("Cantidad",'TD AVANCE'!$B$121,"SC",$B84,"PART",I$73,"ESTADO","CERRADO"),0)=0,"",IFERROR(GETPIVOTDATA("Cantidad",'TD AVANCE'!$B$121,"SC",$B84,"PART",I$73),0)-IFERROR(GETPIVOTDATA("Cantidad",'TD AVANCE'!$B$121,"SC",$B84,"PART",I$73,"ESTADO","CERRADO"),0))</f>
        <v/>
      </c>
      <c r="J84" s="35" t="str">
        <f>IF(IFERROR(GETPIVOTDATA("Cantidad",'TD AVANCE'!$B$121,"SC",$B84,"PART",I$73,"ESTADO","CERRADO"),0)=0,"",IFERROR(GETPIVOTDATA("Cantidad",'TD AVANCE'!$B$121,"SC",$B84,"PART",I$73,"ESTADO","CERRADO"),0))</f>
        <v/>
      </c>
      <c r="K84" s="35" t="str">
        <f>IF(IFERROR(GETPIVOTDATA("Cantidad",'TD AVANCE'!$B$121,"SC",$B84,"PART",K$73),0)-IFERROR(GETPIVOTDATA("Cantidad",'TD AVANCE'!$B$121,"SC",$B84,"PART",K$73,"ESTADO","CERRADO"),0)=0,"",IFERROR(GETPIVOTDATA("Cantidad",'TD AVANCE'!$B$121,"SC",$B84,"PART",K$73),0)-IFERROR(GETPIVOTDATA("Cantidad",'TD AVANCE'!$B$121,"SC",$B84,"PART",K$73,"ESTADO","CERRADO"),0))</f>
        <v/>
      </c>
      <c r="L84" s="35" t="str">
        <f>IF(IFERROR(GETPIVOTDATA("Cantidad",'TD AVANCE'!$B$121,"SC",$B84,"PART",K$73,"ESTADO","CERRADO"),0)=0,"",IFERROR(GETPIVOTDATA("Cantidad",'TD AVANCE'!$B$121,"SC",$B84,"PART",K$73,"ESTADO","CERRADO"),0))</f>
        <v/>
      </c>
      <c r="M84" s="35" t="str">
        <f>IF(IFERROR(GETPIVOTDATA("Cantidad",'TD AVANCE'!$B$121,"SC",$B84,"PART",M$73),0)-IFERROR(GETPIVOTDATA("Cantidad",'TD AVANCE'!$B$121,"SC",$B84,"PART",M$73,"ESTADO","CERRADO"),0)=0,"",IFERROR(GETPIVOTDATA("Cantidad",'TD AVANCE'!$B$121,"SC",$B84,"PART",M$73),0)-IFERROR(GETPIVOTDATA("Cantidad",'TD AVANCE'!$B$121,"SC",$B84,"PART",M$73,"ESTADO","CERRADO"),0))</f>
        <v/>
      </c>
      <c r="N84" s="35">
        <f>IF(IFERROR(GETPIVOTDATA("Cantidad",'TD AVANCE'!$B$121,"SC",$B84,"PART",M$73,"ESTADO","CERRADO"),0)=0,"",IFERROR(GETPIVOTDATA("Cantidad",'TD AVANCE'!$B$121,"SC",$B84,"PART",M$73,"ESTADO","CERRADO"),0))</f>
        <v>1</v>
      </c>
      <c r="O84" s="35" t="str">
        <f>IF(IFERROR(GETPIVOTDATA("Cantidad",'TD AVANCE'!$B$121,"SC",$B84,"PART",O$73),0)-IFERROR(GETPIVOTDATA("Cantidad",'TD AVANCE'!$B$121,"SC",$B84,"PART",O$73,"ESTADO","CERRADO"),0)=0,"",IFERROR(GETPIVOTDATA("Cantidad",'TD AVANCE'!$B$121,"SC",$B84,"PART",O$73),0)-IFERROR(GETPIVOTDATA("Cantidad",'TD AVANCE'!$B$121,"SC",$B84,"PART",O$73,"ESTADO","CERRADO"),0))</f>
        <v/>
      </c>
      <c r="P84" s="35" t="str">
        <f>IF(IFERROR(GETPIVOTDATA("Cantidad",'TD AVANCE'!$B$121,"SC",$B84,"PART",O$73,"ESTADO","CERRADO"),0)=0,"",IFERROR(GETPIVOTDATA("Cantidad",'TD AVANCE'!$B$121,"SC",$B84,"PART",O$73,"ESTADO","CERRADO"),0))</f>
        <v/>
      </c>
      <c r="Q84" s="35" t="str">
        <f>IF(IFERROR(GETPIVOTDATA("Cantidad",'TD AVANCE'!$B$121,"SC",$B84,"PART",Q$73),0)-IFERROR(GETPIVOTDATA("Cantidad",'TD AVANCE'!$B$121,"SC",$B84,"PART",Q$73,"ESTADO","CERRADO"),0)=0,"",IFERROR(GETPIVOTDATA("Cantidad",'TD AVANCE'!$B$121,"SC",$B84,"PART",Q$73),0)-IFERROR(GETPIVOTDATA("Cantidad",'TD AVANCE'!$B$121,"SC",$B84,"PART",Q$73,"ESTADO","CERRADO"),0))</f>
        <v/>
      </c>
      <c r="R84" s="35">
        <f>IF(IFERROR(GETPIVOTDATA("Cantidad",'TD AVANCE'!$B$121,"SC",$B84,"PART",Q$73,"ESTADO","CERRADO"),0)=0,"",IFERROR(GETPIVOTDATA("Cantidad",'TD AVANCE'!$B$121,"SC",$B84,"PART",Q$73,"ESTADO","CERRADO"),0))</f>
        <v>4</v>
      </c>
      <c r="S84" s="35" t="str">
        <f>IF(IFERROR(GETPIVOTDATA("Cantidad",'TD AVANCE'!$B$121,"SC",$B84,"PART",S$73),0)-IFERROR(GETPIVOTDATA("Cantidad",'TD AVANCE'!$B$121,"SC",$B84,"PART",S$73,"ESTADO","CERRADO"),0)=0,"",IFERROR(GETPIVOTDATA("Cantidad",'TD AVANCE'!$B$121,"SC",$B84,"PART",S$73),0)-IFERROR(GETPIVOTDATA("Cantidad",'TD AVANCE'!$B$121,"SC",$B84,"PART",S$73,"ESTADO","CERRADO"),0))</f>
        <v/>
      </c>
      <c r="T84" s="35" t="str">
        <f>IF(IFERROR(GETPIVOTDATA("Cantidad",'TD AVANCE'!$B$121,"SC",$B84,"PART",S$73,"ESTADO","CERRADO"),0)=0,"",IFERROR(GETPIVOTDATA("Cantidad",'TD AVANCE'!$B$121,"SC",$B84,"PART",S$73,"ESTADO","CERRADO"),0))</f>
        <v/>
      </c>
      <c r="U84" s="35" t="str">
        <f>IF(IFERROR(GETPIVOTDATA("Cantidad",'TD AVANCE'!$B$121,"SC",$B84,"PART",U$73),0)-IFERROR(GETPIVOTDATA("Cantidad",'TD AVANCE'!$B$121,"SC",$B84,"PART",U$73,"ESTADO","CERRADO"),0)=0,"",IFERROR(GETPIVOTDATA("Cantidad",'TD AVANCE'!$B$121,"SC",$B84,"PART",U$73),0)-IFERROR(GETPIVOTDATA("Cantidad",'TD AVANCE'!$B$121,"SC",$B84,"PART",U$73,"ESTADO","CERRADO"),0))</f>
        <v/>
      </c>
      <c r="V84" s="35" t="str">
        <f>IF(IFERROR(GETPIVOTDATA("Cantidad",'TD AVANCE'!$B$121,"SC",$B84,"PART",U$73,"ESTADO","CERRADO"),0)=0,"",IFERROR(GETPIVOTDATA("Cantidad",'TD AVANCE'!$B$121,"SC",$B84,"PART",U$73,"ESTADO","CERRADO"),0))</f>
        <v/>
      </c>
      <c r="W84" s="35" t="str">
        <f>IF(IFERROR(GETPIVOTDATA("Cantidad",'TD AVANCE'!$B$121,"SC",$B84,"PART",W$73),0)-IFERROR(GETPIVOTDATA("Cantidad",'TD AVANCE'!$B$121,"SC",$B84,"PART",W$73,"ESTADO","CERRADO"),0)=0,"",IFERROR(GETPIVOTDATA("Cantidad",'TD AVANCE'!$B$121,"SC",$B84,"PART",W$73),0)-IFERROR(GETPIVOTDATA("Cantidad",'TD AVANCE'!$B$121,"SC",$B84,"PART",W$73,"ESTADO","CERRADO"),0))</f>
        <v/>
      </c>
      <c r="X84" s="35" t="str">
        <f>IF(IFERROR(GETPIVOTDATA("Cantidad",'TD AVANCE'!$B$121,"SC",$B84,"PART",W$73,"ESTADO","CERRADO"),0)=0,"",IFERROR(GETPIVOTDATA("Cantidad",'TD AVANCE'!$B$121,"SC",$B84,"PART",W$73,"ESTADO","CERRADO"),0))</f>
        <v/>
      </c>
      <c r="Y84" s="35" t="str">
        <f>IF(IFERROR(GETPIVOTDATA("Cantidad",'TD AVANCE'!$B$121,"SC",$B84,"PART",Y$73),0)-IFERROR(GETPIVOTDATA("Cantidad",'TD AVANCE'!$B$121,"SC",$B84,"PART",Y$73,"ESTADO","CERRADO"),0)=0,"",IFERROR(GETPIVOTDATA("Cantidad",'TD AVANCE'!$B$121,"SC",$B84,"PART",Y$73),0)-IFERROR(GETPIVOTDATA("Cantidad",'TD AVANCE'!$B$121,"SC",$B84,"PART",Y$73,"ESTADO","CERRADO"),0))</f>
        <v/>
      </c>
      <c r="Z84" s="35">
        <f>IF(IFERROR(GETPIVOTDATA("Cantidad",'TD AVANCE'!$B$121,"SC",$B84,"PART",Y$73,"ESTADO","CERRADO"),0)=0,"",IFERROR(GETPIVOTDATA("Cantidad",'TD AVANCE'!$B$121,"SC",$B84,"PART",Y$73,"ESTADO","CERRADO"),0))</f>
        <v>1</v>
      </c>
    </row>
    <row r="85" spans="2:26" ht="16" x14ac:dyDescent="0.2">
      <c r="B85" s="34" t="s">
        <v>3379</v>
      </c>
      <c r="C85" s="34" t="str">
        <f>IF(IFERROR(GETPIVOTDATA("Cantidad",'TD AVANCE'!$B$121,"SC",$B85,"PART",C$73),0)-IFERROR(GETPIVOTDATA("Cantidad",'TD AVANCE'!$B$121,"SC",$B85,"PART",C$73,"ESTADO","CERRADO"),0)=0,"",IFERROR(GETPIVOTDATA("Cantidad",'TD AVANCE'!$B$121,"SC",$B85,"PART",C$73),0)-IFERROR(GETPIVOTDATA("Cantidad",'TD AVANCE'!$B$121,"SC",$B85,"PART",C$73,"ESTADO","CERRADO"),0))</f>
        <v/>
      </c>
      <c r="D85" s="34" t="str">
        <f>IF(IFERROR(GETPIVOTDATA("Cantidad",'TD AVANCE'!$B$121,"SC",$B85,"PART",C$73,"ESTADO","CERRADO"),0)=0,"",IFERROR(GETPIVOTDATA("Cantidad",'TD AVANCE'!$B$121,"SC",$B85,"PART",C$73,"ESTADO","CERRADO"),0))</f>
        <v/>
      </c>
      <c r="E85" s="34" t="str">
        <f>IF(IFERROR(GETPIVOTDATA("Cantidad",'TD AVANCE'!$B$121,"SC",$B85,"PART",E$73),0)-IFERROR(GETPIVOTDATA("Cantidad",'TD AVANCE'!$B$121,"SC",$B85,"PART",E$73,"ESTADO","CERRADO"),0)=0,"",IFERROR(GETPIVOTDATA("Cantidad",'TD AVANCE'!$B$121,"SC",$B85,"PART",E$73),0)-IFERROR(GETPIVOTDATA("Cantidad",'TD AVANCE'!$B$121,"SC",$B85,"PART",E$73,"ESTADO","CERRADO"),0))</f>
        <v/>
      </c>
      <c r="F85" s="34" t="str">
        <f>IF(IFERROR(GETPIVOTDATA("Cantidad",'TD AVANCE'!$B$121,"SC",$B85,"PART",E$73,"ESTADO","CERRADO"),0)=0,"",IFERROR(GETPIVOTDATA("Cantidad",'TD AVANCE'!$B$121,"SC",$B85,"PART",E$73,"ESTADO","CERRADO"),0))</f>
        <v/>
      </c>
      <c r="G85" s="34" t="str">
        <f>IF(IFERROR(GETPIVOTDATA("Cantidad",'TD AVANCE'!$B$121,"SC",$B85,"PART",G$73),0)-IFERROR(GETPIVOTDATA("Cantidad",'TD AVANCE'!$B$121,"SC",$B85,"PART",G$73,"ESTADO","CERRADO"),0)=0,"",IFERROR(GETPIVOTDATA("Cantidad",'TD AVANCE'!$B$121,"SC",$B85,"PART",G$73),0)-IFERROR(GETPIVOTDATA("Cantidad",'TD AVANCE'!$B$121,"SC",$B85,"PART",G$73,"ESTADO","CERRADO"),0))</f>
        <v/>
      </c>
      <c r="H85" s="34" t="str">
        <f>IF(IFERROR(GETPIVOTDATA("Cantidad",'TD AVANCE'!$B$121,"SC",$B85,"PART",G$73,"ESTADO","CERRADO"),0)=0,"",IFERROR(GETPIVOTDATA("Cantidad",'TD AVANCE'!$B$121,"SC",$B85,"PART",G$73,"ESTADO","CERRADO"),0))</f>
        <v/>
      </c>
      <c r="I85" s="34" t="str">
        <f>IF(IFERROR(GETPIVOTDATA("Cantidad",'TD AVANCE'!$B$121,"SC",$B85,"PART",I$73),0)-IFERROR(GETPIVOTDATA("Cantidad",'TD AVANCE'!$B$121,"SC",$B85,"PART",I$73,"ESTADO","CERRADO"),0)=0,"",IFERROR(GETPIVOTDATA("Cantidad",'TD AVANCE'!$B$121,"SC",$B85,"PART",I$73),0)-IFERROR(GETPIVOTDATA("Cantidad",'TD AVANCE'!$B$121,"SC",$B85,"PART",I$73,"ESTADO","CERRADO"),0))</f>
        <v/>
      </c>
      <c r="J85" s="34" t="str">
        <f>IF(IFERROR(GETPIVOTDATA("Cantidad",'TD AVANCE'!$B$121,"SC",$B85,"PART",I$73,"ESTADO","CERRADO"),0)=0,"",IFERROR(GETPIVOTDATA("Cantidad",'TD AVANCE'!$B$121,"SC",$B85,"PART",I$73,"ESTADO","CERRADO"),0))</f>
        <v/>
      </c>
      <c r="K85" s="34" t="str">
        <f>IF(IFERROR(GETPIVOTDATA("Cantidad",'TD AVANCE'!$B$121,"SC",$B85,"PART",K$73),0)-IFERROR(GETPIVOTDATA("Cantidad",'TD AVANCE'!$B$121,"SC",$B85,"PART",K$73,"ESTADO","CERRADO"),0)=0,"",IFERROR(GETPIVOTDATA("Cantidad",'TD AVANCE'!$B$121,"SC",$B85,"PART",K$73),0)-IFERROR(GETPIVOTDATA("Cantidad",'TD AVANCE'!$B$121,"SC",$B85,"PART",K$73,"ESTADO","CERRADO"),0))</f>
        <v/>
      </c>
      <c r="L85" s="34" t="str">
        <f>IF(IFERROR(GETPIVOTDATA("Cantidad",'TD AVANCE'!$B$121,"SC",$B85,"PART",K$73,"ESTADO","CERRADO"),0)=0,"",IFERROR(GETPIVOTDATA("Cantidad",'TD AVANCE'!$B$121,"SC",$B85,"PART",K$73,"ESTADO","CERRADO"),0))</f>
        <v/>
      </c>
      <c r="M85" s="34" t="str">
        <f>IF(IFERROR(GETPIVOTDATA("Cantidad",'TD AVANCE'!$B$121,"SC",$B85,"PART",M$73),0)-IFERROR(GETPIVOTDATA("Cantidad",'TD AVANCE'!$B$121,"SC",$B85,"PART",M$73,"ESTADO","CERRADO"),0)=0,"",IFERROR(GETPIVOTDATA("Cantidad",'TD AVANCE'!$B$121,"SC",$B85,"PART",M$73),0)-IFERROR(GETPIVOTDATA("Cantidad",'TD AVANCE'!$B$121,"SC",$B85,"PART",M$73,"ESTADO","CERRADO"),0))</f>
        <v/>
      </c>
      <c r="N85" s="34">
        <f>IF(IFERROR(GETPIVOTDATA("Cantidad",'TD AVANCE'!$B$121,"SC",$B85,"PART",M$73,"ESTADO","CERRADO"),0)=0,"",IFERROR(GETPIVOTDATA("Cantidad",'TD AVANCE'!$B$121,"SC",$B85,"PART",M$73,"ESTADO","CERRADO"),0))</f>
        <v>1</v>
      </c>
      <c r="O85" s="34" t="str">
        <f>IF(IFERROR(GETPIVOTDATA("Cantidad",'TD AVANCE'!$B$121,"SC",$B85,"PART",O$73),0)-IFERROR(GETPIVOTDATA("Cantidad",'TD AVANCE'!$B$121,"SC",$B85,"PART",O$73,"ESTADO","CERRADO"),0)=0,"",IFERROR(GETPIVOTDATA("Cantidad",'TD AVANCE'!$B$121,"SC",$B85,"PART",O$73),0)-IFERROR(GETPIVOTDATA("Cantidad",'TD AVANCE'!$B$121,"SC",$B85,"PART",O$73,"ESTADO","CERRADO"),0))</f>
        <v/>
      </c>
      <c r="P85" s="34" t="str">
        <f>IF(IFERROR(GETPIVOTDATA("Cantidad",'TD AVANCE'!$B$121,"SC",$B85,"PART",O$73,"ESTADO","CERRADO"),0)=0,"",IFERROR(GETPIVOTDATA("Cantidad",'TD AVANCE'!$B$121,"SC",$B85,"PART",O$73,"ESTADO","CERRADO"),0))</f>
        <v/>
      </c>
      <c r="Q85" s="34">
        <f>IF(IFERROR(GETPIVOTDATA("Cantidad",'TD AVANCE'!$B$121,"SC",$B85,"PART",Q$73),0)-IFERROR(GETPIVOTDATA("Cantidad",'TD AVANCE'!$B$121,"SC",$B85,"PART",Q$73,"ESTADO","CERRADO"),0)=0,"",IFERROR(GETPIVOTDATA("Cantidad",'TD AVANCE'!$B$121,"SC",$B85,"PART",Q$73),0)-IFERROR(GETPIVOTDATA("Cantidad",'TD AVANCE'!$B$121,"SC",$B85,"PART",Q$73,"ESTADO","CERRADO"),0))</f>
        <v>1</v>
      </c>
      <c r="R85" s="34">
        <f>IF(IFERROR(GETPIVOTDATA("Cantidad",'TD AVANCE'!$B$121,"SC",$B85,"PART",Q$73,"ESTADO","CERRADO"),0)=0,"",IFERROR(GETPIVOTDATA("Cantidad",'TD AVANCE'!$B$121,"SC",$B85,"PART",Q$73,"ESTADO","CERRADO"),0))</f>
        <v>4</v>
      </c>
      <c r="S85" s="34" t="str">
        <f>IF(IFERROR(GETPIVOTDATA("Cantidad",'TD AVANCE'!$B$121,"SC",$B85,"PART",S$73),0)-IFERROR(GETPIVOTDATA("Cantidad",'TD AVANCE'!$B$121,"SC",$B85,"PART",S$73,"ESTADO","CERRADO"),0)=0,"",IFERROR(GETPIVOTDATA("Cantidad",'TD AVANCE'!$B$121,"SC",$B85,"PART",S$73),0)-IFERROR(GETPIVOTDATA("Cantidad",'TD AVANCE'!$B$121,"SC",$B85,"PART",S$73,"ESTADO","CERRADO"),0))</f>
        <v/>
      </c>
      <c r="T85" s="34" t="str">
        <f>IF(IFERROR(GETPIVOTDATA("Cantidad",'TD AVANCE'!$B$121,"SC",$B85,"PART",S$73,"ESTADO","CERRADO"),0)=0,"",IFERROR(GETPIVOTDATA("Cantidad",'TD AVANCE'!$B$121,"SC",$B85,"PART",S$73,"ESTADO","CERRADO"),0))</f>
        <v/>
      </c>
      <c r="U85" s="34" t="str">
        <f>IF(IFERROR(GETPIVOTDATA("Cantidad",'TD AVANCE'!$B$121,"SC",$B85,"PART",U$73),0)-IFERROR(GETPIVOTDATA("Cantidad",'TD AVANCE'!$B$121,"SC",$B85,"PART",U$73,"ESTADO","CERRADO"),0)=0,"",IFERROR(GETPIVOTDATA("Cantidad",'TD AVANCE'!$B$121,"SC",$B85,"PART",U$73),0)-IFERROR(GETPIVOTDATA("Cantidad",'TD AVANCE'!$B$121,"SC",$B85,"PART",U$73,"ESTADO","CERRADO"),0))</f>
        <v/>
      </c>
      <c r="V85" s="34" t="str">
        <f>IF(IFERROR(GETPIVOTDATA("Cantidad",'TD AVANCE'!$B$121,"SC",$B85,"PART",U$73,"ESTADO","CERRADO"),0)=0,"",IFERROR(GETPIVOTDATA("Cantidad",'TD AVANCE'!$B$121,"SC",$B85,"PART",U$73,"ESTADO","CERRADO"),0))</f>
        <v/>
      </c>
      <c r="W85" s="34" t="str">
        <f>IF(IFERROR(GETPIVOTDATA("Cantidad",'TD AVANCE'!$B$121,"SC",$B85,"PART",W$73),0)-IFERROR(GETPIVOTDATA("Cantidad",'TD AVANCE'!$B$121,"SC",$B85,"PART",W$73,"ESTADO","CERRADO"),0)=0,"",IFERROR(GETPIVOTDATA("Cantidad",'TD AVANCE'!$B$121,"SC",$B85,"PART",W$73),0)-IFERROR(GETPIVOTDATA("Cantidad",'TD AVANCE'!$B$121,"SC",$B85,"PART",W$73,"ESTADO","CERRADO"),0))</f>
        <v/>
      </c>
      <c r="X85" s="34" t="str">
        <f>IF(IFERROR(GETPIVOTDATA("Cantidad",'TD AVANCE'!$B$121,"SC",$B85,"PART",W$73,"ESTADO","CERRADO"),0)=0,"",IFERROR(GETPIVOTDATA("Cantidad",'TD AVANCE'!$B$121,"SC",$B85,"PART",W$73,"ESTADO","CERRADO"),0))</f>
        <v/>
      </c>
      <c r="Y85" s="34" t="str">
        <f>IF(IFERROR(GETPIVOTDATA("Cantidad",'TD AVANCE'!$B$121,"SC",$B85,"PART",Y$73),0)-IFERROR(GETPIVOTDATA("Cantidad",'TD AVANCE'!$B$121,"SC",$B85,"PART",Y$73,"ESTADO","CERRADO"),0)=0,"",IFERROR(GETPIVOTDATA("Cantidad",'TD AVANCE'!$B$121,"SC",$B85,"PART",Y$73),0)-IFERROR(GETPIVOTDATA("Cantidad",'TD AVANCE'!$B$121,"SC",$B85,"PART",Y$73,"ESTADO","CERRADO"),0))</f>
        <v/>
      </c>
      <c r="Z85" s="34" t="str">
        <f>IF(IFERROR(GETPIVOTDATA("Cantidad",'TD AVANCE'!$B$121,"SC",$B85,"PART",Y$73,"ESTADO","CERRADO"),0)=0,"",IFERROR(GETPIVOTDATA("Cantidad",'TD AVANCE'!$B$121,"SC",$B85,"PART",Y$73,"ESTADO","CERRADO"),0))</f>
        <v/>
      </c>
    </row>
    <row r="86" spans="2:26" ht="16" x14ac:dyDescent="0.2">
      <c r="B86" s="35" t="s">
        <v>3387</v>
      </c>
      <c r="C86" s="35" t="str">
        <f>IF(IFERROR(GETPIVOTDATA("Cantidad",'TD AVANCE'!$B$121,"SC",$B86,"PART",C$73),0)-IFERROR(GETPIVOTDATA("Cantidad",'TD AVANCE'!$B$121,"SC",$B86,"PART",C$73,"ESTADO","CERRADO"),0)=0,"",IFERROR(GETPIVOTDATA("Cantidad",'TD AVANCE'!$B$121,"SC",$B86,"PART",C$73),0)-IFERROR(GETPIVOTDATA("Cantidad",'TD AVANCE'!$B$121,"SC",$B86,"PART",C$73,"ESTADO","CERRADO"),0))</f>
        <v/>
      </c>
      <c r="D86" s="35" t="str">
        <f>IF(IFERROR(GETPIVOTDATA("Cantidad",'TD AVANCE'!$B$121,"SC",$B86,"PART",C$73,"ESTADO","CERRADO"),0)=0,"",IFERROR(GETPIVOTDATA("Cantidad",'TD AVANCE'!$B$121,"SC",$B86,"PART",C$73,"ESTADO","CERRADO"),0))</f>
        <v/>
      </c>
      <c r="E86" s="35" t="str">
        <f>IF(IFERROR(GETPIVOTDATA("Cantidad",'TD AVANCE'!$B$121,"SC",$B86,"PART",E$73),0)-IFERROR(GETPIVOTDATA("Cantidad",'TD AVANCE'!$B$121,"SC",$B86,"PART",E$73,"ESTADO","CERRADO"),0)=0,"",IFERROR(GETPIVOTDATA("Cantidad",'TD AVANCE'!$B$121,"SC",$B86,"PART",E$73),0)-IFERROR(GETPIVOTDATA("Cantidad",'TD AVANCE'!$B$121,"SC",$B86,"PART",E$73,"ESTADO","CERRADO"),0))</f>
        <v/>
      </c>
      <c r="F86" s="35" t="str">
        <f>IF(IFERROR(GETPIVOTDATA("Cantidad",'TD AVANCE'!$B$121,"SC",$B86,"PART",E$73,"ESTADO","CERRADO"),0)=0,"",IFERROR(GETPIVOTDATA("Cantidad",'TD AVANCE'!$B$121,"SC",$B86,"PART",E$73,"ESTADO","CERRADO"),0))</f>
        <v/>
      </c>
      <c r="G86" s="35">
        <f>IF(IFERROR(GETPIVOTDATA("Cantidad",'TD AVANCE'!$B$121,"SC",$B86,"PART",G$73),0)-IFERROR(GETPIVOTDATA("Cantidad",'TD AVANCE'!$B$121,"SC",$B86,"PART",G$73,"ESTADO","CERRADO"),0)=0,"",IFERROR(GETPIVOTDATA("Cantidad",'TD AVANCE'!$B$121,"SC",$B86,"PART",G$73),0)-IFERROR(GETPIVOTDATA("Cantidad",'TD AVANCE'!$B$121,"SC",$B86,"PART",G$73,"ESTADO","CERRADO"),0))</f>
        <v>2</v>
      </c>
      <c r="H86" s="35">
        <f>IF(IFERROR(GETPIVOTDATA("Cantidad",'TD AVANCE'!$B$121,"SC",$B86,"PART",G$73,"ESTADO","CERRADO"),0)=0,"",IFERROR(GETPIVOTDATA("Cantidad",'TD AVANCE'!$B$121,"SC",$B86,"PART",G$73,"ESTADO","CERRADO"),0))</f>
        <v>14</v>
      </c>
      <c r="I86" s="35" t="str">
        <f>IF(IFERROR(GETPIVOTDATA("Cantidad",'TD AVANCE'!$B$121,"SC",$B86,"PART",I$73),0)-IFERROR(GETPIVOTDATA("Cantidad",'TD AVANCE'!$B$121,"SC",$B86,"PART",I$73,"ESTADO","CERRADO"),0)=0,"",IFERROR(GETPIVOTDATA("Cantidad",'TD AVANCE'!$B$121,"SC",$B86,"PART",I$73),0)-IFERROR(GETPIVOTDATA("Cantidad",'TD AVANCE'!$B$121,"SC",$B86,"PART",I$73,"ESTADO","CERRADO"),0))</f>
        <v/>
      </c>
      <c r="J86" s="35" t="str">
        <f>IF(IFERROR(GETPIVOTDATA("Cantidad",'TD AVANCE'!$B$121,"SC",$B86,"PART",I$73,"ESTADO","CERRADO"),0)=0,"",IFERROR(GETPIVOTDATA("Cantidad",'TD AVANCE'!$B$121,"SC",$B86,"PART",I$73,"ESTADO","CERRADO"),0))</f>
        <v/>
      </c>
      <c r="K86" s="35" t="str">
        <f>IF(IFERROR(GETPIVOTDATA("Cantidad",'TD AVANCE'!$B$121,"SC",$B86,"PART",K$73),0)-IFERROR(GETPIVOTDATA("Cantidad",'TD AVANCE'!$B$121,"SC",$B86,"PART",K$73,"ESTADO","CERRADO"),0)=0,"",IFERROR(GETPIVOTDATA("Cantidad",'TD AVANCE'!$B$121,"SC",$B86,"PART",K$73),0)-IFERROR(GETPIVOTDATA("Cantidad",'TD AVANCE'!$B$121,"SC",$B86,"PART",K$73,"ESTADO","CERRADO"),0))</f>
        <v/>
      </c>
      <c r="L86" s="35" t="str">
        <f>IF(IFERROR(GETPIVOTDATA("Cantidad",'TD AVANCE'!$B$121,"SC",$B86,"PART",K$73,"ESTADO","CERRADO"),0)=0,"",IFERROR(GETPIVOTDATA("Cantidad",'TD AVANCE'!$B$121,"SC",$B86,"PART",K$73,"ESTADO","CERRADO"),0))</f>
        <v/>
      </c>
      <c r="M86" s="35" t="str">
        <f>IF(IFERROR(GETPIVOTDATA("Cantidad",'TD AVANCE'!$B$121,"SC",$B86,"PART",M$73),0)-IFERROR(GETPIVOTDATA("Cantidad",'TD AVANCE'!$B$121,"SC",$B86,"PART",M$73,"ESTADO","CERRADO"),0)=0,"",IFERROR(GETPIVOTDATA("Cantidad",'TD AVANCE'!$B$121,"SC",$B86,"PART",M$73),0)-IFERROR(GETPIVOTDATA("Cantidad",'TD AVANCE'!$B$121,"SC",$B86,"PART",M$73,"ESTADO","CERRADO"),0))</f>
        <v/>
      </c>
      <c r="N86" s="35" t="str">
        <f>IF(IFERROR(GETPIVOTDATA("Cantidad",'TD AVANCE'!$B$121,"SC",$B86,"PART",M$73,"ESTADO","CERRADO"),0)=0,"",IFERROR(GETPIVOTDATA("Cantidad",'TD AVANCE'!$B$121,"SC",$B86,"PART",M$73,"ESTADO","CERRADO"),0))</f>
        <v/>
      </c>
      <c r="O86" s="35" t="str">
        <f>IF(IFERROR(GETPIVOTDATA("Cantidad",'TD AVANCE'!$B$121,"SC",$B86,"PART",O$73),0)-IFERROR(GETPIVOTDATA("Cantidad",'TD AVANCE'!$B$121,"SC",$B86,"PART",O$73,"ESTADO","CERRADO"),0)=0,"",IFERROR(GETPIVOTDATA("Cantidad",'TD AVANCE'!$B$121,"SC",$B86,"PART",O$73),0)-IFERROR(GETPIVOTDATA("Cantidad",'TD AVANCE'!$B$121,"SC",$B86,"PART",O$73,"ESTADO","CERRADO"),0))</f>
        <v/>
      </c>
      <c r="P86" s="35" t="str">
        <f>IF(IFERROR(GETPIVOTDATA("Cantidad",'TD AVANCE'!$B$121,"SC",$B86,"PART",O$73,"ESTADO","CERRADO"),0)=0,"",IFERROR(GETPIVOTDATA("Cantidad",'TD AVANCE'!$B$121,"SC",$B86,"PART",O$73,"ESTADO","CERRADO"),0))</f>
        <v/>
      </c>
      <c r="Q86" s="35">
        <f>IF(IFERROR(GETPIVOTDATA("Cantidad",'TD AVANCE'!$B$121,"SC",$B86,"PART",Q$73),0)-IFERROR(GETPIVOTDATA("Cantidad",'TD AVANCE'!$B$121,"SC",$B86,"PART",Q$73,"ESTADO","CERRADO"),0)=0,"",IFERROR(GETPIVOTDATA("Cantidad",'TD AVANCE'!$B$121,"SC",$B86,"PART",Q$73),0)-IFERROR(GETPIVOTDATA("Cantidad",'TD AVANCE'!$B$121,"SC",$B86,"PART",Q$73,"ESTADO","CERRADO"),0))</f>
        <v>2</v>
      </c>
      <c r="R86" s="35">
        <f>IF(IFERROR(GETPIVOTDATA("Cantidad",'TD AVANCE'!$B$121,"SC",$B86,"PART",Q$73,"ESTADO","CERRADO"),0)=0,"",IFERROR(GETPIVOTDATA("Cantidad",'TD AVANCE'!$B$121,"SC",$B86,"PART",Q$73,"ESTADO","CERRADO"),0))</f>
        <v>1</v>
      </c>
      <c r="S86" s="35" t="str">
        <f>IF(IFERROR(GETPIVOTDATA("Cantidad",'TD AVANCE'!$B$121,"SC",$B86,"PART",S$73),0)-IFERROR(GETPIVOTDATA("Cantidad",'TD AVANCE'!$B$121,"SC",$B86,"PART",S$73,"ESTADO","CERRADO"),0)=0,"",IFERROR(GETPIVOTDATA("Cantidad",'TD AVANCE'!$B$121,"SC",$B86,"PART",S$73),0)-IFERROR(GETPIVOTDATA("Cantidad",'TD AVANCE'!$B$121,"SC",$B86,"PART",S$73,"ESTADO","CERRADO"),0))</f>
        <v/>
      </c>
      <c r="T86" s="35" t="str">
        <f>IF(IFERROR(GETPIVOTDATA("Cantidad",'TD AVANCE'!$B$121,"SC",$B86,"PART",S$73,"ESTADO","CERRADO"),0)=0,"",IFERROR(GETPIVOTDATA("Cantidad",'TD AVANCE'!$B$121,"SC",$B86,"PART",S$73,"ESTADO","CERRADO"),0))</f>
        <v/>
      </c>
      <c r="U86" s="35" t="str">
        <f>IF(IFERROR(GETPIVOTDATA("Cantidad",'TD AVANCE'!$B$121,"SC",$B86,"PART",U$73),0)-IFERROR(GETPIVOTDATA("Cantidad",'TD AVANCE'!$B$121,"SC",$B86,"PART",U$73,"ESTADO","CERRADO"),0)=0,"",IFERROR(GETPIVOTDATA("Cantidad",'TD AVANCE'!$B$121,"SC",$B86,"PART",U$73),0)-IFERROR(GETPIVOTDATA("Cantidad",'TD AVANCE'!$B$121,"SC",$B86,"PART",U$73,"ESTADO","CERRADO"),0))</f>
        <v/>
      </c>
      <c r="V86" s="35" t="str">
        <f>IF(IFERROR(GETPIVOTDATA("Cantidad",'TD AVANCE'!$B$121,"SC",$B86,"PART",U$73,"ESTADO","CERRADO"),0)=0,"",IFERROR(GETPIVOTDATA("Cantidad",'TD AVANCE'!$B$121,"SC",$B86,"PART",U$73,"ESTADO","CERRADO"),0))</f>
        <v/>
      </c>
      <c r="W86" s="35" t="str">
        <f>IF(IFERROR(GETPIVOTDATA("Cantidad",'TD AVANCE'!$B$121,"SC",$B86,"PART",W$73),0)-IFERROR(GETPIVOTDATA("Cantidad",'TD AVANCE'!$B$121,"SC",$B86,"PART",W$73,"ESTADO","CERRADO"),0)=0,"",IFERROR(GETPIVOTDATA("Cantidad",'TD AVANCE'!$B$121,"SC",$B86,"PART",W$73),0)-IFERROR(GETPIVOTDATA("Cantidad",'TD AVANCE'!$B$121,"SC",$B86,"PART",W$73,"ESTADO","CERRADO"),0))</f>
        <v/>
      </c>
      <c r="X86" s="35" t="str">
        <f>IF(IFERROR(GETPIVOTDATA("Cantidad",'TD AVANCE'!$B$121,"SC",$B86,"PART",W$73,"ESTADO","CERRADO"),0)=0,"",IFERROR(GETPIVOTDATA("Cantidad",'TD AVANCE'!$B$121,"SC",$B86,"PART",W$73,"ESTADO","CERRADO"),0))</f>
        <v/>
      </c>
      <c r="Y86" s="35" t="str">
        <f>IF(IFERROR(GETPIVOTDATA("Cantidad",'TD AVANCE'!$B$121,"SC",$B86,"PART",Y$73),0)-IFERROR(GETPIVOTDATA("Cantidad",'TD AVANCE'!$B$121,"SC",$B86,"PART",Y$73,"ESTADO","CERRADO"),0)=0,"",IFERROR(GETPIVOTDATA("Cantidad",'TD AVANCE'!$B$121,"SC",$B86,"PART",Y$73),0)-IFERROR(GETPIVOTDATA("Cantidad",'TD AVANCE'!$B$121,"SC",$B86,"PART",Y$73,"ESTADO","CERRADO"),0))</f>
        <v/>
      </c>
      <c r="Z86" s="35" t="str">
        <f>IF(IFERROR(GETPIVOTDATA("Cantidad",'TD AVANCE'!$B$121,"SC",$B86,"PART",Y$73,"ESTADO","CERRADO"),0)=0,"",IFERROR(GETPIVOTDATA("Cantidad",'TD AVANCE'!$B$121,"SC",$B86,"PART",Y$73,"ESTADO","CERRADO"),0))</f>
        <v/>
      </c>
    </row>
    <row r="87" spans="2:26" ht="16" x14ac:dyDescent="0.2">
      <c r="B87" s="34" t="s">
        <v>3388</v>
      </c>
      <c r="C87" s="34" t="str">
        <f>IF(IFERROR(GETPIVOTDATA("Cantidad",'TD AVANCE'!$B$121,"SC",$B87,"PART",C$73),0)-IFERROR(GETPIVOTDATA("Cantidad",'TD AVANCE'!$B$121,"SC",$B87,"PART",C$73,"ESTADO","CERRADO"),0)=0,"",IFERROR(GETPIVOTDATA("Cantidad",'TD AVANCE'!$B$121,"SC",$B87,"PART",C$73),0)-IFERROR(GETPIVOTDATA("Cantidad",'TD AVANCE'!$B$121,"SC",$B87,"PART",C$73,"ESTADO","CERRADO"),0))</f>
        <v/>
      </c>
      <c r="D87" s="34" t="str">
        <f>IF(IFERROR(GETPIVOTDATA("Cantidad",'TD AVANCE'!$B$121,"SC",$B87,"PART",C$73,"ESTADO","CERRADO"),0)=0,"",IFERROR(GETPIVOTDATA("Cantidad",'TD AVANCE'!$B$121,"SC",$B87,"PART",C$73,"ESTADO","CERRADO"),0))</f>
        <v/>
      </c>
      <c r="E87" s="34" t="str">
        <f>IF(IFERROR(GETPIVOTDATA("Cantidad",'TD AVANCE'!$B$121,"SC",$B87,"PART",E$73),0)-IFERROR(GETPIVOTDATA("Cantidad",'TD AVANCE'!$B$121,"SC",$B87,"PART",E$73,"ESTADO","CERRADO"),0)=0,"",IFERROR(GETPIVOTDATA("Cantidad",'TD AVANCE'!$B$121,"SC",$B87,"PART",E$73),0)-IFERROR(GETPIVOTDATA("Cantidad",'TD AVANCE'!$B$121,"SC",$B87,"PART",E$73,"ESTADO","CERRADO"),0))</f>
        <v/>
      </c>
      <c r="F87" s="34" t="str">
        <f>IF(IFERROR(GETPIVOTDATA("Cantidad",'TD AVANCE'!$B$121,"SC",$B87,"PART",E$73,"ESTADO","CERRADO"),0)=0,"",IFERROR(GETPIVOTDATA("Cantidad",'TD AVANCE'!$B$121,"SC",$B87,"PART",E$73,"ESTADO","CERRADO"),0))</f>
        <v/>
      </c>
      <c r="G87" s="34" t="str">
        <f>IF(IFERROR(GETPIVOTDATA("Cantidad",'TD AVANCE'!$B$121,"SC",$B87,"PART",G$73),0)-IFERROR(GETPIVOTDATA("Cantidad",'TD AVANCE'!$B$121,"SC",$B87,"PART",G$73,"ESTADO","CERRADO"),0)=0,"",IFERROR(GETPIVOTDATA("Cantidad",'TD AVANCE'!$B$121,"SC",$B87,"PART",G$73),0)-IFERROR(GETPIVOTDATA("Cantidad",'TD AVANCE'!$B$121,"SC",$B87,"PART",G$73,"ESTADO","CERRADO"),0))</f>
        <v/>
      </c>
      <c r="H87" s="34" t="str">
        <f>IF(IFERROR(GETPIVOTDATA("Cantidad",'TD AVANCE'!$B$121,"SC",$B87,"PART",G$73,"ESTADO","CERRADO"),0)=0,"",IFERROR(GETPIVOTDATA("Cantidad",'TD AVANCE'!$B$121,"SC",$B87,"PART",G$73,"ESTADO","CERRADO"),0))</f>
        <v/>
      </c>
      <c r="I87" s="34" t="str">
        <f>IF(IFERROR(GETPIVOTDATA("Cantidad",'TD AVANCE'!$B$121,"SC",$B87,"PART",I$73),0)-IFERROR(GETPIVOTDATA("Cantidad",'TD AVANCE'!$B$121,"SC",$B87,"PART",I$73,"ESTADO","CERRADO"),0)=0,"",IFERROR(GETPIVOTDATA("Cantidad",'TD AVANCE'!$B$121,"SC",$B87,"PART",I$73),0)-IFERROR(GETPIVOTDATA("Cantidad",'TD AVANCE'!$B$121,"SC",$B87,"PART",I$73,"ESTADO","CERRADO"),0))</f>
        <v/>
      </c>
      <c r="J87" s="34" t="str">
        <f>IF(IFERROR(GETPIVOTDATA("Cantidad",'TD AVANCE'!$B$121,"SC",$B87,"PART",I$73,"ESTADO","CERRADO"),0)=0,"",IFERROR(GETPIVOTDATA("Cantidad",'TD AVANCE'!$B$121,"SC",$B87,"PART",I$73,"ESTADO","CERRADO"),0))</f>
        <v/>
      </c>
      <c r="K87" s="34" t="str">
        <f>IF(IFERROR(GETPIVOTDATA("Cantidad",'TD AVANCE'!$B$121,"SC",$B87,"PART",K$73),0)-IFERROR(GETPIVOTDATA("Cantidad",'TD AVANCE'!$B$121,"SC",$B87,"PART",K$73,"ESTADO","CERRADO"),0)=0,"",IFERROR(GETPIVOTDATA("Cantidad",'TD AVANCE'!$B$121,"SC",$B87,"PART",K$73),0)-IFERROR(GETPIVOTDATA("Cantidad",'TD AVANCE'!$B$121,"SC",$B87,"PART",K$73,"ESTADO","CERRADO"),0))</f>
        <v/>
      </c>
      <c r="L87" s="34" t="str">
        <f>IF(IFERROR(GETPIVOTDATA("Cantidad",'TD AVANCE'!$B$121,"SC",$B87,"PART",K$73,"ESTADO","CERRADO"),0)=0,"",IFERROR(GETPIVOTDATA("Cantidad",'TD AVANCE'!$B$121,"SC",$B87,"PART",K$73,"ESTADO","CERRADO"),0))</f>
        <v/>
      </c>
      <c r="M87" s="34" t="str">
        <f>IF(IFERROR(GETPIVOTDATA("Cantidad",'TD AVANCE'!$B$121,"SC",$B87,"PART",M$73),0)-IFERROR(GETPIVOTDATA("Cantidad",'TD AVANCE'!$B$121,"SC",$B87,"PART",M$73,"ESTADO","CERRADO"),0)=0,"",IFERROR(GETPIVOTDATA("Cantidad",'TD AVANCE'!$B$121,"SC",$B87,"PART",M$73),0)-IFERROR(GETPIVOTDATA("Cantidad",'TD AVANCE'!$B$121,"SC",$B87,"PART",M$73,"ESTADO","CERRADO"),0))</f>
        <v/>
      </c>
      <c r="N87" s="34" t="str">
        <f>IF(IFERROR(GETPIVOTDATA("Cantidad",'TD AVANCE'!$B$121,"SC",$B87,"PART",M$73,"ESTADO","CERRADO"),0)=0,"",IFERROR(GETPIVOTDATA("Cantidad",'TD AVANCE'!$B$121,"SC",$B87,"PART",M$73,"ESTADO","CERRADO"),0))</f>
        <v/>
      </c>
      <c r="O87" s="34" t="str">
        <f>IF(IFERROR(GETPIVOTDATA("Cantidad",'TD AVANCE'!$B$121,"SC",$B87,"PART",O$73),0)-IFERROR(GETPIVOTDATA("Cantidad",'TD AVANCE'!$B$121,"SC",$B87,"PART",O$73,"ESTADO","CERRADO"),0)=0,"",IFERROR(GETPIVOTDATA("Cantidad",'TD AVANCE'!$B$121,"SC",$B87,"PART",O$73),0)-IFERROR(GETPIVOTDATA("Cantidad",'TD AVANCE'!$B$121,"SC",$B87,"PART",O$73,"ESTADO","CERRADO"),0))</f>
        <v/>
      </c>
      <c r="P87" s="34" t="str">
        <f>IF(IFERROR(GETPIVOTDATA("Cantidad",'TD AVANCE'!$B$121,"SC",$B87,"PART",O$73,"ESTADO","CERRADO"),0)=0,"",IFERROR(GETPIVOTDATA("Cantidad",'TD AVANCE'!$B$121,"SC",$B87,"PART",O$73,"ESTADO","CERRADO"),0))</f>
        <v/>
      </c>
      <c r="Q87" s="34">
        <f>IF(IFERROR(GETPIVOTDATA("Cantidad",'TD AVANCE'!$B$121,"SC",$B87,"PART",Q$73),0)-IFERROR(GETPIVOTDATA("Cantidad",'TD AVANCE'!$B$121,"SC",$B87,"PART",Q$73,"ESTADO","CERRADO"),0)=0,"",IFERROR(GETPIVOTDATA("Cantidad",'TD AVANCE'!$B$121,"SC",$B87,"PART",Q$73),0)-IFERROR(GETPIVOTDATA("Cantidad",'TD AVANCE'!$B$121,"SC",$B87,"PART",Q$73,"ESTADO","CERRADO"),0))</f>
        <v>1</v>
      </c>
      <c r="R87" s="34">
        <f>IF(IFERROR(GETPIVOTDATA("Cantidad",'TD AVANCE'!$B$121,"SC",$B87,"PART",Q$73,"ESTADO","CERRADO"),0)=0,"",IFERROR(GETPIVOTDATA("Cantidad",'TD AVANCE'!$B$121,"SC",$B87,"PART",Q$73,"ESTADO","CERRADO"),0))</f>
        <v>6</v>
      </c>
      <c r="S87" s="34" t="str">
        <f>IF(IFERROR(GETPIVOTDATA("Cantidad",'TD AVANCE'!$B$121,"SC",$B87,"PART",S$73),0)-IFERROR(GETPIVOTDATA("Cantidad",'TD AVANCE'!$B$121,"SC",$B87,"PART",S$73,"ESTADO","CERRADO"),0)=0,"",IFERROR(GETPIVOTDATA("Cantidad",'TD AVANCE'!$B$121,"SC",$B87,"PART",S$73),0)-IFERROR(GETPIVOTDATA("Cantidad",'TD AVANCE'!$B$121,"SC",$B87,"PART",S$73,"ESTADO","CERRADO"),0))</f>
        <v/>
      </c>
      <c r="T87" s="34" t="str">
        <f>IF(IFERROR(GETPIVOTDATA("Cantidad",'TD AVANCE'!$B$121,"SC",$B87,"PART",S$73,"ESTADO","CERRADO"),0)=0,"",IFERROR(GETPIVOTDATA("Cantidad",'TD AVANCE'!$B$121,"SC",$B87,"PART",S$73,"ESTADO","CERRADO"),0))</f>
        <v/>
      </c>
      <c r="U87" s="34" t="str">
        <f>IF(IFERROR(GETPIVOTDATA("Cantidad",'TD AVANCE'!$B$121,"SC",$B87,"PART",U$73),0)-IFERROR(GETPIVOTDATA("Cantidad",'TD AVANCE'!$B$121,"SC",$B87,"PART",U$73,"ESTADO","CERRADO"),0)=0,"",IFERROR(GETPIVOTDATA("Cantidad",'TD AVANCE'!$B$121,"SC",$B87,"PART",U$73),0)-IFERROR(GETPIVOTDATA("Cantidad",'TD AVANCE'!$B$121,"SC",$B87,"PART",U$73,"ESTADO","CERRADO"),0))</f>
        <v/>
      </c>
      <c r="V87" s="34" t="str">
        <f>IF(IFERROR(GETPIVOTDATA("Cantidad",'TD AVANCE'!$B$121,"SC",$B87,"PART",U$73,"ESTADO","CERRADO"),0)=0,"",IFERROR(GETPIVOTDATA("Cantidad",'TD AVANCE'!$B$121,"SC",$B87,"PART",U$73,"ESTADO","CERRADO"),0))</f>
        <v/>
      </c>
      <c r="W87" s="34" t="str">
        <f>IF(IFERROR(GETPIVOTDATA("Cantidad",'TD AVANCE'!$B$121,"SC",$B87,"PART",W$73),0)-IFERROR(GETPIVOTDATA("Cantidad",'TD AVANCE'!$B$121,"SC",$B87,"PART",W$73,"ESTADO","CERRADO"),0)=0,"",IFERROR(GETPIVOTDATA("Cantidad",'TD AVANCE'!$B$121,"SC",$B87,"PART",W$73),0)-IFERROR(GETPIVOTDATA("Cantidad",'TD AVANCE'!$B$121,"SC",$B87,"PART",W$73,"ESTADO","CERRADO"),0))</f>
        <v/>
      </c>
      <c r="X87" s="34" t="str">
        <f>IF(IFERROR(GETPIVOTDATA("Cantidad",'TD AVANCE'!$B$121,"SC",$B87,"PART",W$73,"ESTADO","CERRADO"),0)=0,"",IFERROR(GETPIVOTDATA("Cantidad",'TD AVANCE'!$B$121,"SC",$B87,"PART",W$73,"ESTADO","CERRADO"),0))</f>
        <v/>
      </c>
      <c r="Y87" s="34" t="str">
        <f>IF(IFERROR(GETPIVOTDATA("Cantidad",'TD AVANCE'!$B$121,"SC",$B87,"PART",Y$73),0)-IFERROR(GETPIVOTDATA("Cantidad",'TD AVANCE'!$B$121,"SC",$B87,"PART",Y$73,"ESTADO","CERRADO"),0)=0,"",IFERROR(GETPIVOTDATA("Cantidad",'TD AVANCE'!$B$121,"SC",$B87,"PART",Y$73),0)-IFERROR(GETPIVOTDATA("Cantidad",'TD AVANCE'!$B$121,"SC",$B87,"PART",Y$73,"ESTADO","CERRADO"),0))</f>
        <v/>
      </c>
      <c r="Z87" s="34" t="str">
        <f>IF(IFERROR(GETPIVOTDATA("Cantidad",'TD AVANCE'!$B$121,"SC",$B87,"PART",Y$73,"ESTADO","CERRADO"),0)=0,"",IFERROR(GETPIVOTDATA("Cantidad",'TD AVANCE'!$B$121,"SC",$B87,"PART",Y$73,"ESTADO","CERRADO"),0))</f>
        <v/>
      </c>
    </row>
    <row r="88" spans="2:26" ht="16" x14ac:dyDescent="0.2">
      <c r="B88" s="35" t="s">
        <v>3389</v>
      </c>
      <c r="C88" s="35" t="str">
        <f>IF(IFERROR(GETPIVOTDATA("Cantidad",'TD AVANCE'!$B$121,"SC",$B88,"PART",C$73),0)-IFERROR(GETPIVOTDATA("Cantidad",'TD AVANCE'!$B$121,"SC",$B88,"PART",C$73,"ESTADO","CERRADO"),0)=0,"",IFERROR(GETPIVOTDATA("Cantidad",'TD AVANCE'!$B$121,"SC",$B88,"PART",C$73),0)-IFERROR(GETPIVOTDATA("Cantidad",'TD AVANCE'!$B$121,"SC",$B88,"PART",C$73,"ESTADO","CERRADO"),0))</f>
        <v/>
      </c>
      <c r="D88" s="35" t="str">
        <f>IF(IFERROR(GETPIVOTDATA("Cantidad",'TD AVANCE'!$B$121,"SC",$B88,"PART",C$73,"ESTADO","CERRADO"),0)=0,"",IFERROR(GETPIVOTDATA("Cantidad",'TD AVANCE'!$B$121,"SC",$B88,"PART",C$73,"ESTADO","CERRADO"),0))</f>
        <v/>
      </c>
      <c r="E88" s="35" t="str">
        <f>IF(IFERROR(GETPIVOTDATA("Cantidad",'TD AVANCE'!$B$121,"SC",$B88,"PART",E$73),0)-IFERROR(GETPIVOTDATA("Cantidad",'TD AVANCE'!$B$121,"SC",$B88,"PART",E$73,"ESTADO","CERRADO"),0)=0,"",IFERROR(GETPIVOTDATA("Cantidad",'TD AVANCE'!$B$121,"SC",$B88,"PART",E$73),0)-IFERROR(GETPIVOTDATA("Cantidad",'TD AVANCE'!$B$121,"SC",$B88,"PART",E$73,"ESTADO","CERRADO"),0))</f>
        <v/>
      </c>
      <c r="F88" s="35" t="str">
        <f>IF(IFERROR(GETPIVOTDATA("Cantidad",'TD AVANCE'!$B$121,"SC",$B88,"PART",E$73,"ESTADO","CERRADO"),0)=0,"",IFERROR(GETPIVOTDATA("Cantidad",'TD AVANCE'!$B$121,"SC",$B88,"PART",E$73,"ESTADO","CERRADO"),0))</f>
        <v/>
      </c>
      <c r="G88" s="35" t="str">
        <f>IF(IFERROR(GETPIVOTDATA("Cantidad",'TD AVANCE'!$B$121,"SC",$B88,"PART",G$73),0)-IFERROR(GETPIVOTDATA("Cantidad",'TD AVANCE'!$B$121,"SC",$B88,"PART",G$73,"ESTADO","CERRADO"),0)=0,"",IFERROR(GETPIVOTDATA("Cantidad",'TD AVANCE'!$B$121,"SC",$B88,"PART",G$73),0)-IFERROR(GETPIVOTDATA("Cantidad",'TD AVANCE'!$B$121,"SC",$B88,"PART",G$73,"ESTADO","CERRADO"),0))</f>
        <v/>
      </c>
      <c r="H88" s="35" t="str">
        <f>IF(IFERROR(GETPIVOTDATA("Cantidad",'TD AVANCE'!$B$121,"SC",$B88,"PART",G$73,"ESTADO","CERRADO"),0)=0,"",IFERROR(GETPIVOTDATA("Cantidad",'TD AVANCE'!$B$121,"SC",$B88,"PART",G$73,"ESTADO","CERRADO"),0))</f>
        <v/>
      </c>
      <c r="I88" s="35" t="str">
        <f>IF(IFERROR(GETPIVOTDATA("Cantidad",'TD AVANCE'!$B$121,"SC",$B88,"PART",I$73),0)-IFERROR(GETPIVOTDATA("Cantidad",'TD AVANCE'!$B$121,"SC",$B88,"PART",I$73,"ESTADO","CERRADO"),0)=0,"",IFERROR(GETPIVOTDATA("Cantidad",'TD AVANCE'!$B$121,"SC",$B88,"PART",I$73),0)-IFERROR(GETPIVOTDATA("Cantidad",'TD AVANCE'!$B$121,"SC",$B88,"PART",I$73,"ESTADO","CERRADO"),0))</f>
        <v/>
      </c>
      <c r="J88" s="35" t="str">
        <f>IF(IFERROR(GETPIVOTDATA("Cantidad",'TD AVANCE'!$B$121,"SC",$B88,"PART",I$73,"ESTADO","CERRADO"),0)=0,"",IFERROR(GETPIVOTDATA("Cantidad",'TD AVANCE'!$B$121,"SC",$B88,"PART",I$73,"ESTADO","CERRADO"),0))</f>
        <v/>
      </c>
      <c r="K88" s="35" t="str">
        <f>IF(IFERROR(GETPIVOTDATA("Cantidad",'TD AVANCE'!$B$121,"SC",$B88,"PART",K$73),0)-IFERROR(GETPIVOTDATA("Cantidad",'TD AVANCE'!$B$121,"SC",$B88,"PART",K$73,"ESTADO","CERRADO"),0)=0,"",IFERROR(GETPIVOTDATA("Cantidad",'TD AVANCE'!$B$121,"SC",$B88,"PART",K$73),0)-IFERROR(GETPIVOTDATA("Cantidad",'TD AVANCE'!$B$121,"SC",$B88,"PART",K$73,"ESTADO","CERRADO"),0))</f>
        <v/>
      </c>
      <c r="L88" s="35" t="str">
        <f>IF(IFERROR(GETPIVOTDATA("Cantidad",'TD AVANCE'!$B$121,"SC",$B88,"PART",K$73,"ESTADO","CERRADO"),0)=0,"",IFERROR(GETPIVOTDATA("Cantidad",'TD AVANCE'!$B$121,"SC",$B88,"PART",K$73,"ESTADO","CERRADO"),0))</f>
        <v/>
      </c>
      <c r="M88" s="35" t="str">
        <f>IF(IFERROR(GETPIVOTDATA("Cantidad",'TD AVANCE'!$B$121,"SC",$B88,"PART",M$73),0)-IFERROR(GETPIVOTDATA("Cantidad",'TD AVANCE'!$B$121,"SC",$B88,"PART",M$73,"ESTADO","CERRADO"),0)=0,"",IFERROR(GETPIVOTDATA("Cantidad",'TD AVANCE'!$B$121,"SC",$B88,"PART",M$73),0)-IFERROR(GETPIVOTDATA("Cantidad",'TD AVANCE'!$B$121,"SC",$B88,"PART",M$73,"ESTADO","CERRADO"),0))</f>
        <v/>
      </c>
      <c r="N88" s="35" t="str">
        <f>IF(IFERROR(GETPIVOTDATA("Cantidad",'TD AVANCE'!$B$121,"SC",$B88,"PART",M$73,"ESTADO","CERRADO"),0)=0,"",IFERROR(GETPIVOTDATA("Cantidad",'TD AVANCE'!$B$121,"SC",$B88,"PART",M$73,"ESTADO","CERRADO"),0))</f>
        <v/>
      </c>
      <c r="O88" s="35" t="str">
        <f>IF(IFERROR(GETPIVOTDATA("Cantidad",'TD AVANCE'!$B$121,"SC",$B88,"PART",O$73),0)-IFERROR(GETPIVOTDATA("Cantidad",'TD AVANCE'!$B$121,"SC",$B88,"PART",O$73,"ESTADO","CERRADO"),0)=0,"",IFERROR(GETPIVOTDATA("Cantidad",'TD AVANCE'!$B$121,"SC",$B88,"PART",O$73),0)-IFERROR(GETPIVOTDATA("Cantidad",'TD AVANCE'!$B$121,"SC",$B88,"PART",O$73,"ESTADO","CERRADO"),0))</f>
        <v/>
      </c>
      <c r="P88" s="35" t="str">
        <f>IF(IFERROR(GETPIVOTDATA("Cantidad",'TD AVANCE'!$B$121,"SC",$B88,"PART",O$73,"ESTADO","CERRADO"),0)=0,"",IFERROR(GETPIVOTDATA("Cantidad",'TD AVANCE'!$B$121,"SC",$B88,"PART",O$73,"ESTADO","CERRADO"),0))</f>
        <v/>
      </c>
      <c r="Q88" s="35">
        <f>IF(IFERROR(GETPIVOTDATA("Cantidad",'TD AVANCE'!$B$121,"SC",$B88,"PART",Q$73),0)-IFERROR(GETPIVOTDATA("Cantidad",'TD AVANCE'!$B$121,"SC",$B88,"PART",Q$73,"ESTADO","CERRADO"),0)=0,"",IFERROR(GETPIVOTDATA("Cantidad",'TD AVANCE'!$B$121,"SC",$B88,"PART",Q$73),0)-IFERROR(GETPIVOTDATA("Cantidad",'TD AVANCE'!$B$121,"SC",$B88,"PART",Q$73,"ESTADO","CERRADO"),0))</f>
        <v>54</v>
      </c>
      <c r="R88" s="35">
        <f>IF(IFERROR(GETPIVOTDATA("Cantidad",'TD AVANCE'!$B$121,"SC",$B88,"PART",Q$73,"ESTADO","CERRADO"),0)=0,"",IFERROR(GETPIVOTDATA("Cantidad",'TD AVANCE'!$B$121,"SC",$B88,"PART",Q$73,"ESTADO","CERRADO"),0))</f>
        <v>4</v>
      </c>
      <c r="S88" s="35" t="str">
        <f>IF(IFERROR(GETPIVOTDATA("Cantidad",'TD AVANCE'!$B$121,"SC",$B88,"PART",S$73),0)-IFERROR(GETPIVOTDATA("Cantidad",'TD AVANCE'!$B$121,"SC",$B88,"PART",S$73,"ESTADO","CERRADO"),0)=0,"",IFERROR(GETPIVOTDATA("Cantidad",'TD AVANCE'!$B$121,"SC",$B88,"PART",S$73),0)-IFERROR(GETPIVOTDATA("Cantidad",'TD AVANCE'!$B$121,"SC",$B88,"PART",S$73,"ESTADO","CERRADO"),0))</f>
        <v/>
      </c>
      <c r="T88" s="35" t="str">
        <f>IF(IFERROR(GETPIVOTDATA("Cantidad",'TD AVANCE'!$B$121,"SC",$B88,"PART",S$73,"ESTADO","CERRADO"),0)=0,"",IFERROR(GETPIVOTDATA("Cantidad",'TD AVANCE'!$B$121,"SC",$B88,"PART",S$73,"ESTADO","CERRADO"),0))</f>
        <v/>
      </c>
      <c r="U88" s="35" t="str">
        <f>IF(IFERROR(GETPIVOTDATA("Cantidad",'TD AVANCE'!$B$121,"SC",$B88,"PART",U$73),0)-IFERROR(GETPIVOTDATA("Cantidad",'TD AVANCE'!$B$121,"SC",$B88,"PART",U$73,"ESTADO","CERRADO"),0)=0,"",IFERROR(GETPIVOTDATA("Cantidad",'TD AVANCE'!$B$121,"SC",$B88,"PART",U$73),0)-IFERROR(GETPIVOTDATA("Cantidad",'TD AVANCE'!$B$121,"SC",$B88,"PART",U$73,"ESTADO","CERRADO"),0))</f>
        <v/>
      </c>
      <c r="V88" s="35" t="str">
        <f>IF(IFERROR(GETPIVOTDATA("Cantidad",'TD AVANCE'!$B$121,"SC",$B88,"PART",U$73,"ESTADO","CERRADO"),0)=0,"",IFERROR(GETPIVOTDATA("Cantidad",'TD AVANCE'!$B$121,"SC",$B88,"PART",U$73,"ESTADO","CERRADO"),0))</f>
        <v/>
      </c>
      <c r="W88" s="35" t="str">
        <f>IF(IFERROR(GETPIVOTDATA("Cantidad",'TD AVANCE'!$B$121,"SC",$B88,"PART",W$73),0)-IFERROR(GETPIVOTDATA("Cantidad",'TD AVANCE'!$B$121,"SC",$B88,"PART",W$73,"ESTADO","CERRADO"),0)=0,"",IFERROR(GETPIVOTDATA("Cantidad",'TD AVANCE'!$B$121,"SC",$B88,"PART",W$73),0)-IFERROR(GETPIVOTDATA("Cantidad",'TD AVANCE'!$B$121,"SC",$B88,"PART",W$73,"ESTADO","CERRADO"),0))</f>
        <v/>
      </c>
      <c r="X88" s="35" t="str">
        <f>IF(IFERROR(GETPIVOTDATA("Cantidad",'TD AVANCE'!$B$121,"SC",$B88,"PART",W$73,"ESTADO","CERRADO"),0)=0,"",IFERROR(GETPIVOTDATA("Cantidad",'TD AVANCE'!$B$121,"SC",$B88,"PART",W$73,"ESTADO","CERRADO"),0))</f>
        <v/>
      </c>
      <c r="Y88" s="35" t="str">
        <f>IF(IFERROR(GETPIVOTDATA("Cantidad",'TD AVANCE'!$B$121,"SC",$B88,"PART",Y$73),0)-IFERROR(GETPIVOTDATA("Cantidad",'TD AVANCE'!$B$121,"SC",$B88,"PART",Y$73,"ESTADO","CERRADO"),0)=0,"",IFERROR(GETPIVOTDATA("Cantidad",'TD AVANCE'!$B$121,"SC",$B88,"PART",Y$73),0)-IFERROR(GETPIVOTDATA("Cantidad",'TD AVANCE'!$B$121,"SC",$B88,"PART",Y$73,"ESTADO","CERRADO"),0))</f>
        <v/>
      </c>
      <c r="Z88" s="35" t="str">
        <f>IF(IFERROR(GETPIVOTDATA("Cantidad",'TD AVANCE'!$B$121,"SC",$B88,"PART",Y$73,"ESTADO","CERRADO"),0)=0,"",IFERROR(GETPIVOTDATA("Cantidad",'TD AVANCE'!$B$121,"SC",$B88,"PART",Y$73,"ESTADO","CERRADO"),0))</f>
        <v/>
      </c>
    </row>
    <row r="89" spans="2:26" ht="16" x14ac:dyDescent="0.2">
      <c r="B89" s="34" t="s">
        <v>3386</v>
      </c>
      <c r="C89" s="34" t="str">
        <f>IF(IFERROR(GETPIVOTDATA("Cantidad",'TD AVANCE'!$B$121,"SC",$B89,"PART",C$73),0)-IFERROR(GETPIVOTDATA("Cantidad",'TD AVANCE'!$B$121,"SC",$B89,"PART",C$73,"ESTADO","CERRADO"),0)=0,"",IFERROR(GETPIVOTDATA("Cantidad",'TD AVANCE'!$B$121,"SC",$B89,"PART",C$73),0)-IFERROR(GETPIVOTDATA("Cantidad",'TD AVANCE'!$B$121,"SC",$B89,"PART",C$73,"ESTADO","CERRADO"),0))</f>
        <v/>
      </c>
      <c r="D89" s="34" t="str">
        <f>IF(IFERROR(GETPIVOTDATA("Cantidad",'TD AVANCE'!$B$121,"SC",$B89,"PART",C$73,"ESTADO","CERRADO"),0)=0,"",IFERROR(GETPIVOTDATA("Cantidad",'TD AVANCE'!$B$121,"SC",$B89,"PART",C$73,"ESTADO","CERRADO"),0))</f>
        <v/>
      </c>
      <c r="E89" s="34" t="str">
        <f>IF(IFERROR(GETPIVOTDATA("Cantidad",'TD AVANCE'!$B$121,"SC",$B89,"PART",E$73),0)-IFERROR(GETPIVOTDATA("Cantidad",'TD AVANCE'!$B$121,"SC",$B89,"PART",E$73,"ESTADO","CERRADO"),0)=0,"",IFERROR(GETPIVOTDATA("Cantidad",'TD AVANCE'!$B$121,"SC",$B89,"PART",E$73),0)-IFERROR(GETPIVOTDATA("Cantidad",'TD AVANCE'!$B$121,"SC",$B89,"PART",E$73,"ESTADO","CERRADO"),0))</f>
        <v/>
      </c>
      <c r="F89" s="34" t="str">
        <f>IF(IFERROR(GETPIVOTDATA("Cantidad",'TD AVANCE'!$B$121,"SC",$B89,"PART",E$73,"ESTADO","CERRADO"),0)=0,"",IFERROR(GETPIVOTDATA("Cantidad",'TD AVANCE'!$B$121,"SC",$B89,"PART",E$73,"ESTADO","CERRADO"),0))</f>
        <v/>
      </c>
      <c r="G89" s="34" t="str">
        <f>IF(IFERROR(GETPIVOTDATA("Cantidad",'TD AVANCE'!$B$121,"SC",$B89,"PART",G$73),0)-IFERROR(GETPIVOTDATA("Cantidad",'TD AVANCE'!$B$121,"SC",$B89,"PART",G$73,"ESTADO","CERRADO"),0)=0,"",IFERROR(GETPIVOTDATA("Cantidad",'TD AVANCE'!$B$121,"SC",$B89,"PART",G$73),0)-IFERROR(GETPIVOTDATA("Cantidad",'TD AVANCE'!$B$121,"SC",$B89,"PART",G$73,"ESTADO","CERRADO"),0))</f>
        <v/>
      </c>
      <c r="H89" s="34" t="str">
        <f>IF(IFERROR(GETPIVOTDATA("Cantidad",'TD AVANCE'!$B$121,"SC",$B89,"PART",G$73,"ESTADO","CERRADO"),0)=0,"",IFERROR(GETPIVOTDATA("Cantidad",'TD AVANCE'!$B$121,"SC",$B89,"PART",G$73,"ESTADO","CERRADO"),0))</f>
        <v/>
      </c>
      <c r="I89" s="34" t="str">
        <f>IF(IFERROR(GETPIVOTDATA("Cantidad",'TD AVANCE'!$B$121,"SC",$B89,"PART",I$73),0)-IFERROR(GETPIVOTDATA("Cantidad",'TD AVANCE'!$B$121,"SC",$B89,"PART",I$73,"ESTADO","CERRADO"),0)=0,"",IFERROR(GETPIVOTDATA("Cantidad",'TD AVANCE'!$B$121,"SC",$B89,"PART",I$73),0)-IFERROR(GETPIVOTDATA("Cantidad",'TD AVANCE'!$B$121,"SC",$B89,"PART",I$73,"ESTADO","CERRADO"),0))</f>
        <v/>
      </c>
      <c r="J89" s="34" t="str">
        <f>IF(IFERROR(GETPIVOTDATA("Cantidad",'TD AVANCE'!$B$121,"SC",$B89,"PART",I$73,"ESTADO","CERRADO"),0)=0,"",IFERROR(GETPIVOTDATA("Cantidad",'TD AVANCE'!$B$121,"SC",$B89,"PART",I$73,"ESTADO","CERRADO"),0))</f>
        <v/>
      </c>
      <c r="K89" s="34" t="str">
        <f>IF(IFERROR(GETPIVOTDATA("Cantidad",'TD AVANCE'!$B$121,"SC",$B89,"PART",K$73),0)-IFERROR(GETPIVOTDATA("Cantidad",'TD AVANCE'!$B$121,"SC",$B89,"PART",K$73,"ESTADO","CERRADO"),0)=0,"",IFERROR(GETPIVOTDATA("Cantidad",'TD AVANCE'!$B$121,"SC",$B89,"PART",K$73),0)-IFERROR(GETPIVOTDATA("Cantidad",'TD AVANCE'!$B$121,"SC",$B89,"PART",K$73,"ESTADO","CERRADO"),0))</f>
        <v/>
      </c>
      <c r="L89" s="34" t="str">
        <f>IF(IFERROR(GETPIVOTDATA("Cantidad",'TD AVANCE'!$B$121,"SC",$B89,"PART",K$73,"ESTADO","CERRADO"),0)=0,"",IFERROR(GETPIVOTDATA("Cantidad",'TD AVANCE'!$B$121,"SC",$B89,"PART",K$73,"ESTADO","CERRADO"),0))</f>
        <v/>
      </c>
      <c r="M89" s="34" t="str">
        <f>IF(IFERROR(GETPIVOTDATA("Cantidad",'TD AVANCE'!$B$121,"SC",$B89,"PART",M$73),0)-IFERROR(GETPIVOTDATA("Cantidad",'TD AVANCE'!$B$121,"SC",$B89,"PART",M$73,"ESTADO","CERRADO"),0)=0,"",IFERROR(GETPIVOTDATA("Cantidad",'TD AVANCE'!$B$121,"SC",$B89,"PART",M$73),0)-IFERROR(GETPIVOTDATA("Cantidad",'TD AVANCE'!$B$121,"SC",$B89,"PART",M$73,"ESTADO","CERRADO"),0))</f>
        <v/>
      </c>
      <c r="N89" s="34" t="str">
        <f>IF(IFERROR(GETPIVOTDATA("Cantidad",'TD AVANCE'!$B$121,"SC",$B89,"PART",M$73,"ESTADO","CERRADO"),0)=0,"",IFERROR(GETPIVOTDATA("Cantidad",'TD AVANCE'!$B$121,"SC",$B89,"PART",M$73,"ESTADO","CERRADO"),0))</f>
        <v/>
      </c>
      <c r="O89" s="34" t="str">
        <f>IF(IFERROR(GETPIVOTDATA("Cantidad",'TD AVANCE'!$B$121,"SC",$B89,"PART",O$73),0)-IFERROR(GETPIVOTDATA("Cantidad",'TD AVANCE'!$B$121,"SC",$B89,"PART",O$73,"ESTADO","CERRADO"),0)=0,"",IFERROR(GETPIVOTDATA("Cantidad",'TD AVANCE'!$B$121,"SC",$B89,"PART",O$73),0)-IFERROR(GETPIVOTDATA("Cantidad",'TD AVANCE'!$B$121,"SC",$B89,"PART",O$73,"ESTADO","CERRADO"),0))</f>
        <v/>
      </c>
      <c r="P89" s="34" t="str">
        <f>IF(IFERROR(GETPIVOTDATA("Cantidad",'TD AVANCE'!$B$121,"SC",$B89,"PART",O$73,"ESTADO","CERRADO"),0)=0,"",IFERROR(GETPIVOTDATA("Cantidad",'TD AVANCE'!$B$121,"SC",$B89,"PART",O$73,"ESTADO","CERRADO"),0))</f>
        <v/>
      </c>
      <c r="Q89" s="34">
        <f>IF(IFERROR(GETPIVOTDATA("Cantidad",'TD AVANCE'!$B$121,"SC",$B89,"PART",Q$73),0)-IFERROR(GETPIVOTDATA("Cantidad",'TD AVANCE'!$B$121,"SC",$B89,"PART",Q$73,"ESTADO","CERRADO"),0)=0,"",IFERROR(GETPIVOTDATA("Cantidad",'TD AVANCE'!$B$121,"SC",$B89,"PART",Q$73),0)-IFERROR(GETPIVOTDATA("Cantidad",'TD AVANCE'!$B$121,"SC",$B89,"PART",Q$73,"ESTADO","CERRADO"),0))</f>
        <v>5</v>
      </c>
      <c r="R89" s="34">
        <f>IF(IFERROR(GETPIVOTDATA("Cantidad",'TD AVANCE'!$B$121,"SC",$B89,"PART",Q$73,"ESTADO","CERRADO"),0)=0,"",IFERROR(GETPIVOTDATA("Cantidad",'TD AVANCE'!$B$121,"SC",$B89,"PART",Q$73,"ESTADO","CERRADO"),0))</f>
        <v>3</v>
      </c>
      <c r="S89" s="34" t="str">
        <f>IF(IFERROR(GETPIVOTDATA("Cantidad",'TD AVANCE'!$B$121,"SC",$B89,"PART",S$73),0)-IFERROR(GETPIVOTDATA("Cantidad",'TD AVANCE'!$B$121,"SC",$B89,"PART",S$73,"ESTADO","CERRADO"),0)=0,"",IFERROR(GETPIVOTDATA("Cantidad",'TD AVANCE'!$B$121,"SC",$B89,"PART",S$73),0)-IFERROR(GETPIVOTDATA("Cantidad",'TD AVANCE'!$B$121,"SC",$B89,"PART",S$73,"ESTADO","CERRADO"),0))</f>
        <v/>
      </c>
      <c r="T89" s="34" t="str">
        <f>IF(IFERROR(GETPIVOTDATA("Cantidad",'TD AVANCE'!$B$121,"SC",$B89,"PART",S$73,"ESTADO","CERRADO"),0)=0,"",IFERROR(GETPIVOTDATA("Cantidad",'TD AVANCE'!$B$121,"SC",$B89,"PART",S$73,"ESTADO","CERRADO"),0))</f>
        <v/>
      </c>
      <c r="U89" s="34" t="str">
        <f>IF(IFERROR(GETPIVOTDATA("Cantidad",'TD AVANCE'!$B$121,"SC",$B89,"PART",U$73),0)-IFERROR(GETPIVOTDATA("Cantidad",'TD AVANCE'!$B$121,"SC",$B89,"PART",U$73,"ESTADO","CERRADO"),0)=0,"",IFERROR(GETPIVOTDATA("Cantidad",'TD AVANCE'!$B$121,"SC",$B89,"PART",U$73),0)-IFERROR(GETPIVOTDATA("Cantidad",'TD AVANCE'!$B$121,"SC",$B89,"PART",U$73,"ESTADO","CERRADO"),0))</f>
        <v/>
      </c>
      <c r="V89" s="34" t="str">
        <f>IF(IFERROR(GETPIVOTDATA("Cantidad",'TD AVANCE'!$B$121,"SC",$B89,"PART",U$73,"ESTADO","CERRADO"),0)=0,"",IFERROR(GETPIVOTDATA("Cantidad",'TD AVANCE'!$B$121,"SC",$B89,"PART",U$73,"ESTADO","CERRADO"),0))</f>
        <v/>
      </c>
      <c r="W89" s="34" t="str">
        <f>IF(IFERROR(GETPIVOTDATA("Cantidad",'TD AVANCE'!$B$121,"SC",$B89,"PART",W$73),0)-IFERROR(GETPIVOTDATA("Cantidad",'TD AVANCE'!$B$121,"SC",$B89,"PART",W$73,"ESTADO","CERRADO"),0)=0,"",IFERROR(GETPIVOTDATA("Cantidad",'TD AVANCE'!$B$121,"SC",$B89,"PART",W$73),0)-IFERROR(GETPIVOTDATA("Cantidad",'TD AVANCE'!$B$121,"SC",$B89,"PART",W$73,"ESTADO","CERRADO"),0))</f>
        <v/>
      </c>
      <c r="X89" s="34" t="str">
        <f>IF(IFERROR(GETPIVOTDATA("Cantidad",'TD AVANCE'!$B$121,"SC",$B89,"PART",W$73,"ESTADO","CERRADO"),0)=0,"",IFERROR(GETPIVOTDATA("Cantidad",'TD AVANCE'!$B$121,"SC",$B89,"PART",W$73,"ESTADO","CERRADO"),0))</f>
        <v/>
      </c>
      <c r="Y89" s="34" t="str">
        <f>IF(IFERROR(GETPIVOTDATA("Cantidad",'TD AVANCE'!$B$121,"SC",$B89,"PART",Y$73),0)-IFERROR(GETPIVOTDATA("Cantidad",'TD AVANCE'!$B$121,"SC",$B89,"PART",Y$73,"ESTADO","CERRADO"),0)=0,"",IFERROR(GETPIVOTDATA("Cantidad",'TD AVANCE'!$B$121,"SC",$B89,"PART",Y$73),0)-IFERROR(GETPIVOTDATA("Cantidad",'TD AVANCE'!$B$121,"SC",$B89,"PART",Y$73,"ESTADO","CERRADO"),0))</f>
        <v/>
      </c>
      <c r="Z89" s="34" t="str">
        <f>IF(IFERROR(GETPIVOTDATA("Cantidad",'TD AVANCE'!$B$121,"SC",$B89,"PART",Y$73,"ESTADO","CERRADO"),0)=0,"",IFERROR(GETPIVOTDATA("Cantidad",'TD AVANCE'!$B$121,"SC",$B89,"PART",Y$73,"ESTADO","CERRADO"),0))</f>
        <v/>
      </c>
    </row>
    <row r="90" spans="2:26" ht="16" x14ac:dyDescent="0.2">
      <c r="B90" s="35" t="s">
        <v>3405</v>
      </c>
      <c r="C90" s="35" t="str">
        <f>IF(IFERROR(GETPIVOTDATA("Cantidad",'TD AVANCE'!$B$121,"SC","GENERAL","PART",C$73),0)+IFERROR(GETPIVOTDATA("Cantidad",'TD AVANCE'!$B$121,"SC","CAJAS","PART",C$73),0)+IFERROR(GETPIVOTDATA("Cantidad",'TD AVANCE'!$B$121,"SC","SOCIAL","PART",C$73),0)-(IFERROR(GETPIVOTDATA("Cantidad",'TD AVANCE'!$B$121,"SC","GENERAL","PART",C$73,"ESTADO","CERRADO"),0)+IFERROR(GETPIVOTDATA("Cantidad",'TD AVANCE'!$B$121,"SC","CAJAS","PART",C$73,"ESTADO","CERRADO"),0)+IFERROR(GETPIVOTDATA("Cantidad",'TD AVANCE'!$B$121,"SC","SOCIAL","PART",C$73,"ESTADO","CERRADO"),0))=0,"",IFERROR(GETPIVOTDATA("Cantidad",'TD AVANCE'!$B$121,"SC","GENERAL","PART",C$73),0)+IFERROR(GETPIVOTDATA("Cantidad",'TD AVANCE'!$B$121,"SC","CAJAS","PART",C$73),0)+IFERROR(GETPIVOTDATA("Cantidad",'TD AVANCE'!$B$121,"SC","SOCIAL","PART",C$73),0)-(IFERROR(GETPIVOTDATA("Cantidad",'TD AVANCE'!$B$121,"SC","GENERAL","PART",C$73,"ESTADO","CERRADO"),0)+IFERROR(GETPIVOTDATA("Cantidad",'TD AVANCE'!$B$121,"SC","CAJAS","PART",C$73,"ESTADO","CERRADO"),0)+IFERROR(GETPIVOTDATA("Cantidad",'TD AVANCE'!$B$121,"SC","SOCIAL","PART",C$73,"ESTADO","CERRADO"),0)))</f>
        <v/>
      </c>
      <c r="D90" s="35" t="str">
        <f>IF(IFERROR(GETPIVOTDATA("Cantidad",'TD AVANCE'!$B$121,"SC","GENERAL","PART",C$73,"ESTADO","CERRADO"),0)+IFERROR(GETPIVOTDATA("Cantidad",'TD AVANCE'!$B$121,"SC","CAJAS","PART",C$73,"ESTADO","CERRADO"),0)+IFERROR(GETPIVOTDATA("Cantidad",'TD AVANCE'!$B$121,"SC","SOCIAL","PART",C$73,"ESTADO","CERRADO"),0)=0,"",IFERROR(GETPIVOTDATA("Cantidad",'TD AVANCE'!$B$121,"SC","GENERAL","PART",C$73,"ESTADO","CERRADO"),0)+IFERROR(GETPIVOTDATA("Cantidad",'TD AVANCE'!$B$121,"SC","CAJAS","PART",C$73,"ESTADO","CERRADO"),0)+IFERROR(GETPIVOTDATA("Cantidad",'TD AVANCE'!$B$121,"SC","SOCIAL","PART",C$73,"ESTADO","CERRADO"),0))</f>
        <v/>
      </c>
      <c r="E90" s="35" t="str">
        <f>IF(IFERROR(GETPIVOTDATA("Cantidad",'TD AVANCE'!$B$121,"SC","GENERAL","PART",E$73),0)+IFERROR(GETPIVOTDATA("Cantidad",'TD AVANCE'!$B$121,"SC","CAJAS","PART",E$73),0)+IFERROR(GETPIVOTDATA("Cantidad",'TD AVANCE'!$B$121,"SC","SOCIAL","PART",E$73),0)-(IFERROR(GETPIVOTDATA("Cantidad",'TD AVANCE'!$B$121,"SC","GENERAL","PART",E$73,"ESTADO","CERRADO"),0)+IFERROR(GETPIVOTDATA("Cantidad",'TD AVANCE'!$B$121,"SC","CAJAS","PART",E$73,"ESTADO","CERRADO"),0)+IFERROR(GETPIVOTDATA("Cantidad",'TD AVANCE'!$B$121,"SC","SOCIAL","PART",E$73,"ESTADO","CERRADO"),0))=0,"",IFERROR(GETPIVOTDATA("Cantidad",'TD AVANCE'!$B$121,"SC","GENERAL","PART",E$73),0)+IFERROR(GETPIVOTDATA("Cantidad",'TD AVANCE'!$B$121,"SC","CAJAS","PART",E$73),0)+IFERROR(GETPIVOTDATA("Cantidad",'TD AVANCE'!$B$121,"SC","SOCIAL","PART",E$73),0)-(IFERROR(GETPIVOTDATA("Cantidad",'TD AVANCE'!$B$121,"SC","GENERAL","PART",E$73,"ESTADO","CERRADO"),0)+IFERROR(GETPIVOTDATA("Cantidad",'TD AVANCE'!$B$121,"SC","CAJAS","PART",E$73,"ESTADO","CERRADO"),0)+IFERROR(GETPIVOTDATA("Cantidad",'TD AVANCE'!$B$121,"SC","SOCIAL","PART",E$73,"ESTADO","CERRADO"),0)))</f>
        <v/>
      </c>
      <c r="F90" s="35" t="str">
        <f>IF(IFERROR(GETPIVOTDATA("Cantidad",'TD AVANCE'!$B$121,"SC","GENERAL","PART",E$73,"ESTADO","CERRADO"),0)+IFERROR(GETPIVOTDATA("Cantidad",'TD AVANCE'!$B$121,"SC","CAJAS","PART",E$73,"ESTADO","CERRADO"),0)+IFERROR(GETPIVOTDATA("Cantidad",'TD AVANCE'!$B$121,"SC","SOCIAL","PART",E$73,"ESTADO","CERRADO"),0)=0,"",IFERROR(GETPIVOTDATA("Cantidad",'TD AVANCE'!$B$121,"SC","GENERAL","PART",E$73,"ESTADO","CERRADO"),0)+IFERROR(GETPIVOTDATA("Cantidad",'TD AVANCE'!$B$121,"SC","CAJAS","PART",E$73,"ESTADO","CERRADO"),0)+IFERROR(GETPIVOTDATA("Cantidad",'TD AVANCE'!$B$121,"SC","SOCIAL","PART",E$73,"ESTADO","CERRADO"),0))</f>
        <v/>
      </c>
      <c r="G90" s="35">
        <f>IF(IFERROR(GETPIVOTDATA("Cantidad",'TD AVANCE'!$B$121,"SC","GENERAL","PART",G$73),0)+IFERROR(GETPIVOTDATA("Cantidad",'TD AVANCE'!$B$121,"SC","CAJAS","PART",G$73),0)+IFERROR(GETPIVOTDATA("Cantidad",'TD AVANCE'!$B$121,"SC","SOCIAL","PART",G$73),0)-(IFERROR(GETPIVOTDATA("Cantidad",'TD AVANCE'!$B$121,"SC","GENERAL","PART",G$73,"ESTADO","CERRADO"),0)+IFERROR(GETPIVOTDATA("Cantidad",'TD AVANCE'!$B$121,"SC","CAJAS","PART",G$73,"ESTADO","CERRADO"),0)+IFERROR(GETPIVOTDATA("Cantidad",'TD AVANCE'!$B$121,"SC","SOCIAL","PART",G$73,"ESTADO","CERRADO"),0))=0,"",IFERROR(GETPIVOTDATA("Cantidad",'TD AVANCE'!$B$121,"SC","GENERAL","PART",G$73),0)+IFERROR(GETPIVOTDATA("Cantidad",'TD AVANCE'!$B$121,"SC","CAJAS","PART",G$73),0)+IFERROR(GETPIVOTDATA("Cantidad",'TD AVANCE'!$B$121,"SC","SOCIAL","PART",G$73),0)-(IFERROR(GETPIVOTDATA("Cantidad",'TD AVANCE'!$B$121,"SC","GENERAL","PART",G$73,"ESTADO","CERRADO"),0)+IFERROR(GETPIVOTDATA("Cantidad",'TD AVANCE'!$B$121,"SC","CAJAS","PART",G$73,"ESTADO","CERRADO"),0)+IFERROR(GETPIVOTDATA("Cantidad",'TD AVANCE'!$B$121,"SC","SOCIAL","PART",G$73,"ESTADO","CERRADO"),0)))</f>
        <v>5</v>
      </c>
      <c r="H90" s="35">
        <f>IF(IFERROR(GETPIVOTDATA("Cantidad",'TD AVANCE'!$B$121,"SC","GENERAL","PART",G$73,"ESTADO","CERRADO"),0)+IFERROR(GETPIVOTDATA("Cantidad",'TD AVANCE'!$B$121,"SC","CAJAS","PART",G$73,"ESTADO","CERRADO"),0)+IFERROR(GETPIVOTDATA("Cantidad",'TD AVANCE'!$B$121,"SC","SOCIAL","PART",G$73,"ESTADO","CERRADO"),0)=0,"",IFERROR(GETPIVOTDATA("Cantidad",'TD AVANCE'!$B$121,"SC","GENERAL","PART",G$73,"ESTADO","CERRADO"),0)+IFERROR(GETPIVOTDATA("Cantidad",'TD AVANCE'!$B$121,"SC","CAJAS","PART",G$73,"ESTADO","CERRADO"),0)+IFERROR(GETPIVOTDATA("Cantidad",'TD AVANCE'!$B$121,"SC","SOCIAL","PART",G$73,"ESTADO","CERRADO"),0))</f>
        <v>24</v>
      </c>
      <c r="I90" s="35" t="str">
        <f>IF(IFERROR(GETPIVOTDATA("Cantidad",'TD AVANCE'!$B$121,"SC","GENERAL","PART",I$73),0)+IFERROR(GETPIVOTDATA("Cantidad",'TD AVANCE'!$B$121,"SC","CAJAS","PART",I$73),0)+IFERROR(GETPIVOTDATA("Cantidad",'TD AVANCE'!$B$121,"SC","SOCIAL","PART",I$73),0)-(IFERROR(GETPIVOTDATA("Cantidad",'TD AVANCE'!$B$121,"SC","GENERAL","PART",I$73,"ESTADO","CERRADO"),0)+IFERROR(GETPIVOTDATA("Cantidad",'TD AVANCE'!$B$121,"SC","CAJAS","PART",I$73,"ESTADO","CERRADO"),0)+IFERROR(GETPIVOTDATA("Cantidad",'TD AVANCE'!$B$121,"SC","SOCIAL","PART",I$73,"ESTADO","CERRADO"),0))=0,"",IFERROR(GETPIVOTDATA("Cantidad",'TD AVANCE'!$B$121,"SC","GENERAL","PART",I$73),0)+IFERROR(GETPIVOTDATA("Cantidad",'TD AVANCE'!$B$121,"SC","CAJAS","PART",I$73),0)+IFERROR(GETPIVOTDATA("Cantidad",'TD AVANCE'!$B$121,"SC","SOCIAL","PART",I$73),0)-(IFERROR(GETPIVOTDATA("Cantidad",'TD AVANCE'!$B$121,"SC","GENERAL","PART",I$73,"ESTADO","CERRADO"),0)+IFERROR(GETPIVOTDATA("Cantidad",'TD AVANCE'!$B$121,"SC","CAJAS","PART",I$73,"ESTADO","CERRADO"),0)+IFERROR(GETPIVOTDATA("Cantidad",'TD AVANCE'!$B$121,"SC","SOCIAL","PART",I$73,"ESTADO","CERRADO"),0)))</f>
        <v/>
      </c>
      <c r="J90" s="35" t="str">
        <f>IF(IFERROR(GETPIVOTDATA("Cantidad",'TD AVANCE'!$B$121,"SC","GENERAL","PART",I$73,"ESTADO","CERRADO"),0)+IFERROR(GETPIVOTDATA("Cantidad",'TD AVANCE'!$B$121,"SC","CAJAS","PART",I$73,"ESTADO","CERRADO"),0)+IFERROR(GETPIVOTDATA("Cantidad",'TD AVANCE'!$B$121,"SC","SOCIAL","PART",I$73,"ESTADO","CERRADO"),0)=0,"",IFERROR(GETPIVOTDATA("Cantidad",'TD AVANCE'!$B$121,"SC","GENERAL","PART",I$73,"ESTADO","CERRADO"),0)+IFERROR(GETPIVOTDATA("Cantidad",'TD AVANCE'!$B$121,"SC","CAJAS","PART",I$73,"ESTADO","CERRADO"),0)+IFERROR(GETPIVOTDATA("Cantidad",'TD AVANCE'!$B$121,"SC","SOCIAL","PART",I$73,"ESTADO","CERRADO"),0))</f>
        <v/>
      </c>
      <c r="K90" s="35" t="str">
        <f>IF(IFERROR(GETPIVOTDATA("Cantidad",'TD AVANCE'!$B$121,"SC","GENERAL","PART",K$73),0)+IFERROR(GETPIVOTDATA("Cantidad",'TD AVANCE'!$B$121,"SC","CAJAS","PART",K$73),0)+IFERROR(GETPIVOTDATA("Cantidad",'TD AVANCE'!$B$121,"SC","SOCIAL","PART",K$73),0)-(IFERROR(GETPIVOTDATA("Cantidad",'TD AVANCE'!$B$121,"SC","GENERAL","PART",K$73,"ESTADO","CERRADO"),0)+IFERROR(GETPIVOTDATA("Cantidad",'TD AVANCE'!$B$121,"SC","CAJAS","PART",K$73,"ESTADO","CERRADO"),0)+IFERROR(GETPIVOTDATA("Cantidad",'TD AVANCE'!$B$121,"SC","SOCIAL","PART",K$73,"ESTADO","CERRADO"),0))=0,"",IFERROR(GETPIVOTDATA("Cantidad",'TD AVANCE'!$B$121,"SC","GENERAL","PART",K$73),0)+IFERROR(GETPIVOTDATA("Cantidad",'TD AVANCE'!$B$121,"SC","CAJAS","PART",K$73),0)+IFERROR(GETPIVOTDATA("Cantidad",'TD AVANCE'!$B$121,"SC","SOCIAL","PART",K$73),0)-(IFERROR(GETPIVOTDATA("Cantidad",'TD AVANCE'!$B$121,"SC","GENERAL","PART",K$73,"ESTADO","CERRADO"),0)+IFERROR(GETPIVOTDATA("Cantidad",'TD AVANCE'!$B$121,"SC","CAJAS","PART",K$73,"ESTADO","CERRADO"),0)+IFERROR(GETPIVOTDATA("Cantidad",'TD AVANCE'!$B$121,"SC","SOCIAL","PART",K$73,"ESTADO","CERRADO"),0)))</f>
        <v/>
      </c>
      <c r="L90" s="35" t="str">
        <f>IF(IFERROR(GETPIVOTDATA("Cantidad",'TD AVANCE'!$B$121,"SC","GENERAL","PART",K$73,"ESTADO","CERRADO"),0)+IFERROR(GETPIVOTDATA("Cantidad",'TD AVANCE'!$B$121,"SC","CAJAS","PART",K$73,"ESTADO","CERRADO"),0)+IFERROR(GETPIVOTDATA("Cantidad",'TD AVANCE'!$B$121,"SC","SOCIAL","PART",K$73,"ESTADO","CERRADO"),0)=0,"",IFERROR(GETPIVOTDATA("Cantidad",'TD AVANCE'!$B$121,"SC","GENERAL","PART",K$73,"ESTADO","CERRADO"),0)+IFERROR(GETPIVOTDATA("Cantidad",'TD AVANCE'!$B$121,"SC","CAJAS","PART",K$73,"ESTADO","CERRADO"),0)+IFERROR(GETPIVOTDATA("Cantidad",'TD AVANCE'!$B$121,"SC","SOCIAL","PART",K$73,"ESTADO","CERRADO"),0))</f>
        <v/>
      </c>
      <c r="M90" s="35" t="str">
        <f>IF(IFERROR(GETPIVOTDATA("Cantidad",'TD AVANCE'!$B$121,"SC","GENERAL","PART",M$73),0)+IFERROR(GETPIVOTDATA("Cantidad",'TD AVANCE'!$B$121,"SC","CAJAS","PART",M$73),0)+IFERROR(GETPIVOTDATA("Cantidad",'TD AVANCE'!$B$121,"SC","SOCIAL","PART",M$73),0)-(IFERROR(GETPIVOTDATA("Cantidad",'TD AVANCE'!$B$121,"SC","GENERAL","PART",M$73,"ESTADO","CERRADO"),0)+IFERROR(GETPIVOTDATA("Cantidad",'TD AVANCE'!$B$121,"SC","CAJAS","PART",M$73,"ESTADO","CERRADO"),0)+IFERROR(GETPIVOTDATA("Cantidad",'TD AVANCE'!$B$121,"SC","SOCIAL","PART",M$73,"ESTADO","CERRADO"),0))=0,"",IFERROR(GETPIVOTDATA("Cantidad",'TD AVANCE'!$B$121,"SC","GENERAL","PART",M$73),0)+IFERROR(GETPIVOTDATA("Cantidad",'TD AVANCE'!$B$121,"SC","CAJAS","PART",M$73),0)+IFERROR(GETPIVOTDATA("Cantidad",'TD AVANCE'!$B$121,"SC","SOCIAL","PART",M$73),0)-(IFERROR(GETPIVOTDATA("Cantidad",'TD AVANCE'!$B$121,"SC","GENERAL","PART",M$73,"ESTADO","CERRADO"),0)+IFERROR(GETPIVOTDATA("Cantidad",'TD AVANCE'!$B$121,"SC","CAJAS","PART",M$73,"ESTADO","CERRADO"),0)+IFERROR(GETPIVOTDATA("Cantidad",'TD AVANCE'!$B$121,"SC","SOCIAL","PART",M$73,"ESTADO","CERRADO"),0)))</f>
        <v/>
      </c>
      <c r="N90" s="35">
        <f>IF(IFERROR(GETPIVOTDATA("Cantidad",'TD AVANCE'!$B$121,"SC","GENERAL","PART",M$73,"ESTADO","CERRADO"),0)+IFERROR(GETPIVOTDATA("Cantidad",'TD AVANCE'!$B$121,"SC","CAJAS","PART",M$73,"ESTADO","CERRADO"),0)+IFERROR(GETPIVOTDATA("Cantidad",'TD AVANCE'!$B$121,"SC","SOCIAL","PART",M$73,"ESTADO","CERRADO"),0)=0,"",IFERROR(GETPIVOTDATA("Cantidad",'TD AVANCE'!$B$121,"SC","GENERAL","PART",M$73,"ESTADO","CERRADO"),0)+IFERROR(GETPIVOTDATA("Cantidad",'TD AVANCE'!$B$121,"SC","CAJAS","PART",M$73,"ESTADO","CERRADO"),0)+IFERROR(GETPIVOTDATA("Cantidad",'TD AVANCE'!$B$121,"SC","SOCIAL","PART",M$73,"ESTADO","CERRADO"),0))</f>
        <v>2</v>
      </c>
      <c r="O90" s="35" t="str">
        <f>IF(IFERROR(GETPIVOTDATA("Cantidad",'TD AVANCE'!$B$121,"SC","GENERAL","PART",O$73),0)+IFERROR(GETPIVOTDATA("Cantidad",'TD AVANCE'!$B$121,"SC","CAJAS","PART",O$73),0)+IFERROR(GETPIVOTDATA("Cantidad",'TD AVANCE'!$B$121,"SC","SOCIAL","PART",O$73),0)-(IFERROR(GETPIVOTDATA("Cantidad",'TD AVANCE'!$B$121,"SC","GENERAL","PART",O$73,"ESTADO","CERRADO"),0)+IFERROR(GETPIVOTDATA("Cantidad",'TD AVANCE'!$B$121,"SC","CAJAS","PART",O$73,"ESTADO","CERRADO"),0)+IFERROR(GETPIVOTDATA("Cantidad",'TD AVANCE'!$B$121,"SC","SOCIAL","PART",O$73,"ESTADO","CERRADO"),0))=0,"",IFERROR(GETPIVOTDATA("Cantidad",'TD AVANCE'!$B$121,"SC","GENERAL","PART",O$73),0)+IFERROR(GETPIVOTDATA("Cantidad",'TD AVANCE'!$B$121,"SC","CAJAS","PART",O$73),0)+IFERROR(GETPIVOTDATA("Cantidad",'TD AVANCE'!$B$121,"SC","SOCIAL","PART",O$73),0)-(IFERROR(GETPIVOTDATA("Cantidad",'TD AVANCE'!$B$121,"SC","GENERAL","PART",O$73,"ESTADO","CERRADO"),0)+IFERROR(GETPIVOTDATA("Cantidad",'TD AVANCE'!$B$121,"SC","CAJAS","PART",O$73,"ESTADO","CERRADO"),0)+IFERROR(GETPIVOTDATA("Cantidad",'TD AVANCE'!$B$121,"SC","SOCIAL","PART",O$73,"ESTADO","CERRADO"),0)))</f>
        <v/>
      </c>
      <c r="P90" s="35" t="str">
        <f>IF(IFERROR(GETPIVOTDATA("Cantidad",'TD AVANCE'!$B$121,"SC","GENERAL","PART",O$73,"ESTADO","CERRADO"),0)+IFERROR(GETPIVOTDATA("Cantidad",'TD AVANCE'!$B$121,"SC","CAJAS","PART",O$73,"ESTADO","CERRADO"),0)+IFERROR(GETPIVOTDATA("Cantidad",'TD AVANCE'!$B$121,"SC","SOCIAL","PART",O$73,"ESTADO","CERRADO"),0)=0,"",IFERROR(GETPIVOTDATA("Cantidad",'TD AVANCE'!$B$121,"SC","GENERAL","PART",O$73,"ESTADO","CERRADO"),0)+IFERROR(GETPIVOTDATA("Cantidad",'TD AVANCE'!$B$121,"SC","CAJAS","PART",O$73,"ESTADO","CERRADO"),0)+IFERROR(GETPIVOTDATA("Cantidad",'TD AVANCE'!$B$121,"SC","SOCIAL","PART",O$73,"ESTADO","CERRADO"),0))</f>
        <v/>
      </c>
      <c r="Q90" s="35" t="str">
        <f>IF(IFERROR(GETPIVOTDATA("Cantidad",'TD AVANCE'!$B$121,"SC","GENERAL","PART",Q$73),0)+IFERROR(GETPIVOTDATA("Cantidad",'TD AVANCE'!$B$121,"SC","CAJAS","PART",Q$73),0)+IFERROR(GETPIVOTDATA("Cantidad",'TD AVANCE'!$B$121,"SC","SOCIAL","PART",Q$73),0)-(IFERROR(GETPIVOTDATA("Cantidad",'TD AVANCE'!$B$121,"SC","GENERAL","PART",Q$73,"ESTADO","CERRADO"),0)+IFERROR(GETPIVOTDATA("Cantidad",'TD AVANCE'!$B$121,"SC","CAJAS","PART",Q$73,"ESTADO","CERRADO"),0)+IFERROR(GETPIVOTDATA("Cantidad",'TD AVANCE'!$B$121,"SC","SOCIAL","PART",Q$73,"ESTADO","CERRADO"),0))=0,"",IFERROR(GETPIVOTDATA("Cantidad",'TD AVANCE'!$B$121,"SC","GENERAL","PART",Q$73),0)+IFERROR(GETPIVOTDATA("Cantidad",'TD AVANCE'!$B$121,"SC","CAJAS","PART",Q$73),0)+IFERROR(GETPIVOTDATA("Cantidad",'TD AVANCE'!$B$121,"SC","SOCIAL","PART",Q$73),0)-(IFERROR(GETPIVOTDATA("Cantidad",'TD AVANCE'!$B$121,"SC","GENERAL","PART",Q$73,"ESTADO","CERRADO"),0)+IFERROR(GETPIVOTDATA("Cantidad",'TD AVANCE'!$B$121,"SC","CAJAS","PART",Q$73,"ESTADO","CERRADO"),0)+IFERROR(GETPIVOTDATA("Cantidad",'TD AVANCE'!$B$121,"SC","SOCIAL","PART",Q$73,"ESTADO","CERRADO"),0)))</f>
        <v/>
      </c>
      <c r="R90" s="35" t="str">
        <f>IF(IFERROR(GETPIVOTDATA("Cantidad",'TD AVANCE'!$B$121,"SC","GENERAL","PART",Q$73,"ESTADO","CERRADO"),0)+IFERROR(GETPIVOTDATA("Cantidad",'TD AVANCE'!$B$121,"SC","CAJAS","PART",Q$73,"ESTADO","CERRADO"),0)+IFERROR(GETPIVOTDATA("Cantidad",'TD AVANCE'!$B$121,"SC","SOCIAL","PART",Q$73,"ESTADO","CERRADO"),0)=0,"",IFERROR(GETPIVOTDATA("Cantidad",'TD AVANCE'!$B$121,"SC","GENERAL","PART",Q$73,"ESTADO","CERRADO"),0)+IFERROR(GETPIVOTDATA("Cantidad",'TD AVANCE'!$B$121,"SC","CAJAS","PART",Q$73,"ESTADO","CERRADO"),0)+IFERROR(GETPIVOTDATA("Cantidad",'TD AVANCE'!$B$121,"SC","SOCIAL","PART",Q$73,"ESTADO","CERRADO"),0))</f>
        <v/>
      </c>
      <c r="S90" s="35" t="str">
        <f>IF(IFERROR(GETPIVOTDATA("Cantidad",'TD AVANCE'!$B$121,"SC","GENERAL","PART",S$73),0)+IFERROR(GETPIVOTDATA("Cantidad",'TD AVANCE'!$B$121,"SC","CAJAS","PART",S$73),0)+IFERROR(GETPIVOTDATA("Cantidad",'TD AVANCE'!$B$121,"SC","SOCIAL","PART",S$73),0)-(IFERROR(GETPIVOTDATA("Cantidad",'TD AVANCE'!$B$121,"SC","GENERAL","PART",S$73,"ESTADO","CERRADO"),0)+IFERROR(GETPIVOTDATA("Cantidad",'TD AVANCE'!$B$121,"SC","CAJAS","PART",S$73,"ESTADO","CERRADO"),0)+IFERROR(GETPIVOTDATA("Cantidad",'TD AVANCE'!$B$121,"SC","SOCIAL","PART",S$73,"ESTADO","CERRADO"),0))=0,"",IFERROR(GETPIVOTDATA("Cantidad",'TD AVANCE'!$B$121,"SC","GENERAL","PART",S$73),0)+IFERROR(GETPIVOTDATA("Cantidad",'TD AVANCE'!$B$121,"SC","CAJAS","PART",S$73),0)+IFERROR(GETPIVOTDATA("Cantidad",'TD AVANCE'!$B$121,"SC","SOCIAL","PART",S$73),0)-(IFERROR(GETPIVOTDATA("Cantidad",'TD AVANCE'!$B$121,"SC","GENERAL","PART",S$73,"ESTADO","CERRADO"),0)+IFERROR(GETPIVOTDATA("Cantidad",'TD AVANCE'!$B$121,"SC","CAJAS","PART",S$73,"ESTADO","CERRADO"),0)+IFERROR(GETPIVOTDATA("Cantidad",'TD AVANCE'!$B$121,"SC","SOCIAL","PART",S$73,"ESTADO","CERRADO"),0)))</f>
        <v/>
      </c>
      <c r="T90" s="35" t="str">
        <f>IF(IFERROR(GETPIVOTDATA("Cantidad",'TD AVANCE'!$B$121,"SC","GENERAL","PART",S$73,"ESTADO","CERRADO"),0)+IFERROR(GETPIVOTDATA("Cantidad",'TD AVANCE'!$B$121,"SC","CAJAS","PART",S$73,"ESTADO","CERRADO"),0)+IFERROR(GETPIVOTDATA("Cantidad",'TD AVANCE'!$B$121,"SC","SOCIAL","PART",S$73,"ESTADO","CERRADO"),0)=0,"",IFERROR(GETPIVOTDATA("Cantidad",'TD AVANCE'!$B$121,"SC","GENERAL","PART",S$73,"ESTADO","CERRADO"),0)+IFERROR(GETPIVOTDATA("Cantidad",'TD AVANCE'!$B$121,"SC","CAJAS","PART",S$73,"ESTADO","CERRADO"),0)+IFERROR(GETPIVOTDATA("Cantidad",'TD AVANCE'!$B$121,"SC","SOCIAL","PART",S$73,"ESTADO","CERRADO"),0))</f>
        <v/>
      </c>
      <c r="U90" s="35" t="str">
        <f>IF(IFERROR(GETPIVOTDATA("Cantidad",'TD AVANCE'!$B$121,"SC","GENERAL","PART",U$73),0)+IFERROR(GETPIVOTDATA("Cantidad",'TD AVANCE'!$B$121,"SC","CAJAS","PART",U$73),0)+IFERROR(GETPIVOTDATA("Cantidad",'TD AVANCE'!$B$121,"SC","SOCIAL","PART",U$73),0)-(IFERROR(GETPIVOTDATA("Cantidad",'TD AVANCE'!$B$121,"SC","GENERAL","PART",U$73,"ESTADO","CERRADO"),0)+IFERROR(GETPIVOTDATA("Cantidad",'TD AVANCE'!$B$121,"SC","CAJAS","PART",U$73,"ESTADO","CERRADO"),0)+IFERROR(GETPIVOTDATA("Cantidad",'TD AVANCE'!$B$121,"SC","SOCIAL","PART",U$73,"ESTADO","CERRADO"),0))=0,"",IFERROR(GETPIVOTDATA("Cantidad",'TD AVANCE'!$B$121,"SC","GENERAL","PART",U$73),0)+IFERROR(GETPIVOTDATA("Cantidad",'TD AVANCE'!$B$121,"SC","CAJAS","PART",U$73),0)+IFERROR(GETPIVOTDATA("Cantidad",'TD AVANCE'!$B$121,"SC","SOCIAL","PART",U$73),0)-(IFERROR(GETPIVOTDATA("Cantidad",'TD AVANCE'!$B$121,"SC","GENERAL","PART",U$73,"ESTADO","CERRADO"),0)+IFERROR(GETPIVOTDATA("Cantidad",'TD AVANCE'!$B$121,"SC","CAJAS","PART",U$73,"ESTADO","CERRADO"),0)+IFERROR(GETPIVOTDATA("Cantidad",'TD AVANCE'!$B$121,"SC","SOCIAL","PART",U$73,"ESTADO","CERRADO"),0)))</f>
        <v/>
      </c>
      <c r="V90" s="35" t="str">
        <f>IF(IFERROR(GETPIVOTDATA("Cantidad",'TD AVANCE'!$B$121,"SC","GENERAL","PART",U$73,"ESTADO","CERRADO"),0)+IFERROR(GETPIVOTDATA("Cantidad",'TD AVANCE'!$B$121,"SC","CAJAS","PART",U$73,"ESTADO","CERRADO"),0)+IFERROR(GETPIVOTDATA("Cantidad",'TD AVANCE'!$B$121,"SC","SOCIAL","PART",U$73,"ESTADO","CERRADO"),0)=0,"",IFERROR(GETPIVOTDATA("Cantidad",'TD AVANCE'!$B$121,"SC","GENERAL","PART",U$73,"ESTADO","CERRADO"),0)+IFERROR(GETPIVOTDATA("Cantidad",'TD AVANCE'!$B$121,"SC","CAJAS","PART",U$73,"ESTADO","CERRADO"),0)+IFERROR(GETPIVOTDATA("Cantidad",'TD AVANCE'!$B$121,"SC","SOCIAL","PART",U$73,"ESTADO","CERRADO"),0))</f>
        <v/>
      </c>
      <c r="W90" s="35" t="str">
        <f>IF(IFERROR(GETPIVOTDATA("Cantidad",'TD AVANCE'!$B$121,"SC","GENERAL","PART",W$73),0)+IFERROR(GETPIVOTDATA("Cantidad",'TD AVANCE'!$B$121,"SC","CAJAS","PART",W$73),0)+IFERROR(GETPIVOTDATA("Cantidad",'TD AVANCE'!$B$121,"SC","SOCIAL","PART",W$73),0)-(IFERROR(GETPIVOTDATA("Cantidad",'TD AVANCE'!$B$121,"SC","GENERAL","PART",W$73,"ESTADO","CERRADO"),0)+IFERROR(GETPIVOTDATA("Cantidad",'TD AVANCE'!$B$121,"SC","CAJAS","PART",W$73,"ESTADO","CERRADO"),0)+IFERROR(GETPIVOTDATA("Cantidad",'TD AVANCE'!$B$121,"SC","SOCIAL","PART",W$73,"ESTADO","CERRADO"),0))=0,"",IFERROR(GETPIVOTDATA("Cantidad",'TD AVANCE'!$B$121,"SC","GENERAL","PART",W$73),0)+IFERROR(GETPIVOTDATA("Cantidad",'TD AVANCE'!$B$121,"SC","CAJAS","PART",W$73),0)+IFERROR(GETPIVOTDATA("Cantidad",'TD AVANCE'!$B$121,"SC","SOCIAL","PART",W$73),0)-(IFERROR(GETPIVOTDATA("Cantidad",'TD AVANCE'!$B$121,"SC","GENERAL","PART",W$73,"ESTADO","CERRADO"),0)+IFERROR(GETPIVOTDATA("Cantidad",'TD AVANCE'!$B$121,"SC","CAJAS","PART",W$73,"ESTADO","CERRADO"),0)+IFERROR(GETPIVOTDATA("Cantidad",'TD AVANCE'!$B$121,"SC","SOCIAL","PART",W$73,"ESTADO","CERRADO"),0)))</f>
        <v/>
      </c>
      <c r="X90" s="35" t="str">
        <f>IF(IFERROR(GETPIVOTDATA("Cantidad",'TD AVANCE'!$B$121,"SC","GENERAL","PART",W$73,"ESTADO","CERRADO"),0)+IFERROR(GETPIVOTDATA("Cantidad",'TD AVANCE'!$B$121,"SC","CAJAS","PART",W$73,"ESTADO","CERRADO"),0)+IFERROR(GETPIVOTDATA("Cantidad",'TD AVANCE'!$B$121,"SC","SOCIAL","PART",W$73,"ESTADO","CERRADO"),0)=0,"",IFERROR(GETPIVOTDATA("Cantidad",'TD AVANCE'!$B$121,"SC","GENERAL","PART",W$73,"ESTADO","CERRADO"),0)+IFERROR(GETPIVOTDATA("Cantidad",'TD AVANCE'!$B$121,"SC","CAJAS","PART",W$73,"ESTADO","CERRADO"),0)+IFERROR(GETPIVOTDATA("Cantidad",'TD AVANCE'!$B$121,"SC","SOCIAL","PART",W$73,"ESTADO","CERRADO"),0))</f>
        <v/>
      </c>
      <c r="Y90" s="35">
        <f>IF(IFERROR(GETPIVOTDATA("Cantidad",'TD AVANCE'!$B$121,"SC","GENERAL","PART",Y$73),0)+IFERROR(GETPIVOTDATA("Cantidad",'TD AVANCE'!$B$121,"SC","CAJAS","PART",Y$73),0)+IFERROR(GETPIVOTDATA("Cantidad",'TD AVANCE'!$B$121,"SC","SOCIAL","PART",Y$73),0)-(IFERROR(GETPIVOTDATA("Cantidad",'TD AVANCE'!$B$121,"SC","GENERAL","PART",Y$73,"ESTADO","CERRADO"),0)+IFERROR(GETPIVOTDATA("Cantidad",'TD AVANCE'!$B$121,"SC","CAJAS","PART",Y$73,"ESTADO","CERRADO"),0)+IFERROR(GETPIVOTDATA("Cantidad",'TD AVANCE'!$B$121,"SC","SOCIAL","PART",Y$73,"ESTADO","CERRADO"),0))=0,"",IFERROR(GETPIVOTDATA("Cantidad",'TD AVANCE'!$B$121,"SC","GENERAL","PART",Y$73),0)+IFERROR(GETPIVOTDATA("Cantidad",'TD AVANCE'!$B$121,"SC","CAJAS","PART",Y$73),0)+IFERROR(GETPIVOTDATA("Cantidad",'TD AVANCE'!$B$121,"SC","SOCIAL","PART",Y$73),0)-(IFERROR(GETPIVOTDATA("Cantidad",'TD AVANCE'!$B$121,"SC","GENERAL","PART",Y$73,"ESTADO","CERRADO"),0)+IFERROR(GETPIVOTDATA("Cantidad",'TD AVANCE'!$B$121,"SC","CAJAS","PART",Y$73,"ESTADO","CERRADO"),0)+IFERROR(GETPIVOTDATA("Cantidad",'TD AVANCE'!$B$121,"SC","SOCIAL","PART",Y$73,"ESTADO","CERRADO"),0)))</f>
        <v>1</v>
      </c>
      <c r="Z90" s="35">
        <f>IF(IFERROR(GETPIVOTDATA("Cantidad",'TD AVANCE'!$B$121,"SC","GENERAL","PART",Y$73,"ESTADO","CERRADO"),0)+IFERROR(GETPIVOTDATA("Cantidad",'TD AVANCE'!$B$121,"SC","CAJAS","PART",Y$73,"ESTADO","CERRADO"),0)+IFERROR(GETPIVOTDATA("Cantidad",'TD AVANCE'!$B$121,"SC","SOCIAL","PART",Y$73,"ESTADO","CERRADO"),0)=0,"",IFERROR(GETPIVOTDATA("Cantidad",'TD AVANCE'!$B$121,"SC","GENERAL","PART",Y$73,"ESTADO","CERRADO"),0)+IFERROR(GETPIVOTDATA("Cantidad",'TD AVANCE'!$B$121,"SC","CAJAS","PART",Y$73,"ESTADO","CERRADO"),0)+IFERROR(GETPIVOTDATA("Cantidad",'TD AVANCE'!$B$121,"SC","SOCIAL","PART",Y$73,"ESTADO","CERRADO"),0))</f>
        <v>12</v>
      </c>
    </row>
    <row r="91" spans="2:26" ht="16" x14ac:dyDescent="0.2">
      <c r="B91" s="34" t="s">
        <v>3400</v>
      </c>
      <c r="C91" s="34">
        <f>SUM(C75:C90)</f>
        <v>1</v>
      </c>
      <c r="D91" s="34">
        <f>SUM(D75:D90)</f>
        <v>4</v>
      </c>
      <c r="E91" s="34">
        <f>SUM(E75:E90)</f>
        <v>1</v>
      </c>
      <c r="F91" s="34">
        <f>SUM(F75:F90)</f>
        <v>13</v>
      </c>
      <c r="G91" s="34">
        <f>SUM(G75:G90)</f>
        <v>7</v>
      </c>
      <c r="H91" s="34">
        <f>SUM(H75:H90)</f>
        <v>68</v>
      </c>
      <c r="I91" s="34">
        <f>SUM(I75:I90)</f>
        <v>3</v>
      </c>
      <c r="J91" s="34">
        <f>SUM(J75:J90)</f>
        <v>61</v>
      </c>
      <c r="K91" s="34">
        <f>SUM(K75:K90)</f>
        <v>1</v>
      </c>
      <c r="L91" s="34">
        <f>SUM(L75:L90)</f>
        <v>5</v>
      </c>
      <c r="M91" s="34">
        <f>SUM(M75:M90)</f>
        <v>0</v>
      </c>
      <c r="N91" s="34">
        <f>SUM(N75:N90)</f>
        <v>15</v>
      </c>
      <c r="O91" s="34">
        <f>SUM(O75:O90)</f>
        <v>0</v>
      </c>
      <c r="P91" s="34">
        <f>SUM(P75:P90)</f>
        <v>1</v>
      </c>
      <c r="Q91" s="34">
        <f>SUM(Q75:Q90)</f>
        <v>97</v>
      </c>
      <c r="R91" s="34">
        <f>SUM(R75:R90)</f>
        <v>191</v>
      </c>
      <c r="S91" s="34">
        <f>SUM(S75:S90)</f>
        <v>1</v>
      </c>
      <c r="T91" s="34">
        <f>SUM(T75:T90)</f>
        <v>0</v>
      </c>
      <c r="U91" s="34">
        <f>SUM(U75:U90)</f>
        <v>0</v>
      </c>
      <c r="V91" s="34">
        <f>SUM(V75:V90)</f>
        <v>2</v>
      </c>
      <c r="W91" s="34">
        <f>SUM(W75:W90)</f>
        <v>3</v>
      </c>
      <c r="X91" s="34">
        <f>SUM(X75:X90)</f>
        <v>53</v>
      </c>
      <c r="Y91" s="34">
        <f>SUM(Y75:Y90)</f>
        <v>2</v>
      </c>
      <c r="Z91" s="34">
        <f>SUM(Z75:Z90)</f>
        <v>16</v>
      </c>
    </row>
    <row r="94" spans="2:26" x14ac:dyDescent="0.2">
      <c r="C94" s="140" t="s">
        <v>3444</v>
      </c>
      <c r="D94" s="140"/>
      <c r="E94" s="140"/>
      <c r="F94" s="140"/>
      <c r="G94" s="140"/>
      <c r="H94" s="140"/>
      <c r="I94" s="140"/>
    </row>
    <row r="95" spans="2:26" ht="32" x14ac:dyDescent="0.2">
      <c r="C95" s="52" t="s">
        <v>3443</v>
      </c>
      <c r="D95" s="52" t="s">
        <v>3391</v>
      </c>
      <c r="E95" s="52" t="s">
        <v>3425</v>
      </c>
      <c r="F95" s="52" t="s">
        <v>3426</v>
      </c>
      <c r="G95" s="52" t="s">
        <v>3427</v>
      </c>
      <c r="H95" s="52" t="s">
        <v>43</v>
      </c>
      <c r="I95" s="52" t="s">
        <v>3423</v>
      </c>
    </row>
    <row r="96" spans="2:26" ht="16" x14ac:dyDescent="0.2">
      <c r="C96" s="52" t="s">
        <v>3428</v>
      </c>
      <c r="D96" s="52" t="str">
        <f>IF(IFERROR(GETPIVOTDATA("Cantidad",'TD AVANCE'!$B$96,"SC",SUBSTITUTE($C96,"ITS ","SC"),"EXTERNO",D$95),0)=0,"",GETPIVOTDATA("Cantidad",'TD AVANCE'!$B$96,"SC",SUBSTITUTE($C96,"ITS ","SC"),"EXTERNO",D$95))</f>
        <v/>
      </c>
      <c r="E96" s="52" t="str">
        <f>IF(IFERROR(GETPIVOTDATA("Cantidad",'TD AVANCE'!$B$96,"SC",SUBSTITUTE($C96,"ITS ","SC"),"EXTERNO",E$95),0)=0,"",GETPIVOTDATA("Cantidad",'TD AVANCE'!$B$96,"SC",SUBSTITUTE($C96,"ITS ","SC"),"EXTERNO",E$95))</f>
        <v/>
      </c>
      <c r="F96" s="52">
        <f>IF(IFERROR(GETPIVOTDATA("Cantidad",'TD AVANCE'!$B$96,"SC",SUBSTITUTE($C96,"ITS ","SC"),"EXTERNO",F$95),0)=0,"",GETPIVOTDATA("Cantidad",'TD AVANCE'!$B$96,"SC",SUBSTITUTE($C96,"ITS ","SC"),"EXTERNO",F$95))</f>
        <v>3</v>
      </c>
      <c r="G96" s="52" t="str">
        <f>IF(IFERROR(GETPIVOTDATA("Cantidad",'TD AVANCE'!$B$96,"SC",SUBSTITUTE($C96,"ITS ","SC"),"EXTERNO",G$95),0)=0,"",GETPIVOTDATA("Cantidad",'TD AVANCE'!$B$96,"SC",SUBSTITUTE($C96,"ITS ","SC"),"EXTERNO",G$95))</f>
        <v/>
      </c>
      <c r="H96" s="52">
        <f>IF(IFERROR(GETPIVOTDATA("Cantidad",'TD AVANCE'!$B$96,"SC",SUBSTITUTE($C96,"ITS ","SC"),"EXTERNO",H$95),0)=0,"",GETPIVOTDATA("Cantidad",'TD AVANCE'!$B$96,"SC",SUBSTITUTE($C96,"ITS ","SC"),"EXTERNO",H$95))</f>
        <v>16</v>
      </c>
      <c r="I96" s="52">
        <f>SUM(D96:H96)</f>
        <v>19</v>
      </c>
    </row>
    <row r="97" spans="3:9" ht="16" x14ac:dyDescent="0.2">
      <c r="C97" s="52" t="s">
        <v>3429</v>
      </c>
      <c r="D97" s="52" t="str">
        <f>IF(IFERROR(GETPIVOTDATA("Cantidad",'TD AVANCE'!$B$96,"SC",SUBSTITUTE($C97,"ITS ","SC"),"EXTERNO",D$95),0)=0,"",GETPIVOTDATA("Cantidad",'TD AVANCE'!$B$96,"SC",SUBSTITUTE($C97,"ITS ","SC"),"EXTERNO",D$95))</f>
        <v/>
      </c>
      <c r="E97" s="52" t="str">
        <f>IF(IFERROR(GETPIVOTDATA("Cantidad",'TD AVANCE'!$B$96,"SC",SUBSTITUTE($C97,"ITS ","SC"),"EXTERNO",E$95),0)=0,"",GETPIVOTDATA("Cantidad",'TD AVANCE'!$B$96,"SC",SUBSTITUTE($C97,"ITS ","SC"),"EXTERNO",E$95))</f>
        <v/>
      </c>
      <c r="F97" s="52">
        <f>IF(IFERROR(GETPIVOTDATA("Cantidad",'TD AVANCE'!$B$96,"SC",SUBSTITUTE($C97,"ITS ","SC"),"EXTERNO",F$95),0)=0,"",GETPIVOTDATA("Cantidad",'TD AVANCE'!$B$96,"SC",SUBSTITUTE($C97,"ITS ","SC"),"EXTERNO",F$95))</f>
        <v>7</v>
      </c>
      <c r="G97" s="52" t="str">
        <f>IF(IFERROR(GETPIVOTDATA("Cantidad",'TD AVANCE'!$B$96,"SC",SUBSTITUTE($C97,"ITS ","SC"),"EXTERNO",G$95),0)=0,"",GETPIVOTDATA("Cantidad",'TD AVANCE'!$B$96,"SC",SUBSTITUTE($C97,"ITS ","SC"),"EXTERNO",G$95))</f>
        <v/>
      </c>
      <c r="H97" s="52">
        <f>IF(IFERROR(GETPIVOTDATA("Cantidad",'TD AVANCE'!$B$96,"SC",SUBSTITUTE($C97,"ITS ","SC"),"EXTERNO",H$95),0)=0,"",GETPIVOTDATA("Cantidad",'TD AVANCE'!$B$96,"SC",SUBSTITUTE($C97,"ITS ","SC"),"EXTERNO",H$95))</f>
        <v>4</v>
      </c>
      <c r="I97" s="52">
        <f t="shared" ref="I97:I112" si="4">SUM(D97:H97)</f>
        <v>11</v>
      </c>
    </row>
    <row r="98" spans="3:9" ht="16" x14ac:dyDescent="0.2">
      <c r="C98" s="52" t="s">
        <v>3430</v>
      </c>
      <c r="D98" s="52" t="str">
        <f>IF(IFERROR(GETPIVOTDATA("Cantidad",'TD AVANCE'!$B$96,"SC",SUBSTITUTE($C98,"ITS ","SC"),"EXTERNO",D$95),0)=0,"",GETPIVOTDATA("Cantidad",'TD AVANCE'!$B$96,"SC",SUBSTITUTE($C98,"ITS ","SC"),"EXTERNO",D$95))</f>
        <v/>
      </c>
      <c r="E98" s="52" t="str">
        <f>IF(IFERROR(GETPIVOTDATA("Cantidad",'TD AVANCE'!$B$96,"SC",SUBSTITUTE($C98,"ITS ","SC"),"EXTERNO",E$95),0)=0,"",GETPIVOTDATA("Cantidad",'TD AVANCE'!$B$96,"SC",SUBSTITUTE($C98,"ITS ","SC"),"EXTERNO",E$95))</f>
        <v/>
      </c>
      <c r="F98" s="52">
        <f>IF(IFERROR(GETPIVOTDATA("Cantidad",'TD AVANCE'!$B$96,"SC",SUBSTITUTE($C98,"ITS ","SC"),"EXTERNO",F$95),0)=0,"",GETPIVOTDATA("Cantidad",'TD AVANCE'!$B$96,"SC",SUBSTITUTE($C98,"ITS ","SC"),"EXTERNO",F$95))</f>
        <v>58</v>
      </c>
      <c r="G98" s="52" t="str">
        <f>IF(IFERROR(GETPIVOTDATA("Cantidad",'TD AVANCE'!$B$96,"SC",SUBSTITUTE($C98,"ITS ","SC"),"EXTERNO",G$95),0)=0,"",GETPIVOTDATA("Cantidad",'TD AVANCE'!$B$96,"SC",SUBSTITUTE($C98,"ITS ","SC"),"EXTERNO",G$95))</f>
        <v/>
      </c>
      <c r="H98" s="52">
        <f>IF(IFERROR(GETPIVOTDATA("Cantidad",'TD AVANCE'!$B$96,"SC",SUBSTITUTE($C98,"ITS ","SC"),"EXTERNO",H$95),0)=0,"",GETPIVOTDATA("Cantidad",'TD AVANCE'!$B$96,"SC",SUBSTITUTE($C98,"ITS ","SC"),"EXTERNO",H$95))</f>
        <v>2</v>
      </c>
      <c r="I98" s="52">
        <f t="shared" si="4"/>
        <v>60</v>
      </c>
    </row>
    <row r="99" spans="3:9" ht="16" x14ac:dyDescent="0.2">
      <c r="C99" s="52" t="s">
        <v>3431</v>
      </c>
      <c r="D99" s="52" t="str">
        <f>IF(IFERROR(GETPIVOTDATA("Cantidad",'TD AVANCE'!$B$96,"SC",SUBSTITUTE($C99,"ITS ","SC"),"EXTERNO",D$95),0)=0,"",GETPIVOTDATA("Cantidad",'TD AVANCE'!$B$96,"SC",SUBSTITUTE($C99,"ITS ","SC"),"EXTERNO",D$95))</f>
        <v/>
      </c>
      <c r="E99" s="52" t="str">
        <f>IF(IFERROR(GETPIVOTDATA("Cantidad",'TD AVANCE'!$B$96,"SC",SUBSTITUTE($C99,"ITS ","SC"),"EXTERNO",E$95),0)=0,"",GETPIVOTDATA("Cantidad",'TD AVANCE'!$B$96,"SC",SUBSTITUTE($C99,"ITS ","SC"),"EXTERNO",E$95))</f>
        <v/>
      </c>
      <c r="F99" s="52">
        <f>IF(IFERROR(GETPIVOTDATA("Cantidad",'TD AVANCE'!$B$96,"SC",SUBSTITUTE($C99,"ITS ","SC"),"EXTERNO",F$95),0)=0,"",GETPIVOTDATA("Cantidad",'TD AVANCE'!$B$96,"SC",SUBSTITUTE($C99,"ITS ","SC"),"EXTERNO",F$95))</f>
        <v>8</v>
      </c>
      <c r="G99" s="52" t="str">
        <f>IF(IFERROR(GETPIVOTDATA("Cantidad",'TD AVANCE'!$B$96,"SC",SUBSTITUTE($C99,"ITS ","SC"),"EXTERNO",G$95),0)=0,"",GETPIVOTDATA("Cantidad",'TD AVANCE'!$B$96,"SC",SUBSTITUTE($C99,"ITS ","SC"),"EXTERNO",G$95))</f>
        <v/>
      </c>
      <c r="H99" s="52">
        <f>IF(IFERROR(GETPIVOTDATA("Cantidad",'TD AVANCE'!$B$96,"SC",SUBSTITUTE($C99,"ITS ","SC"),"EXTERNO",H$95),0)=0,"",GETPIVOTDATA("Cantidad",'TD AVANCE'!$B$96,"SC",SUBSTITUTE($C99,"ITS ","SC"),"EXTERNO",H$95))</f>
        <v>1</v>
      </c>
      <c r="I99" s="52">
        <f t="shared" si="4"/>
        <v>9</v>
      </c>
    </row>
    <row r="100" spans="3:9" ht="16" x14ac:dyDescent="0.2">
      <c r="C100" s="52" t="s">
        <v>3432</v>
      </c>
      <c r="D100" s="52" t="str">
        <f>IF(IFERROR(GETPIVOTDATA("Cantidad",'TD AVANCE'!$B$96,"SC",SUBSTITUTE($C100,"ITS ","SC"),"EXTERNO",D$95),0)=0,"",GETPIVOTDATA("Cantidad",'TD AVANCE'!$B$96,"SC",SUBSTITUTE($C100,"ITS ","SC"),"EXTERNO",D$95))</f>
        <v/>
      </c>
      <c r="E100" s="52" t="str">
        <f>IF(IFERROR(GETPIVOTDATA("Cantidad",'TD AVANCE'!$B$96,"SC",SUBSTITUTE($C100,"ITS ","SC"),"EXTERNO",E$95),0)=0,"",GETPIVOTDATA("Cantidad",'TD AVANCE'!$B$96,"SC",SUBSTITUTE($C100,"ITS ","SC"),"EXTERNO",E$95))</f>
        <v/>
      </c>
      <c r="F100" s="52">
        <f>IF(IFERROR(GETPIVOTDATA("Cantidad",'TD AVANCE'!$B$96,"SC",SUBSTITUTE($C100,"ITS ","SC"),"EXTERNO",F$95),0)=0,"",GETPIVOTDATA("Cantidad",'TD AVANCE'!$B$96,"SC",SUBSTITUTE($C100,"ITS ","SC"),"EXTERNO",F$95))</f>
        <v>3</v>
      </c>
      <c r="G100" s="52" t="str">
        <f>IF(IFERROR(GETPIVOTDATA("Cantidad",'TD AVANCE'!$B$96,"SC",SUBSTITUTE($C100,"ITS ","SC"),"EXTERNO",G$95),0)=0,"",GETPIVOTDATA("Cantidad",'TD AVANCE'!$B$96,"SC",SUBSTITUTE($C100,"ITS ","SC"),"EXTERNO",G$95))</f>
        <v/>
      </c>
      <c r="H100" s="52">
        <f>IF(IFERROR(GETPIVOTDATA("Cantidad",'TD AVANCE'!$B$96,"SC",SUBSTITUTE($C100,"ITS ","SC"),"EXTERNO",H$95),0)=0,"",GETPIVOTDATA("Cantidad",'TD AVANCE'!$B$96,"SC",SUBSTITUTE($C100,"ITS ","SC"),"EXTERNO",H$95))</f>
        <v>6</v>
      </c>
      <c r="I100" s="52">
        <f t="shared" si="4"/>
        <v>9</v>
      </c>
    </row>
    <row r="101" spans="3:9" ht="16" x14ac:dyDescent="0.2">
      <c r="C101" s="52" t="s">
        <v>3433</v>
      </c>
      <c r="D101" s="52" t="str">
        <f>IF(IFERROR(GETPIVOTDATA("Cantidad",'TD AVANCE'!$B$96,"SC",SUBSTITUTE($C101,"ITS ","SC"),"EXTERNO",D$95),0)=0,"",GETPIVOTDATA("Cantidad",'TD AVANCE'!$B$96,"SC",SUBSTITUTE($C101,"ITS ","SC"),"EXTERNO",D$95))</f>
        <v/>
      </c>
      <c r="E101" s="52" t="str">
        <f>IF(IFERROR(GETPIVOTDATA("Cantidad",'TD AVANCE'!$B$96,"SC",SUBSTITUTE($C101,"ITS ","SC"),"EXTERNO",E$95),0)=0,"",GETPIVOTDATA("Cantidad",'TD AVANCE'!$B$96,"SC",SUBSTITUTE($C101,"ITS ","SC"),"EXTERNO",E$95))</f>
        <v/>
      </c>
      <c r="F101" s="52">
        <f>IF(IFERROR(GETPIVOTDATA("Cantidad",'TD AVANCE'!$B$96,"SC",SUBSTITUTE($C101,"ITS ","SC"),"EXTERNO",F$95),0)=0,"",GETPIVOTDATA("Cantidad",'TD AVANCE'!$B$96,"SC",SUBSTITUTE($C101,"ITS ","SC"),"EXTERNO",F$95))</f>
        <v>2</v>
      </c>
      <c r="G101" s="52" t="str">
        <f>IF(IFERROR(GETPIVOTDATA("Cantidad",'TD AVANCE'!$B$96,"SC",SUBSTITUTE($C101,"ITS ","SC"),"EXTERNO",G$95),0)=0,"",GETPIVOTDATA("Cantidad",'TD AVANCE'!$B$96,"SC",SUBSTITUTE($C101,"ITS ","SC"),"EXTERNO",G$95))</f>
        <v/>
      </c>
      <c r="H101" s="52">
        <f>IF(IFERROR(GETPIVOTDATA("Cantidad",'TD AVANCE'!$B$96,"SC",SUBSTITUTE($C101,"ITS ","SC"),"EXTERNO",H$95),0)=0,"",GETPIVOTDATA("Cantidad",'TD AVANCE'!$B$96,"SC",SUBSTITUTE($C101,"ITS ","SC"),"EXTERNO",H$95))</f>
        <v>4</v>
      </c>
      <c r="I101" s="52">
        <f t="shared" si="4"/>
        <v>6</v>
      </c>
    </row>
    <row r="102" spans="3:9" ht="16" x14ac:dyDescent="0.2">
      <c r="C102" s="52" t="s">
        <v>3434</v>
      </c>
      <c r="D102" s="52" t="str">
        <f>IF(IFERROR(GETPIVOTDATA("Cantidad",'TD AVANCE'!$B$96,"SC",SUBSTITUTE($C102,"ITS ","SC"),"EXTERNO",D$95),0)=0,"",GETPIVOTDATA("Cantidad",'TD AVANCE'!$B$96,"SC",SUBSTITUTE($C102,"ITS ","SC"),"EXTERNO",D$95))</f>
        <v/>
      </c>
      <c r="E102" s="52" t="str">
        <f>IF(IFERROR(GETPIVOTDATA("Cantidad",'TD AVANCE'!$B$96,"SC",SUBSTITUTE($C102,"ITS ","SC"),"EXTERNO",E$95),0)=0,"",GETPIVOTDATA("Cantidad",'TD AVANCE'!$B$96,"SC",SUBSTITUTE($C102,"ITS ","SC"),"EXTERNO",E$95))</f>
        <v/>
      </c>
      <c r="F102" s="52">
        <f>IF(IFERROR(GETPIVOTDATA("Cantidad",'TD AVANCE'!$B$96,"SC",SUBSTITUTE($C102,"ITS ","SC"),"EXTERNO",F$95),0)=0,"",GETPIVOTDATA("Cantidad",'TD AVANCE'!$B$96,"SC",SUBSTITUTE($C102,"ITS ","SC"),"EXTERNO",F$95))</f>
        <v>4</v>
      </c>
      <c r="G102" s="52" t="str">
        <f>IF(IFERROR(GETPIVOTDATA("Cantidad",'TD AVANCE'!$B$96,"SC",SUBSTITUTE($C102,"ITS ","SC"),"EXTERNO",G$95),0)=0,"",GETPIVOTDATA("Cantidad",'TD AVANCE'!$B$96,"SC",SUBSTITUTE($C102,"ITS ","SC"),"EXTERNO",G$95))</f>
        <v/>
      </c>
      <c r="H102" s="52">
        <f>IF(IFERROR(GETPIVOTDATA("Cantidad",'TD AVANCE'!$B$96,"SC",SUBSTITUTE($C102,"ITS ","SC"),"EXTERNO",H$95),0)=0,"",GETPIVOTDATA("Cantidad",'TD AVANCE'!$B$96,"SC",SUBSTITUTE($C102,"ITS ","SC"),"EXTERNO",H$95))</f>
        <v>2</v>
      </c>
      <c r="I102" s="52">
        <f t="shared" si="4"/>
        <v>6</v>
      </c>
    </row>
    <row r="103" spans="3:9" ht="16" x14ac:dyDescent="0.2">
      <c r="C103" s="52" t="s">
        <v>3435</v>
      </c>
      <c r="D103" s="52" t="str">
        <f>IF(IFERROR(GETPIVOTDATA("Cantidad",'TD AVANCE'!$B$96,"SC",SUBSTITUTE($C103,"ITS ","SC"),"EXTERNO",D$95),0)=0,"",GETPIVOTDATA("Cantidad",'TD AVANCE'!$B$96,"SC",SUBSTITUTE($C103,"ITS ","SC"),"EXTERNO",D$95))</f>
        <v/>
      </c>
      <c r="E103" s="52" t="str">
        <f>IF(IFERROR(GETPIVOTDATA("Cantidad",'TD AVANCE'!$B$96,"SC",SUBSTITUTE($C103,"ITS ","SC"),"EXTERNO",E$95),0)=0,"",GETPIVOTDATA("Cantidad",'TD AVANCE'!$B$96,"SC",SUBSTITUTE($C103,"ITS ","SC"),"EXTERNO",E$95))</f>
        <v/>
      </c>
      <c r="F103" s="52">
        <f>IF(IFERROR(GETPIVOTDATA("Cantidad",'TD AVANCE'!$B$96,"SC",SUBSTITUTE($C103,"ITS ","SC"),"EXTERNO",F$95),0)=0,"",GETPIVOTDATA("Cantidad",'TD AVANCE'!$B$96,"SC",SUBSTITUTE($C103,"ITS ","SC"),"EXTERNO",F$95))</f>
        <v>5</v>
      </c>
      <c r="G103" s="52" t="str">
        <f>IF(IFERROR(GETPIVOTDATA("Cantidad",'TD AVANCE'!$B$96,"SC",SUBSTITUTE($C103,"ITS ","SC"),"EXTERNO",G$95),0)=0,"",GETPIVOTDATA("Cantidad",'TD AVANCE'!$B$96,"SC",SUBSTITUTE($C103,"ITS ","SC"),"EXTERNO",G$95))</f>
        <v/>
      </c>
      <c r="H103" s="52">
        <f>IF(IFERROR(GETPIVOTDATA("Cantidad",'TD AVANCE'!$B$96,"SC",SUBSTITUTE($C103,"ITS ","SC"),"EXTERNO",H$95),0)=0,"",GETPIVOTDATA("Cantidad",'TD AVANCE'!$B$96,"SC",SUBSTITUTE($C103,"ITS ","SC"),"EXTERNO",H$95))</f>
        <v>5</v>
      </c>
      <c r="I103" s="52">
        <f t="shared" si="4"/>
        <v>10</v>
      </c>
    </row>
    <row r="104" spans="3:9" ht="16" x14ac:dyDescent="0.2">
      <c r="C104" s="52" t="s">
        <v>3436</v>
      </c>
      <c r="D104" s="52" t="str">
        <f>IF(IFERROR(GETPIVOTDATA("Cantidad",'TD AVANCE'!$B$96,"SC",SUBSTITUTE($C104,"ITS ","SC"),"EXTERNO",D$95),0)=0,"",GETPIVOTDATA("Cantidad",'TD AVANCE'!$B$96,"SC",SUBSTITUTE($C104,"ITS ","SC"),"EXTERNO",D$95))</f>
        <v/>
      </c>
      <c r="E104" s="52" t="str">
        <f>IF(IFERROR(GETPIVOTDATA("Cantidad",'TD AVANCE'!$B$96,"SC",SUBSTITUTE($C104,"ITS ","SC"),"EXTERNO",E$95),0)=0,"",GETPIVOTDATA("Cantidad",'TD AVANCE'!$B$96,"SC",SUBSTITUTE($C104,"ITS ","SC"),"EXTERNO",E$95))</f>
        <v/>
      </c>
      <c r="F104" s="52" t="str">
        <f>IF(IFERROR(GETPIVOTDATA("Cantidad",'TD AVANCE'!$B$96,"SC",SUBSTITUTE($C104,"ITS ","SC"),"EXTERNO",F$95),0)=0,"",GETPIVOTDATA("Cantidad",'TD AVANCE'!$B$96,"SC",SUBSTITUTE($C104,"ITS ","SC"),"EXTERNO",F$95))</f>
        <v/>
      </c>
      <c r="G104" s="52" t="str">
        <f>IF(IFERROR(GETPIVOTDATA("Cantidad",'TD AVANCE'!$B$96,"SC",SUBSTITUTE($C104,"ITS ","SC"),"EXTERNO",G$95),0)=0,"",GETPIVOTDATA("Cantidad",'TD AVANCE'!$B$96,"SC",SUBSTITUTE($C104,"ITS ","SC"),"EXTERNO",G$95))</f>
        <v/>
      </c>
      <c r="H104" s="52">
        <f>IF(IFERROR(GETPIVOTDATA("Cantidad",'TD AVANCE'!$B$96,"SC",SUBSTITUTE($C104,"ITS ","SC"),"EXTERNO",H$95),0)=0,"",GETPIVOTDATA("Cantidad",'TD AVANCE'!$B$96,"SC",SUBSTITUTE($C104,"ITS ","SC"),"EXTERNO",H$95))</f>
        <v>2</v>
      </c>
      <c r="I104" s="52">
        <f t="shared" si="4"/>
        <v>2</v>
      </c>
    </row>
    <row r="105" spans="3:9" ht="16" x14ac:dyDescent="0.2">
      <c r="C105" s="52" t="s">
        <v>3437</v>
      </c>
      <c r="D105" s="52" t="str">
        <f>IF(IFERROR(GETPIVOTDATA("Cantidad",'TD AVANCE'!$B$96,"SC",SUBSTITUTE($C105,"ITS ","SC"),"EXTERNO",D$95),0)=0,"",GETPIVOTDATA("Cantidad",'TD AVANCE'!$B$96,"SC",SUBSTITUTE($C105,"ITS ","SC"),"EXTERNO",D$95))</f>
        <v/>
      </c>
      <c r="E105" s="52">
        <f>IF(IFERROR(GETPIVOTDATA("Cantidad",'TD AVANCE'!$B$96,"SC",SUBSTITUTE($C105,"ITS ","SC"),"EXTERNO",E$95),0)=0,"",GETPIVOTDATA("Cantidad",'TD AVANCE'!$B$96,"SC",SUBSTITUTE($C105,"ITS ","SC"),"EXTERNO",E$95))</f>
        <v>1</v>
      </c>
      <c r="F105" s="52">
        <f>IF(IFERROR(GETPIVOTDATA("Cantidad",'TD AVANCE'!$B$96,"SC",SUBSTITUTE($C105,"ITS ","SC"),"EXTERNO",F$95),0)=0,"",GETPIVOTDATA("Cantidad",'TD AVANCE'!$B$96,"SC",SUBSTITUTE($C105,"ITS ","SC"),"EXTERNO",F$95))</f>
        <v>3</v>
      </c>
      <c r="G105" s="52" t="str">
        <f>IF(IFERROR(GETPIVOTDATA("Cantidad",'TD AVANCE'!$B$96,"SC",SUBSTITUTE($C105,"ITS ","SC"),"EXTERNO",G$95),0)=0,"",GETPIVOTDATA("Cantidad",'TD AVANCE'!$B$96,"SC",SUBSTITUTE($C105,"ITS ","SC"),"EXTERNO",G$95))</f>
        <v/>
      </c>
      <c r="H105" s="52">
        <f>IF(IFERROR(GETPIVOTDATA("Cantidad",'TD AVANCE'!$B$96,"SC",SUBSTITUTE($C105,"ITS ","SC"),"EXTERNO",H$95),0)=0,"",GETPIVOTDATA("Cantidad",'TD AVANCE'!$B$96,"SC",SUBSTITUTE($C105,"ITS ","SC"),"EXTERNO",H$95))</f>
        <v>9</v>
      </c>
      <c r="I105" s="52">
        <f t="shared" si="4"/>
        <v>13</v>
      </c>
    </row>
    <row r="106" spans="3:9" ht="16" x14ac:dyDescent="0.2">
      <c r="C106" s="52" t="s">
        <v>3438</v>
      </c>
      <c r="D106" s="52" t="str">
        <f>IF(IFERROR(GETPIVOTDATA("Cantidad",'TD AVANCE'!$B$96,"SC",SUBSTITUTE($C106,"ITS ","SC"),"EXTERNO",D$95),0)=0,"",GETPIVOTDATA("Cantidad",'TD AVANCE'!$B$96,"SC",SUBSTITUTE($C106,"ITS ","SC"),"EXTERNO",D$95))</f>
        <v/>
      </c>
      <c r="E106" s="52">
        <f>IF(IFERROR(GETPIVOTDATA("Cantidad",'TD AVANCE'!$B$96,"SC",SUBSTITUTE($C106,"ITS ","SC"),"EXTERNO",E$95),0)=0,"",GETPIVOTDATA("Cantidad",'TD AVANCE'!$B$96,"SC",SUBSTITUTE($C106,"ITS ","SC"),"EXTERNO",E$95))</f>
        <v>3</v>
      </c>
      <c r="F106" s="52" t="str">
        <f>IF(IFERROR(GETPIVOTDATA("Cantidad",'TD AVANCE'!$B$96,"SC",SUBSTITUTE($C106,"ITS ","SC"),"EXTERNO",F$95),0)=0,"",GETPIVOTDATA("Cantidad",'TD AVANCE'!$B$96,"SC",SUBSTITUTE($C106,"ITS ","SC"),"EXTERNO",F$95))</f>
        <v/>
      </c>
      <c r="G106" s="52" t="str">
        <f>IF(IFERROR(GETPIVOTDATA("Cantidad",'TD AVANCE'!$B$96,"SC",SUBSTITUTE($C106,"ITS ","SC"),"EXTERNO",G$95),0)=0,"",GETPIVOTDATA("Cantidad",'TD AVANCE'!$B$96,"SC",SUBSTITUTE($C106,"ITS ","SC"),"EXTERNO",G$95))</f>
        <v/>
      </c>
      <c r="H106" s="52">
        <f>IF(IFERROR(GETPIVOTDATA("Cantidad",'TD AVANCE'!$B$96,"SC",SUBSTITUTE($C106,"ITS ","SC"),"EXTERNO",H$95),0)=0,"",GETPIVOTDATA("Cantidad",'TD AVANCE'!$B$96,"SC",SUBSTITUTE($C106,"ITS ","SC"),"EXTERNO",H$95))</f>
        <v>3</v>
      </c>
      <c r="I106" s="52">
        <f t="shared" si="4"/>
        <v>6</v>
      </c>
    </row>
    <row r="107" spans="3:9" ht="16" x14ac:dyDescent="0.2">
      <c r="C107" s="52" t="s">
        <v>3439</v>
      </c>
      <c r="D107" s="52" t="str">
        <f>IF(IFERROR(GETPIVOTDATA("Cantidad",'TD AVANCE'!$B$96,"SC",SUBSTITUTE($C107,"ITS ","SC"),"EXTERNO",D$95),0)=0,"",GETPIVOTDATA("Cantidad",'TD AVANCE'!$B$96,"SC",SUBSTITUTE($C107,"ITS ","SC"),"EXTERNO",D$95))</f>
        <v/>
      </c>
      <c r="E107" s="52" t="str">
        <f>IF(IFERROR(GETPIVOTDATA("Cantidad",'TD AVANCE'!$B$96,"SC",SUBSTITUTE($C107,"ITS ","SC"),"EXTERNO",E$95),0)=0,"",GETPIVOTDATA("Cantidad",'TD AVANCE'!$B$96,"SC",SUBSTITUTE($C107,"ITS ","SC"),"EXTERNO",E$95))</f>
        <v/>
      </c>
      <c r="F107" s="52">
        <f>IF(IFERROR(GETPIVOTDATA("Cantidad",'TD AVANCE'!$B$96,"SC",SUBSTITUTE($C107,"ITS ","SC"),"EXTERNO",F$95),0)=0,"",GETPIVOTDATA("Cantidad",'TD AVANCE'!$B$96,"SC",SUBSTITUTE($C107,"ITS ","SC"),"EXTERNO",F$95))</f>
        <v>9</v>
      </c>
      <c r="G107" s="52" t="str">
        <f>IF(IFERROR(GETPIVOTDATA("Cantidad",'TD AVANCE'!$B$96,"SC",SUBSTITUTE($C107,"ITS ","SC"),"EXTERNO",G$95),0)=0,"",GETPIVOTDATA("Cantidad",'TD AVANCE'!$B$96,"SC",SUBSTITUTE($C107,"ITS ","SC"),"EXTERNO",G$95))</f>
        <v/>
      </c>
      <c r="H107" s="52">
        <f>IF(IFERROR(GETPIVOTDATA("Cantidad",'TD AVANCE'!$B$96,"SC",SUBSTITUTE($C107,"ITS ","SC"),"EXTERNO",H$95),0)=0,"",GETPIVOTDATA("Cantidad",'TD AVANCE'!$B$96,"SC",SUBSTITUTE($C107,"ITS ","SC"),"EXTERNO",H$95))</f>
        <v>2</v>
      </c>
      <c r="I107" s="52">
        <f t="shared" si="4"/>
        <v>11</v>
      </c>
    </row>
    <row r="108" spans="3:9" ht="16" x14ac:dyDescent="0.2">
      <c r="C108" s="52" t="s">
        <v>3440</v>
      </c>
      <c r="D108" s="52" t="str">
        <f>IF(IFERROR(GETPIVOTDATA("Cantidad",'TD AVANCE'!$B$96,"SC",SUBSTITUTE($C108,"ITS ","SC"),"EXTERNO",D$95),0)=0,"",GETPIVOTDATA("Cantidad",'TD AVANCE'!$B$96,"SC",SUBSTITUTE($C108,"ITS ","SC"),"EXTERNO",D$95))</f>
        <v/>
      </c>
      <c r="E108" s="52">
        <f>IF(IFERROR(GETPIVOTDATA("Cantidad",'TD AVANCE'!$B$96,"SC",SUBSTITUTE($C108,"ITS ","SC"),"EXTERNO",E$95),0)=0,"",GETPIVOTDATA("Cantidad",'TD AVANCE'!$B$96,"SC",SUBSTITUTE($C108,"ITS ","SC"),"EXTERNO",E$95))</f>
        <v>2</v>
      </c>
      <c r="F108" s="52">
        <f>IF(IFERROR(GETPIVOTDATA("Cantidad",'TD AVANCE'!$B$96,"SC",SUBSTITUTE($C108,"ITS ","SC"),"EXTERNO",F$95),0)=0,"",GETPIVOTDATA("Cantidad",'TD AVANCE'!$B$96,"SC",SUBSTITUTE($C108,"ITS ","SC"),"EXTERNO",F$95))</f>
        <v>3</v>
      </c>
      <c r="G108" s="52">
        <f>IF(IFERROR(GETPIVOTDATA("Cantidad",'TD AVANCE'!$B$96,"SC",SUBSTITUTE($C108,"ITS ","SC"),"EXTERNO",G$95),0)=0,"",GETPIVOTDATA("Cantidad",'TD AVANCE'!$B$96,"SC",SUBSTITUTE($C108,"ITS ","SC"),"EXTERNO",G$95))</f>
        <v>6</v>
      </c>
      <c r="H108" s="52" t="str">
        <f>IF(IFERROR(GETPIVOTDATA("Cantidad",'TD AVANCE'!$B$96,"SC",SUBSTITUTE($C108,"ITS ","SC"),"EXTERNO",H$95),0)=0,"",GETPIVOTDATA("Cantidad",'TD AVANCE'!$B$96,"SC",SUBSTITUTE($C108,"ITS ","SC"),"EXTERNO",H$95))</f>
        <v/>
      </c>
      <c r="I108" s="52">
        <f t="shared" si="4"/>
        <v>11</v>
      </c>
    </row>
    <row r="109" spans="3:9" ht="16" x14ac:dyDescent="0.2">
      <c r="C109" s="52" t="s">
        <v>3441</v>
      </c>
      <c r="D109" s="52" t="str">
        <f>IF(IFERROR(GETPIVOTDATA("Cantidad",'TD AVANCE'!$B$96,"SC",SUBSTITUTE($C109,"ITS ","SC"),"EXTERNO",D$95),0)=0,"",GETPIVOTDATA("Cantidad",'TD AVANCE'!$B$96,"SC",SUBSTITUTE($C109,"ITS ","SC"),"EXTERNO",D$95))</f>
        <v/>
      </c>
      <c r="E109" s="52" t="str">
        <f>IF(IFERROR(GETPIVOTDATA("Cantidad",'TD AVANCE'!$B$96,"SC",SUBSTITUTE($C109,"ITS ","SC"),"EXTERNO",E$95),0)=0,"",GETPIVOTDATA("Cantidad",'TD AVANCE'!$B$96,"SC",SUBSTITUTE($C109,"ITS ","SC"),"EXTERNO",E$95))</f>
        <v/>
      </c>
      <c r="F109" s="52">
        <f>IF(IFERROR(GETPIVOTDATA("Cantidad",'TD AVANCE'!$B$96,"SC",SUBSTITUTE($C109,"ITS ","SC"),"EXTERNO",F$95),0)=0,"",GETPIVOTDATA("Cantidad",'TD AVANCE'!$B$96,"SC",SUBSTITUTE($C109,"ITS ","SC"),"EXTERNO",F$95))</f>
        <v>9</v>
      </c>
      <c r="G109" s="52" t="str">
        <f>IF(IFERROR(GETPIVOTDATA("Cantidad",'TD AVANCE'!$B$96,"SC",SUBSTITUTE($C109,"ITS ","SC"),"EXTERNO",G$95),0)=0,"",GETPIVOTDATA("Cantidad",'TD AVANCE'!$B$96,"SC",SUBSTITUTE($C109,"ITS ","SC"),"EXTERNO",G$95))</f>
        <v/>
      </c>
      <c r="H109" s="52">
        <f>IF(IFERROR(GETPIVOTDATA("Cantidad",'TD AVANCE'!$B$96,"SC",SUBSTITUTE($C109,"ITS ","SC"),"EXTERNO",H$95),0)=0,"",GETPIVOTDATA("Cantidad",'TD AVANCE'!$B$96,"SC",SUBSTITUTE($C109,"ITS ","SC"),"EXTERNO",H$95))</f>
        <v>14</v>
      </c>
      <c r="I109" s="52">
        <f t="shared" si="4"/>
        <v>23</v>
      </c>
    </row>
    <row r="110" spans="3:9" ht="16" x14ac:dyDescent="0.2">
      <c r="C110" s="52" t="s">
        <v>3442</v>
      </c>
      <c r="D110" s="52" t="str">
        <f>IF(IFERROR(GETPIVOTDATA("Cantidad",'TD AVANCE'!$B$96,"SC",SUBSTITUTE($C110,"ITS ","SC"),"EXTERNO",D$95),0)=0,"",GETPIVOTDATA("Cantidad",'TD AVANCE'!$B$96,"SC",SUBSTITUTE($C110,"ITS ","SC"),"EXTERNO",D$95))</f>
        <v/>
      </c>
      <c r="E110" s="52" t="str">
        <f>IF(IFERROR(GETPIVOTDATA("Cantidad",'TD AVANCE'!$B$96,"SC",SUBSTITUTE($C110,"ITS ","SC"),"EXTERNO",E$95),0)=0,"",GETPIVOTDATA("Cantidad",'TD AVANCE'!$B$96,"SC",SUBSTITUTE($C110,"ITS ","SC"),"EXTERNO",E$95))</f>
        <v/>
      </c>
      <c r="F110" s="52">
        <f>IF(IFERROR(GETPIVOTDATA("Cantidad",'TD AVANCE'!$B$96,"SC",SUBSTITUTE($C110,"ITS ","SC"),"EXTERNO",F$95),0)=0,"",GETPIVOTDATA("Cantidad",'TD AVANCE'!$B$96,"SC",SUBSTITUTE($C110,"ITS ","SC"),"EXTERNO",F$95))</f>
        <v>4</v>
      </c>
      <c r="G110" s="52">
        <f>IF(IFERROR(GETPIVOTDATA("Cantidad",'TD AVANCE'!$B$96,"SC",SUBSTITUTE($C110,"ITS ","SC"),"EXTERNO",G$95),0)=0,"",GETPIVOTDATA("Cantidad",'TD AVANCE'!$B$96,"SC",SUBSTITUTE($C110,"ITS ","SC"),"EXTERNO",G$95))</f>
        <v>2</v>
      </c>
      <c r="H110" s="52">
        <f>IF(IFERROR(GETPIVOTDATA("Cantidad",'TD AVANCE'!$B$96,"SC",SUBSTITUTE($C110,"ITS ","SC"),"EXTERNO",H$95),0)=0,"",GETPIVOTDATA("Cantidad",'TD AVANCE'!$B$96,"SC",SUBSTITUTE($C110,"ITS ","SC"),"EXTERNO",H$95))</f>
        <v>5</v>
      </c>
      <c r="I110" s="52">
        <f t="shared" si="4"/>
        <v>11</v>
      </c>
    </row>
    <row r="111" spans="3:9" ht="16" x14ac:dyDescent="0.2">
      <c r="C111" s="52" t="s">
        <v>3419</v>
      </c>
      <c r="D111" s="52">
        <f>IF(IFERROR(GETPIVOTDATA("Cantidad",'TD AVANCE'!$B$96,"SC","GENERAL","EXTERNO",D$95),0)+IFERROR(GETPIVOTDATA("Cantidad",'TD AVANCE'!$B$96,"SC","SOCIAL","EXTERNO",D$95),0)=0,"",IFERROR(GETPIVOTDATA("Cantidad",'TD AVANCE'!$B$96,"SC","GENERAL","EXTERNO",D$95),0)+IFERROR(GETPIVOTDATA("Cantidad",'TD AVANCE'!$B$96,"SC","SOCIAL","EXTERNO",D$95),0))</f>
        <v>15</v>
      </c>
      <c r="E111" s="52" t="str">
        <f>IF(IFERROR(GETPIVOTDATA("Cantidad",'TD AVANCE'!$B$96,"SC","GENERAL","EXTERNO",E$95),0)+IFERROR(GETPIVOTDATA("Cantidad",'TD AVANCE'!$B$96,"SC","SOCIAL","EXTERNO",E$95),0)=0,"",IFERROR(GETPIVOTDATA("Cantidad",'TD AVANCE'!$B$96,"SC","GENERAL","EXTERNO",E$95),0)+IFERROR(GETPIVOTDATA("Cantidad",'TD AVANCE'!$B$96,"SC","SOCIAL","EXTERNO",E$95),0))</f>
        <v/>
      </c>
      <c r="F111" s="52">
        <f>IF(IFERROR(GETPIVOTDATA("Cantidad",'TD AVANCE'!$B$96,"SC","GENERAL","EXTERNO",F$95),0)+IFERROR(GETPIVOTDATA("Cantidad",'TD AVANCE'!$B$96,"SC","SOCIAL","EXTERNO",F$95),0)=0,"",IFERROR(GETPIVOTDATA("Cantidad",'TD AVANCE'!$B$96,"SC","GENERAL","EXTERNO",F$95),0)+IFERROR(GETPIVOTDATA("Cantidad",'TD AVANCE'!$B$96,"SC","SOCIAL","EXTERNO",F$95),0))</f>
        <v>2</v>
      </c>
      <c r="G111" s="52">
        <f>IF(IFERROR(GETPIVOTDATA("Cantidad",'TD AVANCE'!$B$96,"SC","GENERAL","EXTERNO",G$95),0)+IFERROR(GETPIVOTDATA("Cantidad",'TD AVANCE'!$B$96,"SC","SOCIAL","EXTERNO",G$95),0)=0,"",IFERROR(GETPIVOTDATA("Cantidad",'TD AVANCE'!$B$96,"SC","GENERAL","EXTERNO",G$95),0)+IFERROR(GETPIVOTDATA("Cantidad",'TD AVANCE'!$B$96,"SC","SOCIAL","EXTERNO",G$95),0))</f>
        <v>4</v>
      </c>
      <c r="H111" s="52" t="str">
        <f>IF(IFERROR(GETPIVOTDATA("Cantidad",'TD AVANCE'!$B$96,"SC","GENERAL","EXTERNO",H$95),0)+IFERROR(GETPIVOTDATA("Cantidad",'TD AVANCE'!$B$96,"SC","SOCIAL","EXTERNO",H$95),0)=0,"",IFERROR(GETPIVOTDATA("Cantidad",'TD AVANCE'!$B$96,"SC","GENERAL","EXTERNO",H$95),0)+IFERROR(GETPIVOTDATA("Cantidad",'TD AVANCE'!$B$96,"SC","SOCIAL","EXTERNO",H$95),0))</f>
        <v/>
      </c>
      <c r="I111" s="52">
        <f t="shared" si="4"/>
        <v>21</v>
      </c>
    </row>
    <row r="112" spans="3:9" ht="16" x14ac:dyDescent="0.2">
      <c r="C112" s="52" t="s">
        <v>3423</v>
      </c>
      <c r="D112" s="52">
        <f>SUM(D96:D111)</f>
        <v>15</v>
      </c>
      <c r="E112" s="52">
        <f t="shared" ref="E112:H112" si="5">SUM(E96:E111)</f>
        <v>6</v>
      </c>
      <c r="F112" s="52">
        <f t="shared" si="5"/>
        <v>120</v>
      </c>
      <c r="G112" s="52">
        <f t="shared" si="5"/>
        <v>12</v>
      </c>
      <c r="H112" s="52">
        <f t="shared" si="5"/>
        <v>75</v>
      </c>
      <c r="I112" s="52">
        <f t="shared" si="4"/>
        <v>228</v>
      </c>
    </row>
  </sheetData>
  <mergeCells count="14">
    <mergeCell ref="C94:I94"/>
    <mergeCell ref="W73:X73"/>
    <mergeCell ref="Y73:Z73"/>
    <mergeCell ref="C73:D73"/>
    <mergeCell ref="E73:F73"/>
    <mergeCell ref="G73:H73"/>
    <mergeCell ref="I73:J73"/>
    <mergeCell ref="K73:L73"/>
    <mergeCell ref="M73:N73"/>
    <mergeCell ref="B73:B74"/>
    <mergeCell ref="O73:P73"/>
    <mergeCell ref="Q73:R73"/>
    <mergeCell ref="S73:T73"/>
    <mergeCell ref="U73:V73"/>
  </mergeCells>
  <phoneticPr fontId="4" type="noConversion"/>
  <pageMargins left="0.7" right="0.7" top="0.75" bottom="0.75" header="0.3" footer="0.3"/>
  <ignoredErrors>
    <ignoredError sqref="C47:C57 G47:G64 G66:G69 C21:C34 E27:E30 F21:F36 V21:V36 U27:U36 E31:E34 C58:C64 C35:C36 E35:E36 E21:E26" calculatedColumn="1"/>
  </ignoredErrors>
  <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CFCE-FE0D-403E-9C6F-D6781947BB6D}">
  <dimension ref="A1:AN21"/>
  <sheetViews>
    <sheetView zoomScale="60" zoomScaleNormal="60" workbookViewId="0">
      <selection activeCell="A6" sqref="A6"/>
    </sheetView>
  </sheetViews>
  <sheetFormatPr baseColWidth="10" defaultRowHeight="15" x14ac:dyDescent="0.2"/>
  <cols>
    <col min="1" max="1" width="15.1640625" customWidth="1"/>
    <col min="2" max="2" width="8.83203125" bestFit="1" customWidth="1"/>
    <col min="3" max="3" width="7.5" bestFit="1" customWidth="1"/>
    <col min="4" max="4" width="7.83203125" bestFit="1" customWidth="1"/>
    <col min="5" max="5" width="8.83203125" bestFit="1" customWidth="1"/>
    <col min="6" max="6" width="7.5" bestFit="1" customWidth="1"/>
    <col min="7" max="7" width="7.83203125" bestFit="1" customWidth="1"/>
    <col min="8" max="8" width="8.83203125" bestFit="1" customWidth="1"/>
    <col min="9" max="9" width="7.5" bestFit="1" customWidth="1"/>
    <col min="10" max="10" width="7.83203125" bestFit="1" customWidth="1"/>
    <col min="11" max="11" width="8.83203125" bestFit="1" customWidth="1"/>
    <col min="12" max="12" width="7.5" bestFit="1" customWidth="1"/>
    <col min="13" max="13" width="7.83203125" bestFit="1" customWidth="1"/>
    <col min="14" max="14" width="8.83203125" bestFit="1" customWidth="1"/>
    <col min="15" max="15" width="7.5" bestFit="1" customWidth="1"/>
    <col min="16" max="16" width="7.83203125" bestFit="1" customWidth="1"/>
    <col min="17" max="17" width="8.83203125" bestFit="1" customWidth="1"/>
    <col min="18" max="18" width="7.5" customWidth="1"/>
    <col min="19" max="19" width="7.83203125" bestFit="1" customWidth="1"/>
    <col min="20" max="20" width="8.83203125" bestFit="1" customWidth="1"/>
    <col min="21" max="21" width="7.5" bestFit="1" customWidth="1"/>
    <col min="22" max="22" width="7.83203125" bestFit="1" customWidth="1"/>
    <col min="23" max="23" width="8.83203125" bestFit="1" customWidth="1"/>
    <col min="24" max="24" width="7.5" bestFit="1" customWidth="1"/>
    <col min="25" max="25" width="7.83203125" bestFit="1" customWidth="1"/>
    <col min="26" max="26" width="8.83203125" bestFit="1" customWidth="1"/>
    <col min="27" max="27" width="7.5" bestFit="1" customWidth="1"/>
    <col min="28" max="28" width="7.83203125" bestFit="1" customWidth="1"/>
    <col min="29" max="29" width="8.83203125" bestFit="1" customWidth="1"/>
    <col min="30" max="30" width="7.5" bestFit="1" customWidth="1"/>
    <col min="31" max="31" width="7.83203125" bestFit="1" customWidth="1"/>
    <col min="32" max="34" width="7.83203125" customWidth="1"/>
    <col min="35" max="35" width="8.83203125" bestFit="1" customWidth="1"/>
    <col min="36" max="36" width="7.5" bestFit="1" customWidth="1"/>
    <col min="37" max="37" width="7.83203125" bestFit="1" customWidth="1"/>
    <col min="38" max="38" width="8.83203125" bestFit="1" customWidth="1"/>
    <col min="39" max="39" width="7.5" bestFit="1" customWidth="1"/>
    <col min="40" max="40" width="7.83203125" bestFit="1" customWidth="1"/>
  </cols>
  <sheetData>
    <row r="1" spans="1:40" s="40" customFormat="1" ht="27.5" customHeight="1" x14ac:dyDescent="0.2">
      <c r="A1" s="149" t="s">
        <v>3403</v>
      </c>
      <c r="B1" s="146" t="s">
        <v>1371</v>
      </c>
      <c r="C1" s="147"/>
      <c r="D1" s="148"/>
      <c r="E1" s="146" t="s">
        <v>1297</v>
      </c>
      <c r="F1" s="147"/>
      <c r="G1" s="148"/>
      <c r="H1" s="146" t="s">
        <v>929</v>
      </c>
      <c r="I1" s="147"/>
      <c r="J1" s="148"/>
      <c r="K1" s="146" t="s">
        <v>1314</v>
      </c>
      <c r="L1" s="147"/>
      <c r="M1" s="148"/>
      <c r="N1" s="146" t="s">
        <v>1432</v>
      </c>
      <c r="O1" s="147"/>
      <c r="P1" s="148"/>
      <c r="Q1" s="146" t="s">
        <v>47</v>
      </c>
      <c r="R1" s="147"/>
      <c r="S1" s="148"/>
      <c r="T1" s="143" t="s">
        <v>102</v>
      </c>
      <c r="U1" s="144"/>
      <c r="V1" s="145"/>
      <c r="W1" s="143" t="s">
        <v>41</v>
      </c>
      <c r="X1" s="144"/>
      <c r="Y1" s="145"/>
      <c r="Z1" s="143" t="s">
        <v>1440</v>
      </c>
      <c r="AA1" s="144"/>
      <c r="AB1" s="145"/>
      <c r="AC1" s="143" t="s">
        <v>1452</v>
      </c>
      <c r="AD1" s="144"/>
      <c r="AE1" s="145"/>
      <c r="AF1" s="143" t="s">
        <v>3405</v>
      </c>
      <c r="AG1" s="144"/>
      <c r="AH1" s="145"/>
      <c r="AI1" s="143" t="s">
        <v>1291</v>
      </c>
      <c r="AJ1" s="144"/>
      <c r="AK1" s="145"/>
      <c r="AL1" s="143" t="s">
        <v>1295</v>
      </c>
      <c r="AM1" s="144"/>
      <c r="AN1" s="145"/>
    </row>
    <row r="2" spans="1:40" s="40" customFormat="1" x14ac:dyDescent="0.2">
      <c r="A2" s="150"/>
      <c r="B2" s="41" t="s">
        <v>3413</v>
      </c>
      <c r="C2" s="41" t="s">
        <v>3414</v>
      </c>
      <c r="D2" s="41" t="s">
        <v>3415</v>
      </c>
      <c r="E2" s="41" t="s">
        <v>3413</v>
      </c>
      <c r="F2" s="41" t="s">
        <v>3414</v>
      </c>
      <c r="G2" s="41" t="s">
        <v>3415</v>
      </c>
      <c r="H2" s="41" t="s">
        <v>3413</v>
      </c>
      <c r="I2" s="41" t="s">
        <v>3414</v>
      </c>
      <c r="J2" s="41" t="s">
        <v>3415</v>
      </c>
      <c r="K2" s="41" t="s">
        <v>3413</v>
      </c>
      <c r="L2" s="41" t="s">
        <v>3414</v>
      </c>
      <c r="M2" s="41" t="s">
        <v>3415</v>
      </c>
      <c r="N2" s="41" t="s">
        <v>3413</v>
      </c>
      <c r="O2" s="41" t="s">
        <v>3414</v>
      </c>
      <c r="P2" s="41" t="s">
        <v>3415</v>
      </c>
      <c r="Q2" s="41" t="s">
        <v>3413</v>
      </c>
      <c r="R2" s="41" t="s">
        <v>3414</v>
      </c>
      <c r="S2" s="41" t="s">
        <v>3415</v>
      </c>
      <c r="T2" s="41" t="s">
        <v>3413</v>
      </c>
      <c r="U2" s="41" t="s">
        <v>3414</v>
      </c>
      <c r="V2" s="41" t="s">
        <v>3415</v>
      </c>
      <c r="W2" s="41" t="s">
        <v>3413</v>
      </c>
      <c r="X2" s="41" t="s">
        <v>3414</v>
      </c>
      <c r="Y2" s="41" t="s">
        <v>3415</v>
      </c>
      <c r="Z2" s="41" t="s">
        <v>3413</v>
      </c>
      <c r="AA2" s="41" t="s">
        <v>3414</v>
      </c>
      <c r="AB2" s="41" t="s">
        <v>3415</v>
      </c>
      <c r="AC2" s="41" t="s">
        <v>3413</v>
      </c>
      <c r="AD2" s="41" t="s">
        <v>3414</v>
      </c>
      <c r="AE2" s="41" t="s">
        <v>3415</v>
      </c>
      <c r="AF2" s="41" t="s">
        <v>3413</v>
      </c>
      <c r="AG2" s="41" t="s">
        <v>3414</v>
      </c>
      <c r="AH2" s="41" t="s">
        <v>3415</v>
      </c>
      <c r="AI2" s="41" t="s">
        <v>3413</v>
      </c>
      <c r="AJ2" s="41" t="s">
        <v>3414</v>
      </c>
      <c r="AK2" s="41" t="s">
        <v>3415</v>
      </c>
      <c r="AL2" s="41" t="s">
        <v>3413</v>
      </c>
      <c r="AM2" s="41" t="s">
        <v>3414</v>
      </c>
      <c r="AN2" s="41" t="s">
        <v>3415</v>
      </c>
    </row>
    <row r="3" spans="1:40" s="40" customFormat="1" x14ac:dyDescent="0.2">
      <c r="A3" s="42" t="s">
        <v>3380</v>
      </c>
      <c r="B3" s="43">
        <f t="shared" ref="B3:B18" si="0">C3+D3</f>
        <v>0</v>
      </c>
      <c r="C3" s="44">
        <v>0</v>
      </c>
      <c r="D3" s="46">
        <v>0</v>
      </c>
      <c r="E3" s="43">
        <f t="shared" ref="E3:E18" si="1">F3+G3</f>
        <v>0</v>
      </c>
      <c r="F3" s="44">
        <v>0</v>
      </c>
      <c r="G3" s="46">
        <v>0</v>
      </c>
      <c r="H3" s="43">
        <f t="shared" ref="H3:H19" si="2">I3+J3</f>
        <v>0</v>
      </c>
      <c r="I3" s="44">
        <v>0</v>
      </c>
      <c r="J3" s="46">
        <v>0</v>
      </c>
      <c r="K3" s="43">
        <f t="shared" ref="K3:K19" si="3">L3+M3</f>
        <v>6</v>
      </c>
      <c r="L3" s="44">
        <v>2</v>
      </c>
      <c r="M3" s="46">
        <v>4</v>
      </c>
      <c r="N3" s="43">
        <f t="shared" ref="N3:N19" si="4">O3+P3</f>
        <v>6</v>
      </c>
      <c r="O3" s="44">
        <v>1</v>
      </c>
      <c r="P3" s="46">
        <v>5</v>
      </c>
      <c r="Q3" s="43">
        <f t="shared" ref="Q3:Q19" si="5">R3+S3</f>
        <v>1</v>
      </c>
      <c r="R3" s="44">
        <v>1</v>
      </c>
      <c r="S3" s="46">
        <v>0</v>
      </c>
      <c r="T3" s="43">
        <f t="shared" ref="T3:T19" si="6">U3+V3</f>
        <v>0</v>
      </c>
      <c r="U3" s="44">
        <v>0</v>
      </c>
      <c r="V3" s="46">
        <v>0</v>
      </c>
      <c r="W3" s="43">
        <f t="shared" ref="W3:W19" si="7">X3+Y3</f>
        <v>12</v>
      </c>
      <c r="X3" s="44">
        <v>7</v>
      </c>
      <c r="Y3" s="46">
        <v>5</v>
      </c>
      <c r="Z3" s="43">
        <f t="shared" ref="Z3:Z19" si="8">AA3+AB3</f>
        <v>1</v>
      </c>
      <c r="AA3" s="44">
        <v>1</v>
      </c>
      <c r="AB3" s="46">
        <v>0</v>
      </c>
      <c r="AC3" s="43">
        <f t="shared" ref="AC3:AC19" si="9">AD3+AE3</f>
        <v>1</v>
      </c>
      <c r="AD3" s="44">
        <v>1</v>
      </c>
      <c r="AE3" s="46">
        <v>0</v>
      </c>
      <c r="AF3" s="43">
        <f>AG3+AH3</f>
        <v>21</v>
      </c>
      <c r="AG3" s="44">
        <v>10</v>
      </c>
      <c r="AH3" s="46">
        <v>11</v>
      </c>
      <c r="AI3" s="43">
        <f t="shared" ref="AI3:AI19" si="10">AJ3+AK3</f>
        <v>1</v>
      </c>
      <c r="AJ3" s="44">
        <v>0</v>
      </c>
      <c r="AK3" s="46">
        <v>1</v>
      </c>
      <c r="AL3" s="43">
        <f t="shared" ref="AL3:AL19" si="11">AM3+AN3</f>
        <v>0</v>
      </c>
      <c r="AM3" s="44">
        <v>0</v>
      </c>
      <c r="AN3" s="46">
        <v>0</v>
      </c>
    </row>
    <row r="4" spans="1:40" s="40" customFormat="1" x14ac:dyDescent="0.2">
      <c r="A4" s="43" t="s">
        <v>3383</v>
      </c>
      <c r="B4" s="43">
        <f t="shared" si="0"/>
        <v>0</v>
      </c>
      <c r="C4" s="45">
        <v>0</v>
      </c>
      <c r="D4" s="47">
        <v>0</v>
      </c>
      <c r="E4" s="43">
        <f t="shared" si="1"/>
        <v>4</v>
      </c>
      <c r="F4" s="45">
        <v>1</v>
      </c>
      <c r="G4" s="47">
        <v>3</v>
      </c>
      <c r="H4" s="43">
        <f t="shared" si="2"/>
        <v>5</v>
      </c>
      <c r="I4" s="44">
        <v>0</v>
      </c>
      <c r="J4" s="46">
        <v>5</v>
      </c>
      <c r="K4" s="43">
        <f t="shared" si="3"/>
        <v>6</v>
      </c>
      <c r="L4" s="45">
        <v>2</v>
      </c>
      <c r="M4" s="47">
        <v>4</v>
      </c>
      <c r="N4" s="43">
        <f t="shared" si="4"/>
        <v>0</v>
      </c>
      <c r="O4" s="45">
        <v>0</v>
      </c>
      <c r="P4" s="47">
        <v>0</v>
      </c>
      <c r="Q4" s="43">
        <f t="shared" si="5"/>
        <v>2</v>
      </c>
      <c r="R4" s="45">
        <v>1</v>
      </c>
      <c r="S4" s="47">
        <v>1</v>
      </c>
      <c r="T4" s="43">
        <f t="shared" si="6"/>
        <v>0</v>
      </c>
      <c r="U4" s="45">
        <v>0</v>
      </c>
      <c r="V4" s="47">
        <v>0</v>
      </c>
      <c r="W4" s="43">
        <f t="shared" si="7"/>
        <v>41</v>
      </c>
      <c r="X4" s="45">
        <v>16</v>
      </c>
      <c r="Y4" s="47">
        <v>25</v>
      </c>
      <c r="Z4" s="43">
        <f t="shared" si="8"/>
        <v>0</v>
      </c>
      <c r="AA4" s="45">
        <v>0</v>
      </c>
      <c r="AB4" s="47">
        <v>0</v>
      </c>
      <c r="AC4" s="43">
        <f t="shared" si="9"/>
        <v>0</v>
      </c>
      <c r="AD4" s="45">
        <v>0</v>
      </c>
      <c r="AE4" s="47">
        <v>0</v>
      </c>
      <c r="AF4" s="43">
        <f t="shared" ref="AF4:AF5" si="12">AG4+AH4</f>
        <v>29</v>
      </c>
      <c r="AG4" s="45">
        <v>7</v>
      </c>
      <c r="AH4" s="47">
        <v>22</v>
      </c>
      <c r="AI4" s="43">
        <f t="shared" si="10"/>
        <v>12</v>
      </c>
      <c r="AJ4" s="45">
        <v>2</v>
      </c>
      <c r="AK4" s="47">
        <v>10</v>
      </c>
      <c r="AL4" s="43">
        <f t="shared" si="11"/>
        <v>0</v>
      </c>
      <c r="AM4" s="45">
        <v>0</v>
      </c>
      <c r="AN4" s="47">
        <v>0</v>
      </c>
    </row>
    <row r="5" spans="1:40" s="40" customFormat="1" x14ac:dyDescent="0.2">
      <c r="A5" s="42" t="s">
        <v>3381</v>
      </c>
      <c r="B5" s="43">
        <f t="shared" si="0"/>
        <v>0</v>
      </c>
      <c r="C5" s="44">
        <v>0</v>
      </c>
      <c r="D5" s="46">
        <v>0</v>
      </c>
      <c r="E5" s="43">
        <f t="shared" si="1"/>
        <v>5</v>
      </c>
      <c r="F5" s="44">
        <v>1</v>
      </c>
      <c r="G5" s="46">
        <v>4</v>
      </c>
      <c r="H5" s="43">
        <f t="shared" si="2"/>
        <v>6</v>
      </c>
      <c r="I5" s="44">
        <v>2</v>
      </c>
      <c r="J5" s="46">
        <v>4</v>
      </c>
      <c r="K5" s="43">
        <f t="shared" si="3"/>
        <v>27</v>
      </c>
      <c r="L5" s="44">
        <v>15</v>
      </c>
      <c r="M5" s="46">
        <v>12</v>
      </c>
      <c r="N5" s="43">
        <f t="shared" si="4"/>
        <v>0</v>
      </c>
      <c r="O5" s="44">
        <v>0</v>
      </c>
      <c r="P5" s="46">
        <v>0</v>
      </c>
      <c r="Q5" s="43">
        <f t="shared" si="5"/>
        <v>2</v>
      </c>
      <c r="R5" s="44">
        <v>1</v>
      </c>
      <c r="S5" s="46">
        <v>1</v>
      </c>
      <c r="T5" s="43">
        <f t="shared" si="6"/>
        <v>0</v>
      </c>
      <c r="U5" s="44">
        <v>0</v>
      </c>
      <c r="V5" s="46">
        <v>0</v>
      </c>
      <c r="W5" s="43">
        <f t="shared" si="7"/>
        <v>29</v>
      </c>
      <c r="X5" s="44">
        <v>15</v>
      </c>
      <c r="Y5" s="46">
        <v>14</v>
      </c>
      <c r="Z5" s="43">
        <f t="shared" si="8"/>
        <v>0</v>
      </c>
      <c r="AA5" s="44">
        <v>0</v>
      </c>
      <c r="AB5" s="46">
        <v>0</v>
      </c>
      <c r="AC5" s="43">
        <f t="shared" si="9"/>
        <v>1</v>
      </c>
      <c r="AD5" s="44">
        <v>1</v>
      </c>
      <c r="AE5" s="46">
        <v>0</v>
      </c>
      <c r="AF5" s="43">
        <f t="shared" si="12"/>
        <v>23</v>
      </c>
      <c r="AG5" s="44">
        <v>15</v>
      </c>
      <c r="AH5" s="46">
        <v>8</v>
      </c>
      <c r="AI5" s="43">
        <f t="shared" si="10"/>
        <v>13</v>
      </c>
      <c r="AJ5" s="44">
        <v>6</v>
      </c>
      <c r="AK5" s="46">
        <v>7</v>
      </c>
      <c r="AL5" s="43">
        <f t="shared" si="11"/>
        <v>0</v>
      </c>
      <c r="AM5" s="44">
        <v>0</v>
      </c>
      <c r="AN5" s="46">
        <v>0</v>
      </c>
    </row>
    <row r="6" spans="1:40" s="40" customFormat="1" x14ac:dyDescent="0.2">
      <c r="A6" s="43" t="s">
        <v>3382</v>
      </c>
      <c r="B6" s="43">
        <f>C6+D6</f>
        <v>4</v>
      </c>
      <c r="C6" s="45">
        <v>2</v>
      </c>
      <c r="D6" s="47">
        <v>2</v>
      </c>
      <c r="E6" s="43">
        <f>F6+G6</f>
        <v>1</v>
      </c>
      <c r="F6" s="45">
        <v>1</v>
      </c>
      <c r="G6" s="47">
        <v>0</v>
      </c>
      <c r="H6" s="43">
        <f t="shared" si="2"/>
        <v>5</v>
      </c>
      <c r="I6" s="45">
        <v>2</v>
      </c>
      <c r="J6" s="47">
        <v>3</v>
      </c>
      <c r="K6" s="43">
        <f>L6+M6</f>
        <v>15</v>
      </c>
      <c r="L6" s="45">
        <v>3</v>
      </c>
      <c r="M6" s="47">
        <v>12</v>
      </c>
      <c r="N6" s="43">
        <f t="shared" si="4"/>
        <v>0</v>
      </c>
      <c r="O6" s="45">
        <v>0</v>
      </c>
      <c r="P6" s="47">
        <v>0</v>
      </c>
      <c r="Q6" s="43">
        <f>R6+S6</f>
        <v>1</v>
      </c>
      <c r="R6" s="45">
        <v>1</v>
      </c>
      <c r="S6" s="47">
        <v>0</v>
      </c>
      <c r="T6" s="43">
        <f>U6+V6</f>
        <v>0</v>
      </c>
      <c r="U6" s="45">
        <v>0</v>
      </c>
      <c r="V6" s="47">
        <v>0</v>
      </c>
      <c r="W6" s="43">
        <f>X6+Y6</f>
        <v>36</v>
      </c>
      <c r="X6" s="45">
        <v>7</v>
      </c>
      <c r="Y6" s="47">
        <v>29</v>
      </c>
      <c r="Z6" s="43">
        <f>AA6+AB6</f>
        <v>0</v>
      </c>
      <c r="AA6" s="45">
        <v>0</v>
      </c>
      <c r="AB6" s="47">
        <v>0</v>
      </c>
      <c r="AC6" s="43">
        <f>AD6+AE6</f>
        <v>0</v>
      </c>
      <c r="AD6" s="45">
        <v>0</v>
      </c>
      <c r="AE6" s="47">
        <v>0</v>
      </c>
      <c r="AF6" s="43">
        <f>AG6+AH6</f>
        <v>24</v>
      </c>
      <c r="AG6" s="45">
        <v>8</v>
      </c>
      <c r="AH6" s="47">
        <v>16</v>
      </c>
      <c r="AI6" s="43">
        <f>AJ6+AK6</f>
        <v>13</v>
      </c>
      <c r="AJ6" s="45">
        <v>5</v>
      </c>
      <c r="AK6" s="47">
        <v>8</v>
      </c>
      <c r="AL6" s="43">
        <f>AM6+AN6</f>
        <v>0</v>
      </c>
      <c r="AM6" s="45">
        <v>0</v>
      </c>
      <c r="AN6" s="47">
        <v>0</v>
      </c>
    </row>
    <row r="7" spans="1:40" s="40" customFormat="1" x14ac:dyDescent="0.2">
      <c r="A7" s="42" t="s">
        <v>3384</v>
      </c>
      <c r="B7" s="43">
        <f t="shared" si="0"/>
        <v>1</v>
      </c>
      <c r="C7" s="44">
        <v>1</v>
      </c>
      <c r="D7" s="46">
        <v>0</v>
      </c>
      <c r="E7" s="43">
        <f t="shared" si="1"/>
        <v>1</v>
      </c>
      <c r="F7" s="44">
        <v>0</v>
      </c>
      <c r="G7" s="46">
        <v>1</v>
      </c>
      <c r="H7" s="43">
        <f t="shared" si="2"/>
        <v>1</v>
      </c>
      <c r="I7" s="44">
        <v>1</v>
      </c>
      <c r="J7" s="46">
        <v>0</v>
      </c>
      <c r="K7" s="43">
        <f t="shared" si="3"/>
        <v>15</v>
      </c>
      <c r="L7" s="44">
        <v>15</v>
      </c>
      <c r="M7" s="46">
        <v>0</v>
      </c>
      <c r="N7" s="43">
        <f t="shared" si="4"/>
        <v>0</v>
      </c>
      <c r="O7" s="44">
        <v>0</v>
      </c>
      <c r="P7" s="46">
        <v>0</v>
      </c>
      <c r="Q7" s="43">
        <f t="shared" si="5"/>
        <v>1</v>
      </c>
      <c r="R7" s="44">
        <v>1</v>
      </c>
      <c r="S7" s="46">
        <v>0</v>
      </c>
      <c r="T7" s="43">
        <f t="shared" si="6"/>
        <v>0</v>
      </c>
      <c r="U7" s="44">
        <v>0</v>
      </c>
      <c r="V7" s="46">
        <v>0</v>
      </c>
      <c r="W7" s="43">
        <f t="shared" si="7"/>
        <v>14</v>
      </c>
      <c r="X7" s="44">
        <v>13</v>
      </c>
      <c r="Y7" s="46">
        <v>1</v>
      </c>
      <c r="Z7" s="43">
        <f t="shared" si="8"/>
        <v>0</v>
      </c>
      <c r="AA7" s="44">
        <v>0</v>
      </c>
      <c r="AB7" s="46">
        <v>0</v>
      </c>
      <c r="AC7" s="43">
        <f t="shared" si="9"/>
        <v>0</v>
      </c>
      <c r="AD7" s="44">
        <v>0</v>
      </c>
      <c r="AE7" s="46">
        <v>0</v>
      </c>
      <c r="AF7" s="43">
        <f t="shared" ref="AF7:AF19" si="13">AG7+AH7</f>
        <v>89</v>
      </c>
      <c r="AG7" s="44">
        <v>27</v>
      </c>
      <c r="AH7" s="46">
        <v>62</v>
      </c>
      <c r="AI7" s="43">
        <f t="shared" si="10"/>
        <v>5</v>
      </c>
      <c r="AJ7" s="44">
        <v>3</v>
      </c>
      <c r="AK7" s="46">
        <v>2</v>
      </c>
      <c r="AL7" s="43">
        <f t="shared" si="11"/>
        <v>3</v>
      </c>
      <c r="AM7" s="44">
        <v>3</v>
      </c>
      <c r="AN7" s="46">
        <v>0</v>
      </c>
    </row>
    <row r="8" spans="1:40" s="40" customFormat="1" x14ac:dyDescent="0.2">
      <c r="A8" s="43" t="s">
        <v>3385</v>
      </c>
      <c r="B8" s="43">
        <f t="shared" si="0"/>
        <v>0</v>
      </c>
      <c r="C8" s="45">
        <v>0</v>
      </c>
      <c r="D8" s="47">
        <v>0</v>
      </c>
      <c r="E8" s="43">
        <f t="shared" si="1"/>
        <v>1</v>
      </c>
      <c r="F8" s="45">
        <v>1</v>
      </c>
      <c r="G8" s="47">
        <v>0</v>
      </c>
      <c r="H8" s="43">
        <f t="shared" si="2"/>
        <v>7</v>
      </c>
      <c r="I8" s="45">
        <v>7</v>
      </c>
      <c r="J8" s="47">
        <v>0</v>
      </c>
      <c r="K8" s="43">
        <f t="shared" si="3"/>
        <v>16</v>
      </c>
      <c r="L8" s="45">
        <v>16</v>
      </c>
      <c r="M8" s="47">
        <v>0</v>
      </c>
      <c r="N8" s="43">
        <f t="shared" si="4"/>
        <v>0</v>
      </c>
      <c r="O8" s="45">
        <v>0</v>
      </c>
      <c r="P8" s="47">
        <v>0</v>
      </c>
      <c r="Q8" s="43">
        <f t="shared" si="5"/>
        <v>1</v>
      </c>
      <c r="R8" s="45">
        <v>1</v>
      </c>
      <c r="S8" s="47">
        <v>0</v>
      </c>
      <c r="T8" s="43">
        <f t="shared" si="6"/>
        <v>1</v>
      </c>
      <c r="U8" s="45">
        <v>1</v>
      </c>
      <c r="V8" s="47">
        <v>0</v>
      </c>
      <c r="W8" s="43">
        <f t="shared" si="7"/>
        <v>38</v>
      </c>
      <c r="X8" s="45">
        <v>37</v>
      </c>
      <c r="Y8" s="47">
        <v>1</v>
      </c>
      <c r="Z8" s="43">
        <f t="shared" si="8"/>
        <v>0</v>
      </c>
      <c r="AA8" s="45">
        <v>0</v>
      </c>
      <c r="AB8" s="47">
        <v>0</v>
      </c>
      <c r="AC8" s="43">
        <f t="shared" si="9"/>
        <v>0</v>
      </c>
      <c r="AD8" s="45">
        <v>0</v>
      </c>
      <c r="AE8" s="47">
        <v>0</v>
      </c>
      <c r="AF8" s="43">
        <f t="shared" si="13"/>
        <v>93</v>
      </c>
      <c r="AG8" s="45">
        <v>16</v>
      </c>
      <c r="AH8" s="47">
        <v>77</v>
      </c>
      <c r="AI8" s="43">
        <f t="shared" si="10"/>
        <v>9</v>
      </c>
      <c r="AJ8" s="45">
        <v>9</v>
      </c>
      <c r="AK8" s="47">
        <v>0</v>
      </c>
      <c r="AL8" s="43">
        <f t="shared" si="11"/>
        <v>0</v>
      </c>
      <c r="AM8" s="45">
        <v>0</v>
      </c>
      <c r="AN8" s="47">
        <v>0</v>
      </c>
    </row>
    <row r="9" spans="1:40" s="40" customFormat="1" x14ac:dyDescent="0.2">
      <c r="A9" s="42" t="s">
        <v>3375</v>
      </c>
      <c r="B9" s="43">
        <f t="shared" si="0"/>
        <v>0</v>
      </c>
      <c r="C9" s="44">
        <v>0</v>
      </c>
      <c r="D9" s="46">
        <v>0</v>
      </c>
      <c r="E9" s="43">
        <f t="shared" si="1"/>
        <v>3</v>
      </c>
      <c r="F9" s="44">
        <v>1</v>
      </c>
      <c r="G9" s="46">
        <v>2</v>
      </c>
      <c r="H9" s="43">
        <f t="shared" si="2"/>
        <v>2</v>
      </c>
      <c r="I9" s="44">
        <v>2</v>
      </c>
      <c r="J9" s="46">
        <v>0</v>
      </c>
      <c r="K9" s="43">
        <f t="shared" si="3"/>
        <v>10</v>
      </c>
      <c r="L9" s="44">
        <v>9</v>
      </c>
      <c r="M9" s="46">
        <v>1</v>
      </c>
      <c r="N9" s="43">
        <f t="shared" si="4"/>
        <v>0</v>
      </c>
      <c r="O9" s="44">
        <v>0</v>
      </c>
      <c r="P9" s="46">
        <v>0</v>
      </c>
      <c r="Q9" s="43">
        <f t="shared" si="5"/>
        <v>0</v>
      </c>
      <c r="R9" s="44">
        <v>0</v>
      </c>
      <c r="S9" s="46">
        <v>0</v>
      </c>
      <c r="T9" s="43">
        <f t="shared" si="6"/>
        <v>0</v>
      </c>
      <c r="U9" s="44">
        <v>0</v>
      </c>
      <c r="V9" s="46">
        <v>0</v>
      </c>
      <c r="W9" s="43">
        <f t="shared" si="7"/>
        <v>24</v>
      </c>
      <c r="X9" s="44">
        <v>23</v>
      </c>
      <c r="Y9" s="46">
        <v>1</v>
      </c>
      <c r="Z9" s="43">
        <f t="shared" si="8"/>
        <v>0</v>
      </c>
      <c r="AA9" s="44">
        <v>0</v>
      </c>
      <c r="AB9" s="46">
        <v>0</v>
      </c>
      <c r="AC9" s="43">
        <f t="shared" si="9"/>
        <v>0</v>
      </c>
      <c r="AD9" s="44">
        <v>0</v>
      </c>
      <c r="AE9" s="46">
        <v>0</v>
      </c>
      <c r="AF9" s="43">
        <f t="shared" si="13"/>
        <v>56</v>
      </c>
      <c r="AG9" s="44">
        <v>12</v>
      </c>
      <c r="AH9" s="46">
        <v>44</v>
      </c>
      <c r="AI9" s="43">
        <f t="shared" si="10"/>
        <v>2</v>
      </c>
      <c r="AJ9" s="44">
        <v>2</v>
      </c>
      <c r="AK9" s="46">
        <v>0</v>
      </c>
      <c r="AL9" s="43">
        <f t="shared" si="11"/>
        <v>0</v>
      </c>
      <c r="AM9" s="44">
        <v>0</v>
      </c>
      <c r="AN9" s="46">
        <v>0</v>
      </c>
    </row>
    <row r="10" spans="1:40" s="40" customFormat="1" x14ac:dyDescent="0.2">
      <c r="A10" s="43" t="s">
        <v>3376</v>
      </c>
      <c r="B10" s="43">
        <f t="shared" si="0"/>
        <v>0</v>
      </c>
      <c r="C10" s="45">
        <v>0</v>
      </c>
      <c r="D10" s="47">
        <v>0</v>
      </c>
      <c r="E10" s="43">
        <f t="shared" si="1"/>
        <v>0</v>
      </c>
      <c r="F10" s="45">
        <v>0</v>
      </c>
      <c r="G10" s="47">
        <v>0</v>
      </c>
      <c r="H10" s="43">
        <f t="shared" si="2"/>
        <v>4</v>
      </c>
      <c r="I10" s="45">
        <v>4</v>
      </c>
      <c r="J10" s="47">
        <v>0</v>
      </c>
      <c r="K10" s="43">
        <f t="shared" si="3"/>
        <v>2</v>
      </c>
      <c r="L10" s="45">
        <v>2</v>
      </c>
      <c r="M10" s="47">
        <v>0</v>
      </c>
      <c r="N10" s="43">
        <f t="shared" si="4"/>
        <v>0</v>
      </c>
      <c r="O10" s="45">
        <v>0</v>
      </c>
      <c r="P10" s="47">
        <v>0</v>
      </c>
      <c r="Q10" s="43">
        <f t="shared" si="5"/>
        <v>1</v>
      </c>
      <c r="R10" s="45">
        <v>1</v>
      </c>
      <c r="S10" s="47">
        <v>0</v>
      </c>
      <c r="T10" s="43">
        <f t="shared" si="6"/>
        <v>0</v>
      </c>
      <c r="U10" s="45">
        <v>0</v>
      </c>
      <c r="V10" s="47">
        <v>0</v>
      </c>
      <c r="W10" s="43">
        <f t="shared" si="7"/>
        <v>6</v>
      </c>
      <c r="X10" s="45">
        <v>6</v>
      </c>
      <c r="Y10" s="47">
        <v>0</v>
      </c>
      <c r="Z10" s="43">
        <f t="shared" si="8"/>
        <v>0</v>
      </c>
      <c r="AA10" s="45">
        <v>0</v>
      </c>
      <c r="AB10" s="47">
        <v>0</v>
      </c>
      <c r="AC10" s="43">
        <f t="shared" si="9"/>
        <v>0</v>
      </c>
      <c r="AD10" s="45">
        <v>0</v>
      </c>
      <c r="AE10" s="47">
        <v>0</v>
      </c>
      <c r="AF10" s="43">
        <f t="shared" si="13"/>
        <v>73</v>
      </c>
      <c r="AG10" s="45">
        <v>67</v>
      </c>
      <c r="AH10" s="47">
        <v>6</v>
      </c>
      <c r="AI10" s="43">
        <f t="shared" si="10"/>
        <v>0</v>
      </c>
      <c r="AJ10" s="45">
        <v>0</v>
      </c>
      <c r="AK10" s="47">
        <v>0</v>
      </c>
      <c r="AL10" s="43">
        <f t="shared" si="11"/>
        <v>1</v>
      </c>
      <c r="AM10" s="45">
        <v>1</v>
      </c>
      <c r="AN10" s="47">
        <v>0</v>
      </c>
    </row>
    <row r="11" spans="1:40" s="40" customFormat="1" x14ac:dyDescent="0.2">
      <c r="A11" s="42" t="s">
        <v>3377</v>
      </c>
      <c r="B11" s="43">
        <f t="shared" si="0"/>
        <v>0</v>
      </c>
      <c r="C11" s="44">
        <v>0</v>
      </c>
      <c r="D11" s="46">
        <v>0</v>
      </c>
      <c r="E11" s="43">
        <f t="shared" si="1"/>
        <v>0</v>
      </c>
      <c r="F11" s="44">
        <v>0</v>
      </c>
      <c r="G11" s="46">
        <v>0</v>
      </c>
      <c r="H11" s="43">
        <f t="shared" si="2"/>
        <v>0</v>
      </c>
      <c r="I11" s="44">
        <v>0</v>
      </c>
      <c r="J11" s="46">
        <v>0</v>
      </c>
      <c r="K11" s="43">
        <f t="shared" si="3"/>
        <v>0</v>
      </c>
      <c r="L11" s="44">
        <v>0</v>
      </c>
      <c r="M11" s="46">
        <v>0</v>
      </c>
      <c r="N11" s="43">
        <f t="shared" si="4"/>
        <v>0</v>
      </c>
      <c r="O11" s="44">
        <v>0</v>
      </c>
      <c r="P11" s="46">
        <v>0</v>
      </c>
      <c r="Q11" s="43">
        <f t="shared" si="5"/>
        <v>1</v>
      </c>
      <c r="R11" s="44">
        <v>1</v>
      </c>
      <c r="S11" s="46">
        <v>0</v>
      </c>
      <c r="T11" s="43">
        <f t="shared" si="6"/>
        <v>0</v>
      </c>
      <c r="U11" s="44">
        <v>0</v>
      </c>
      <c r="V11" s="46">
        <v>0</v>
      </c>
      <c r="W11" s="43">
        <f t="shared" si="7"/>
        <v>3</v>
      </c>
      <c r="X11" s="44">
        <v>2</v>
      </c>
      <c r="Y11" s="46">
        <v>1</v>
      </c>
      <c r="Z11" s="43">
        <f t="shared" si="8"/>
        <v>0</v>
      </c>
      <c r="AA11" s="44">
        <v>0</v>
      </c>
      <c r="AB11" s="46">
        <v>0</v>
      </c>
      <c r="AC11" s="43">
        <f t="shared" si="9"/>
        <v>0</v>
      </c>
      <c r="AD11" s="44">
        <v>0</v>
      </c>
      <c r="AE11" s="46">
        <v>0</v>
      </c>
      <c r="AF11" s="43">
        <f t="shared" si="13"/>
        <v>40</v>
      </c>
      <c r="AG11" s="44">
        <v>39</v>
      </c>
      <c r="AH11" s="46">
        <v>1</v>
      </c>
      <c r="AI11" s="43">
        <f t="shared" si="10"/>
        <v>0</v>
      </c>
      <c r="AJ11" s="44">
        <v>0</v>
      </c>
      <c r="AK11" s="46">
        <v>0</v>
      </c>
      <c r="AL11" s="43">
        <f t="shared" si="11"/>
        <v>0</v>
      </c>
      <c r="AM11" s="44">
        <v>0</v>
      </c>
      <c r="AN11" s="46">
        <v>0</v>
      </c>
    </row>
    <row r="12" spans="1:40" s="40" customFormat="1" x14ac:dyDescent="0.2">
      <c r="A12" s="43" t="s">
        <v>3378</v>
      </c>
      <c r="B12" s="43">
        <f t="shared" si="0"/>
        <v>0</v>
      </c>
      <c r="C12" s="45">
        <v>0</v>
      </c>
      <c r="D12" s="47">
        <v>0</v>
      </c>
      <c r="E12" s="43">
        <f t="shared" si="1"/>
        <v>0</v>
      </c>
      <c r="F12" s="45">
        <v>0</v>
      </c>
      <c r="G12" s="47">
        <v>0</v>
      </c>
      <c r="H12" s="43">
        <f t="shared" si="2"/>
        <v>0</v>
      </c>
      <c r="I12" s="45">
        <v>0</v>
      </c>
      <c r="J12" s="47">
        <v>0</v>
      </c>
      <c r="K12" s="43">
        <f t="shared" si="3"/>
        <v>2</v>
      </c>
      <c r="L12" s="45">
        <v>2</v>
      </c>
      <c r="M12" s="47">
        <v>0</v>
      </c>
      <c r="N12" s="43">
        <f t="shared" si="4"/>
        <v>0</v>
      </c>
      <c r="O12" s="45">
        <v>0</v>
      </c>
      <c r="P12" s="47">
        <v>0</v>
      </c>
      <c r="Q12" s="43">
        <f t="shared" si="5"/>
        <v>1</v>
      </c>
      <c r="R12" s="45">
        <v>1</v>
      </c>
      <c r="S12" s="47">
        <v>0</v>
      </c>
      <c r="T12" s="43">
        <f t="shared" si="6"/>
        <v>0</v>
      </c>
      <c r="U12" s="45">
        <v>0</v>
      </c>
      <c r="V12" s="47">
        <v>0</v>
      </c>
      <c r="W12" s="43">
        <f t="shared" si="7"/>
        <v>4</v>
      </c>
      <c r="X12" s="45">
        <v>4</v>
      </c>
      <c r="Y12" s="47">
        <v>0</v>
      </c>
      <c r="Z12" s="43">
        <f t="shared" si="8"/>
        <v>0</v>
      </c>
      <c r="AA12" s="45">
        <v>0</v>
      </c>
      <c r="AB12" s="47">
        <v>0</v>
      </c>
      <c r="AC12" s="43">
        <f t="shared" si="9"/>
        <v>0</v>
      </c>
      <c r="AD12" s="45">
        <v>0</v>
      </c>
      <c r="AE12" s="47">
        <v>0</v>
      </c>
      <c r="AF12" s="43">
        <f t="shared" si="13"/>
        <v>51</v>
      </c>
      <c r="AG12" s="45">
        <v>50</v>
      </c>
      <c r="AH12" s="47">
        <v>1</v>
      </c>
      <c r="AI12" s="43">
        <f t="shared" si="10"/>
        <v>0</v>
      </c>
      <c r="AJ12" s="45">
        <v>0</v>
      </c>
      <c r="AK12" s="47">
        <v>0</v>
      </c>
      <c r="AL12" s="43">
        <f t="shared" si="11"/>
        <v>1</v>
      </c>
      <c r="AM12" s="45">
        <v>1</v>
      </c>
      <c r="AN12" s="47">
        <v>0</v>
      </c>
    </row>
    <row r="13" spans="1:40" s="40" customFormat="1" x14ac:dyDescent="0.2">
      <c r="A13" s="42" t="s">
        <v>3379</v>
      </c>
      <c r="B13" s="43">
        <f t="shared" si="0"/>
        <v>0</v>
      </c>
      <c r="C13" s="44">
        <v>0</v>
      </c>
      <c r="D13" s="46">
        <v>0</v>
      </c>
      <c r="E13" s="43">
        <f t="shared" si="1"/>
        <v>0</v>
      </c>
      <c r="F13" s="44">
        <v>0</v>
      </c>
      <c r="G13" s="46">
        <v>0</v>
      </c>
      <c r="H13" s="43">
        <f t="shared" si="2"/>
        <v>0</v>
      </c>
      <c r="I13" s="44">
        <v>0</v>
      </c>
      <c r="J13" s="46">
        <v>0</v>
      </c>
      <c r="K13" s="43">
        <f t="shared" si="3"/>
        <v>0</v>
      </c>
      <c r="L13" s="44">
        <v>0</v>
      </c>
      <c r="M13" s="46">
        <v>0</v>
      </c>
      <c r="N13" s="43">
        <f t="shared" si="4"/>
        <v>0</v>
      </c>
      <c r="O13" s="44">
        <v>0</v>
      </c>
      <c r="P13" s="46">
        <v>0</v>
      </c>
      <c r="Q13" s="43">
        <f t="shared" si="5"/>
        <v>1</v>
      </c>
      <c r="R13" s="44">
        <v>1</v>
      </c>
      <c r="S13" s="46">
        <v>0</v>
      </c>
      <c r="T13" s="43">
        <f t="shared" si="6"/>
        <v>0</v>
      </c>
      <c r="U13" s="44">
        <v>0</v>
      </c>
      <c r="V13" s="46">
        <v>0</v>
      </c>
      <c r="W13" s="43">
        <f t="shared" si="7"/>
        <v>5</v>
      </c>
      <c r="X13" s="44">
        <v>5</v>
      </c>
      <c r="Y13" s="46">
        <v>0</v>
      </c>
      <c r="Z13" s="43">
        <f t="shared" si="8"/>
        <v>0</v>
      </c>
      <c r="AA13" s="44">
        <v>0</v>
      </c>
      <c r="AB13" s="46">
        <v>0</v>
      </c>
      <c r="AC13" s="43">
        <f t="shared" si="9"/>
        <v>0</v>
      </c>
      <c r="AD13" s="44">
        <v>0</v>
      </c>
      <c r="AE13" s="46">
        <v>0</v>
      </c>
      <c r="AF13" s="43">
        <f t="shared" si="13"/>
        <v>66</v>
      </c>
      <c r="AG13" s="44">
        <v>61</v>
      </c>
      <c r="AH13" s="46">
        <v>5</v>
      </c>
      <c r="AI13" s="43">
        <f t="shared" si="10"/>
        <v>0</v>
      </c>
      <c r="AJ13" s="44">
        <v>0</v>
      </c>
      <c r="AK13" s="46">
        <v>0</v>
      </c>
      <c r="AL13" s="43">
        <f t="shared" si="11"/>
        <v>0</v>
      </c>
      <c r="AM13" s="44">
        <v>0</v>
      </c>
      <c r="AN13" s="46">
        <v>0</v>
      </c>
    </row>
    <row r="14" spans="1:40" s="40" customFormat="1" x14ac:dyDescent="0.2">
      <c r="A14" s="43" t="s">
        <v>3387</v>
      </c>
      <c r="B14" s="43">
        <f t="shared" si="0"/>
        <v>0</v>
      </c>
      <c r="C14" s="45">
        <v>0</v>
      </c>
      <c r="D14" s="47">
        <v>0</v>
      </c>
      <c r="E14" s="43">
        <f t="shared" si="1"/>
        <v>0</v>
      </c>
      <c r="F14" s="45">
        <v>0</v>
      </c>
      <c r="G14" s="47">
        <v>0</v>
      </c>
      <c r="H14" s="43">
        <f t="shared" si="2"/>
        <v>16</v>
      </c>
      <c r="I14" s="45">
        <v>16</v>
      </c>
      <c r="J14" s="47">
        <v>0</v>
      </c>
      <c r="K14" s="43">
        <f t="shared" si="3"/>
        <v>0</v>
      </c>
      <c r="L14" s="45">
        <v>0</v>
      </c>
      <c r="M14" s="47">
        <v>0</v>
      </c>
      <c r="N14" s="43">
        <f t="shared" si="4"/>
        <v>0</v>
      </c>
      <c r="O14" s="45">
        <v>0</v>
      </c>
      <c r="P14" s="47">
        <v>0</v>
      </c>
      <c r="Q14" s="43">
        <f t="shared" si="5"/>
        <v>0</v>
      </c>
      <c r="R14" s="45">
        <v>0</v>
      </c>
      <c r="S14" s="47">
        <v>0</v>
      </c>
      <c r="T14" s="43">
        <f t="shared" si="6"/>
        <v>0</v>
      </c>
      <c r="U14" s="45">
        <v>0</v>
      </c>
      <c r="V14" s="47">
        <v>0</v>
      </c>
      <c r="W14" s="43">
        <f t="shared" si="7"/>
        <v>3</v>
      </c>
      <c r="X14" s="45">
        <v>3</v>
      </c>
      <c r="Y14" s="47">
        <v>0</v>
      </c>
      <c r="Z14" s="43">
        <f t="shared" si="8"/>
        <v>0</v>
      </c>
      <c r="AA14" s="45">
        <v>0</v>
      </c>
      <c r="AB14" s="47">
        <v>0</v>
      </c>
      <c r="AC14" s="43">
        <f t="shared" si="9"/>
        <v>0</v>
      </c>
      <c r="AD14" s="45">
        <v>0</v>
      </c>
      <c r="AE14" s="47">
        <v>0</v>
      </c>
      <c r="AF14" s="43">
        <f t="shared" si="13"/>
        <v>59</v>
      </c>
      <c r="AG14" s="45">
        <v>57</v>
      </c>
      <c r="AH14" s="47">
        <v>2</v>
      </c>
      <c r="AI14" s="43">
        <f t="shared" si="10"/>
        <v>0</v>
      </c>
      <c r="AJ14" s="45">
        <v>0</v>
      </c>
      <c r="AK14" s="47">
        <v>0</v>
      </c>
      <c r="AL14" s="43">
        <f t="shared" si="11"/>
        <v>0</v>
      </c>
      <c r="AM14" s="45">
        <v>0</v>
      </c>
      <c r="AN14" s="47">
        <v>0</v>
      </c>
    </row>
    <row r="15" spans="1:40" s="40" customFormat="1" x14ac:dyDescent="0.2">
      <c r="A15" s="42" t="s">
        <v>3388</v>
      </c>
      <c r="B15" s="43">
        <f t="shared" si="0"/>
        <v>0</v>
      </c>
      <c r="C15" s="44">
        <v>0</v>
      </c>
      <c r="D15" s="46">
        <v>0</v>
      </c>
      <c r="E15" s="43">
        <f t="shared" si="1"/>
        <v>0</v>
      </c>
      <c r="F15" s="44">
        <v>0</v>
      </c>
      <c r="G15" s="46">
        <v>0</v>
      </c>
      <c r="H15" s="43">
        <f t="shared" si="2"/>
        <v>0</v>
      </c>
      <c r="I15" s="44">
        <v>0</v>
      </c>
      <c r="J15" s="46">
        <v>0</v>
      </c>
      <c r="K15" s="43">
        <f t="shared" si="3"/>
        <v>0</v>
      </c>
      <c r="L15" s="44">
        <v>0</v>
      </c>
      <c r="M15" s="46">
        <v>0</v>
      </c>
      <c r="N15" s="43">
        <f t="shared" si="4"/>
        <v>0</v>
      </c>
      <c r="O15" s="44">
        <v>0</v>
      </c>
      <c r="P15" s="46">
        <v>0</v>
      </c>
      <c r="Q15" s="43">
        <f t="shared" si="5"/>
        <v>0</v>
      </c>
      <c r="R15" s="44">
        <v>0</v>
      </c>
      <c r="S15" s="46">
        <v>0</v>
      </c>
      <c r="T15" s="43">
        <f t="shared" si="6"/>
        <v>0</v>
      </c>
      <c r="U15" s="44">
        <v>0</v>
      </c>
      <c r="V15" s="46">
        <v>0</v>
      </c>
      <c r="W15" s="43">
        <f t="shared" si="7"/>
        <v>7</v>
      </c>
      <c r="X15" s="44">
        <v>7</v>
      </c>
      <c r="Y15" s="46">
        <v>0</v>
      </c>
      <c r="Z15" s="43">
        <f t="shared" si="8"/>
        <v>0</v>
      </c>
      <c r="AA15" s="44">
        <v>0</v>
      </c>
      <c r="AB15" s="46">
        <v>0</v>
      </c>
      <c r="AC15" s="43">
        <f t="shared" si="9"/>
        <v>0</v>
      </c>
      <c r="AD15" s="44">
        <v>0</v>
      </c>
      <c r="AE15" s="46">
        <v>0</v>
      </c>
      <c r="AF15" s="43">
        <f t="shared" si="13"/>
        <v>62</v>
      </c>
      <c r="AG15" s="44">
        <v>59</v>
      </c>
      <c r="AH15" s="46">
        <v>3</v>
      </c>
      <c r="AI15" s="43">
        <f t="shared" si="10"/>
        <v>0</v>
      </c>
      <c r="AJ15" s="44">
        <v>0</v>
      </c>
      <c r="AK15" s="46">
        <v>0</v>
      </c>
      <c r="AL15" s="43">
        <f t="shared" si="11"/>
        <v>0</v>
      </c>
      <c r="AM15" s="44">
        <v>0</v>
      </c>
      <c r="AN15" s="46">
        <v>0</v>
      </c>
    </row>
    <row r="16" spans="1:40" s="40" customFormat="1" x14ac:dyDescent="0.2">
      <c r="A16" s="43" t="s">
        <v>3389</v>
      </c>
      <c r="B16" s="43">
        <f t="shared" si="0"/>
        <v>0</v>
      </c>
      <c r="C16" s="45">
        <v>0</v>
      </c>
      <c r="D16" s="47">
        <v>0</v>
      </c>
      <c r="E16" s="43">
        <f t="shared" si="1"/>
        <v>0</v>
      </c>
      <c r="F16" s="45">
        <v>0</v>
      </c>
      <c r="G16" s="47">
        <v>0</v>
      </c>
      <c r="H16" s="43">
        <f t="shared" si="2"/>
        <v>0</v>
      </c>
      <c r="I16" s="45">
        <v>0</v>
      </c>
      <c r="J16" s="47">
        <v>0</v>
      </c>
      <c r="K16" s="43">
        <f t="shared" si="3"/>
        <v>0</v>
      </c>
      <c r="L16" s="45">
        <v>0</v>
      </c>
      <c r="M16" s="47">
        <v>0</v>
      </c>
      <c r="N16" s="43">
        <f t="shared" si="4"/>
        <v>0</v>
      </c>
      <c r="O16" s="45">
        <v>0</v>
      </c>
      <c r="P16" s="47">
        <v>0</v>
      </c>
      <c r="Q16" s="43">
        <f t="shared" si="5"/>
        <v>0</v>
      </c>
      <c r="R16" s="45">
        <v>0</v>
      </c>
      <c r="S16" s="47">
        <v>0</v>
      </c>
      <c r="T16" s="43">
        <f t="shared" si="6"/>
        <v>0</v>
      </c>
      <c r="U16" s="45">
        <v>0</v>
      </c>
      <c r="V16" s="47">
        <v>0</v>
      </c>
      <c r="W16" s="43">
        <f t="shared" si="7"/>
        <v>58</v>
      </c>
      <c r="X16" s="45">
        <v>58</v>
      </c>
      <c r="Y16" s="47">
        <v>0</v>
      </c>
      <c r="Z16" s="43">
        <f t="shared" si="8"/>
        <v>0</v>
      </c>
      <c r="AA16" s="45">
        <v>0</v>
      </c>
      <c r="AB16" s="47">
        <v>0</v>
      </c>
      <c r="AC16" s="43">
        <f t="shared" si="9"/>
        <v>0</v>
      </c>
      <c r="AD16" s="45">
        <v>0</v>
      </c>
      <c r="AE16" s="47">
        <v>0</v>
      </c>
      <c r="AF16" s="43">
        <f t="shared" si="13"/>
        <v>36</v>
      </c>
      <c r="AG16" s="45">
        <v>34</v>
      </c>
      <c r="AH16" s="47">
        <v>2</v>
      </c>
      <c r="AI16" s="43">
        <f t="shared" si="10"/>
        <v>0</v>
      </c>
      <c r="AJ16" s="45">
        <v>0</v>
      </c>
      <c r="AK16" s="47">
        <v>0</v>
      </c>
      <c r="AL16" s="43">
        <f t="shared" si="11"/>
        <v>0</v>
      </c>
      <c r="AM16" s="45">
        <v>0</v>
      </c>
      <c r="AN16" s="47">
        <v>0</v>
      </c>
    </row>
    <row r="17" spans="1:40" s="40" customFormat="1" x14ac:dyDescent="0.2">
      <c r="A17" s="42" t="s">
        <v>3386</v>
      </c>
      <c r="B17" s="43">
        <f t="shared" si="0"/>
        <v>0</v>
      </c>
      <c r="C17" s="44">
        <v>0</v>
      </c>
      <c r="D17" s="46">
        <v>0</v>
      </c>
      <c r="E17" s="43">
        <f t="shared" si="1"/>
        <v>0</v>
      </c>
      <c r="F17" s="44">
        <v>0</v>
      </c>
      <c r="G17" s="46">
        <v>0</v>
      </c>
      <c r="H17" s="43">
        <f t="shared" si="2"/>
        <v>0</v>
      </c>
      <c r="I17" s="44">
        <v>0</v>
      </c>
      <c r="J17" s="46">
        <v>0</v>
      </c>
      <c r="K17" s="43">
        <f t="shared" si="3"/>
        <v>0</v>
      </c>
      <c r="L17" s="44">
        <v>0</v>
      </c>
      <c r="M17" s="46">
        <v>0</v>
      </c>
      <c r="N17" s="43">
        <f t="shared" si="4"/>
        <v>0</v>
      </c>
      <c r="O17" s="44">
        <v>0</v>
      </c>
      <c r="P17" s="46">
        <v>0</v>
      </c>
      <c r="Q17" s="43">
        <f t="shared" si="5"/>
        <v>0</v>
      </c>
      <c r="R17" s="44">
        <v>0</v>
      </c>
      <c r="S17" s="46">
        <v>0</v>
      </c>
      <c r="T17" s="43">
        <f t="shared" si="6"/>
        <v>0</v>
      </c>
      <c r="U17" s="44">
        <v>0</v>
      </c>
      <c r="V17" s="46">
        <v>0</v>
      </c>
      <c r="W17" s="43">
        <f t="shared" si="7"/>
        <v>8</v>
      </c>
      <c r="X17" s="44">
        <v>8</v>
      </c>
      <c r="Y17" s="46">
        <v>0</v>
      </c>
      <c r="Z17" s="43">
        <f t="shared" si="8"/>
        <v>0</v>
      </c>
      <c r="AA17" s="44">
        <v>0</v>
      </c>
      <c r="AB17" s="46">
        <v>0</v>
      </c>
      <c r="AC17" s="43">
        <f t="shared" si="9"/>
        <v>0</v>
      </c>
      <c r="AD17" s="44">
        <v>0</v>
      </c>
      <c r="AE17" s="46">
        <v>0</v>
      </c>
      <c r="AF17" s="43">
        <v>26</v>
      </c>
      <c r="AG17" s="44">
        <v>3</v>
      </c>
      <c r="AH17" s="46">
        <v>0</v>
      </c>
      <c r="AI17" s="43">
        <f t="shared" si="10"/>
        <v>0</v>
      </c>
      <c r="AJ17" s="44">
        <v>0</v>
      </c>
      <c r="AK17" s="46">
        <v>0</v>
      </c>
      <c r="AL17" s="43">
        <f t="shared" si="11"/>
        <v>0</v>
      </c>
      <c r="AM17" s="44">
        <v>0</v>
      </c>
      <c r="AN17" s="46">
        <v>0</v>
      </c>
    </row>
    <row r="18" spans="1:40" s="40" customFormat="1" x14ac:dyDescent="0.2">
      <c r="A18" s="43" t="s">
        <v>3418</v>
      </c>
      <c r="B18" s="43">
        <f t="shared" si="0"/>
        <v>0</v>
      </c>
      <c r="C18" s="45">
        <v>0</v>
      </c>
      <c r="D18" s="47">
        <v>0</v>
      </c>
      <c r="E18" s="43">
        <f t="shared" si="1"/>
        <v>0</v>
      </c>
      <c r="F18" s="45">
        <v>0</v>
      </c>
      <c r="G18" s="47">
        <v>0</v>
      </c>
      <c r="H18" s="43">
        <f t="shared" si="2"/>
        <v>0</v>
      </c>
      <c r="I18" s="45">
        <v>0</v>
      </c>
      <c r="J18" s="47">
        <v>0</v>
      </c>
      <c r="K18" s="43">
        <f t="shared" si="3"/>
        <v>0</v>
      </c>
      <c r="L18" s="45">
        <v>0</v>
      </c>
      <c r="M18" s="47">
        <v>0</v>
      </c>
      <c r="N18" s="43">
        <f t="shared" si="4"/>
        <v>0</v>
      </c>
      <c r="O18" s="45">
        <v>0</v>
      </c>
      <c r="P18" s="47">
        <v>0</v>
      </c>
      <c r="Q18" s="43">
        <f t="shared" si="5"/>
        <v>0</v>
      </c>
      <c r="R18" s="45">
        <v>0</v>
      </c>
      <c r="S18" s="47">
        <v>0</v>
      </c>
      <c r="T18" s="43">
        <f t="shared" si="6"/>
        <v>0</v>
      </c>
      <c r="U18" s="45">
        <v>0</v>
      </c>
      <c r="V18" s="47">
        <v>0</v>
      </c>
      <c r="W18" s="43">
        <f t="shared" si="7"/>
        <v>0</v>
      </c>
      <c r="X18" s="45">
        <v>0</v>
      </c>
      <c r="Y18" s="47">
        <v>0</v>
      </c>
      <c r="Z18" s="43">
        <f t="shared" si="8"/>
        <v>0</v>
      </c>
      <c r="AA18" s="45">
        <v>0</v>
      </c>
      <c r="AB18" s="47">
        <v>0</v>
      </c>
      <c r="AC18" s="43">
        <f t="shared" si="9"/>
        <v>0</v>
      </c>
      <c r="AD18" s="45">
        <v>0</v>
      </c>
      <c r="AE18" s="47">
        <v>0</v>
      </c>
      <c r="AF18" s="43">
        <f t="shared" si="13"/>
        <v>20</v>
      </c>
      <c r="AG18" s="45">
        <v>20</v>
      </c>
      <c r="AH18" s="47">
        <v>0</v>
      </c>
      <c r="AI18" s="43">
        <f t="shared" si="10"/>
        <v>0</v>
      </c>
      <c r="AJ18" s="45">
        <v>0</v>
      </c>
      <c r="AK18" s="47">
        <v>0</v>
      </c>
      <c r="AL18" s="43">
        <f t="shared" si="11"/>
        <v>0</v>
      </c>
      <c r="AM18" s="45">
        <v>0</v>
      </c>
      <c r="AN18" s="47">
        <v>0</v>
      </c>
    </row>
    <row r="19" spans="1:40" s="40" customFormat="1" x14ac:dyDescent="0.2">
      <c r="A19" s="43" t="s">
        <v>3416</v>
      </c>
      <c r="B19" s="43">
        <v>0</v>
      </c>
      <c r="C19" s="45">
        <v>0</v>
      </c>
      <c r="D19" s="47">
        <v>0</v>
      </c>
      <c r="E19" s="43">
        <v>0</v>
      </c>
      <c r="F19" s="45">
        <v>0</v>
      </c>
      <c r="G19" s="47">
        <v>0</v>
      </c>
      <c r="H19" s="43">
        <f t="shared" si="2"/>
        <v>29</v>
      </c>
      <c r="I19" s="45">
        <v>26</v>
      </c>
      <c r="J19" s="47">
        <v>3</v>
      </c>
      <c r="K19" s="43">
        <f t="shared" si="3"/>
        <v>12</v>
      </c>
      <c r="L19" s="45">
        <v>12</v>
      </c>
      <c r="M19" s="47">
        <v>0</v>
      </c>
      <c r="N19" s="43">
        <f t="shared" si="4"/>
        <v>0</v>
      </c>
      <c r="O19" s="45">
        <v>0</v>
      </c>
      <c r="P19" s="47">
        <v>0</v>
      </c>
      <c r="Q19" s="43">
        <f t="shared" si="5"/>
        <v>1</v>
      </c>
      <c r="R19" s="45">
        <v>1</v>
      </c>
      <c r="S19" s="47">
        <v>0</v>
      </c>
      <c r="T19" s="43">
        <f t="shared" si="6"/>
        <v>0</v>
      </c>
      <c r="U19" s="45">
        <v>0</v>
      </c>
      <c r="V19" s="47">
        <v>0</v>
      </c>
      <c r="W19" s="43">
        <f t="shared" si="7"/>
        <v>0</v>
      </c>
      <c r="X19" s="45">
        <v>0</v>
      </c>
      <c r="Y19" s="47">
        <v>0</v>
      </c>
      <c r="Z19" s="43">
        <f t="shared" si="8"/>
        <v>0</v>
      </c>
      <c r="AA19" s="45">
        <v>0</v>
      </c>
      <c r="AB19" s="47">
        <v>0</v>
      </c>
      <c r="AC19" s="43">
        <f t="shared" si="9"/>
        <v>0</v>
      </c>
      <c r="AD19" s="45">
        <v>0</v>
      </c>
      <c r="AE19" s="47">
        <v>0</v>
      </c>
      <c r="AF19" s="43">
        <f t="shared" si="13"/>
        <v>0</v>
      </c>
      <c r="AG19" s="45">
        <v>0</v>
      </c>
      <c r="AH19" s="47">
        <v>0</v>
      </c>
      <c r="AI19" s="43">
        <f t="shared" si="10"/>
        <v>0</v>
      </c>
      <c r="AJ19" s="45">
        <v>0</v>
      </c>
      <c r="AK19" s="47">
        <v>0</v>
      </c>
      <c r="AL19" s="43">
        <f t="shared" si="11"/>
        <v>13</v>
      </c>
      <c r="AM19" s="45">
        <v>13</v>
      </c>
      <c r="AN19" s="47">
        <v>0</v>
      </c>
    </row>
    <row r="20" spans="1:40" s="40" customFormat="1" x14ac:dyDescent="0.2">
      <c r="A20" s="42" t="s">
        <v>3400</v>
      </c>
      <c r="B20" s="42">
        <f>SUM(B3:B19)</f>
        <v>5</v>
      </c>
      <c r="C20" s="44">
        <f t="shared" ref="C20:AN20" si="14">SUM(C3:C19)</f>
        <v>3</v>
      </c>
      <c r="D20" s="46">
        <f t="shared" si="14"/>
        <v>2</v>
      </c>
      <c r="E20" s="42">
        <f t="shared" si="14"/>
        <v>15</v>
      </c>
      <c r="F20" s="44">
        <f t="shared" si="14"/>
        <v>5</v>
      </c>
      <c r="G20" s="46">
        <f t="shared" si="14"/>
        <v>10</v>
      </c>
      <c r="H20" s="42">
        <f t="shared" si="14"/>
        <v>75</v>
      </c>
      <c r="I20" s="44">
        <f t="shared" si="14"/>
        <v>60</v>
      </c>
      <c r="J20" s="46">
        <f t="shared" si="14"/>
        <v>15</v>
      </c>
      <c r="K20" s="42">
        <f t="shared" si="14"/>
        <v>111</v>
      </c>
      <c r="L20" s="44">
        <f t="shared" si="14"/>
        <v>78</v>
      </c>
      <c r="M20" s="46">
        <f t="shared" si="14"/>
        <v>33</v>
      </c>
      <c r="N20" s="42">
        <f t="shared" si="14"/>
        <v>6</v>
      </c>
      <c r="O20" s="44">
        <f t="shared" si="14"/>
        <v>1</v>
      </c>
      <c r="P20" s="46">
        <f t="shared" si="14"/>
        <v>5</v>
      </c>
      <c r="Q20" s="42">
        <f t="shared" si="14"/>
        <v>13</v>
      </c>
      <c r="R20" s="44">
        <f t="shared" si="14"/>
        <v>11</v>
      </c>
      <c r="S20" s="46">
        <f t="shared" si="14"/>
        <v>2</v>
      </c>
      <c r="T20" s="42">
        <f t="shared" si="14"/>
        <v>1</v>
      </c>
      <c r="U20" s="44">
        <f t="shared" si="14"/>
        <v>1</v>
      </c>
      <c r="V20" s="46">
        <f t="shared" si="14"/>
        <v>0</v>
      </c>
      <c r="W20" s="42">
        <f t="shared" si="14"/>
        <v>288</v>
      </c>
      <c r="X20" s="44">
        <f t="shared" si="14"/>
        <v>211</v>
      </c>
      <c r="Y20" s="46">
        <f t="shared" si="14"/>
        <v>77</v>
      </c>
      <c r="Z20" s="42">
        <f t="shared" si="14"/>
        <v>1</v>
      </c>
      <c r="AA20" s="44">
        <f t="shared" si="14"/>
        <v>1</v>
      </c>
      <c r="AB20" s="46">
        <f t="shared" si="14"/>
        <v>0</v>
      </c>
      <c r="AC20" s="42">
        <f t="shared" si="14"/>
        <v>2</v>
      </c>
      <c r="AD20" s="44">
        <f t="shared" si="14"/>
        <v>2</v>
      </c>
      <c r="AE20" s="46">
        <f t="shared" si="14"/>
        <v>0</v>
      </c>
      <c r="AF20" s="42">
        <f t="shared" ref="AF20" si="15">SUM(AF3:AF19)</f>
        <v>768</v>
      </c>
      <c r="AG20" s="44">
        <f t="shared" ref="AG20" si="16">SUM(AG3:AG19)</f>
        <v>485</v>
      </c>
      <c r="AH20" s="46">
        <f t="shared" ref="AH20" si="17">SUM(AH3:AH19)</f>
        <v>260</v>
      </c>
      <c r="AI20" s="42">
        <f t="shared" si="14"/>
        <v>55</v>
      </c>
      <c r="AJ20" s="44">
        <f t="shared" si="14"/>
        <v>27</v>
      </c>
      <c r="AK20" s="46">
        <f t="shared" si="14"/>
        <v>28</v>
      </c>
      <c r="AL20" s="42">
        <f t="shared" si="14"/>
        <v>18</v>
      </c>
      <c r="AM20" s="44">
        <f t="shared" si="14"/>
        <v>18</v>
      </c>
      <c r="AN20" s="46">
        <f t="shared" si="14"/>
        <v>0</v>
      </c>
    </row>
    <row r="21" spans="1:40" x14ac:dyDescent="0.2">
      <c r="B21">
        <f>B20+E20+H20+K20+N20+Q20+T20+W20+Z20+AC20+AI20+AL20</f>
        <v>590</v>
      </c>
    </row>
  </sheetData>
  <mergeCells count="14">
    <mergeCell ref="N1:P1"/>
    <mergeCell ref="A1:A2"/>
    <mergeCell ref="B1:D1"/>
    <mergeCell ref="E1:G1"/>
    <mergeCell ref="H1:J1"/>
    <mergeCell ref="K1:M1"/>
    <mergeCell ref="AL1:AN1"/>
    <mergeCell ref="AF1:AH1"/>
    <mergeCell ref="Q1:S1"/>
    <mergeCell ref="T1:V1"/>
    <mergeCell ref="W1:Y1"/>
    <mergeCell ref="Z1:AB1"/>
    <mergeCell ref="AC1:AE1"/>
    <mergeCell ref="AI1:AK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B161-B52B-418D-836D-0EB9DECFB535}">
  <sheetPr filterMode="1"/>
  <dimension ref="A1:L229"/>
  <sheetViews>
    <sheetView topLeftCell="A195" workbookViewId="0">
      <selection activeCell="E222" sqref="A1:L229"/>
    </sheetView>
  </sheetViews>
  <sheetFormatPr baseColWidth="10" defaultRowHeight="15" x14ac:dyDescent="0.2"/>
  <cols>
    <col min="1" max="4" width="11.5" style="26"/>
    <col min="5" max="5" width="71.5" style="26" customWidth="1"/>
    <col min="6" max="12" width="11.5" style="26"/>
  </cols>
  <sheetData>
    <row r="1" spans="1:12" ht="48" x14ac:dyDescent="0.2">
      <c r="A1" s="53" t="s">
        <v>0</v>
      </c>
      <c r="B1" s="53" t="s">
        <v>1</v>
      </c>
      <c r="C1" s="53" t="s">
        <v>3374</v>
      </c>
      <c r="D1" s="53" t="s">
        <v>5</v>
      </c>
      <c r="E1" s="53" t="s">
        <v>2</v>
      </c>
      <c r="F1" s="53" t="s">
        <v>4</v>
      </c>
      <c r="G1" s="53" t="s">
        <v>3</v>
      </c>
      <c r="H1" s="53" t="s">
        <v>6</v>
      </c>
      <c r="I1" s="53" t="s">
        <v>3371</v>
      </c>
      <c r="J1" s="53" t="s">
        <v>3370</v>
      </c>
      <c r="K1" s="53" t="s">
        <v>3373</v>
      </c>
      <c r="L1" s="53" t="s">
        <v>3372</v>
      </c>
    </row>
    <row r="2" spans="1:12" ht="64" hidden="1" x14ac:dyDescent="0.2">
      <c r="A2" s="54" t="s">
        <v>7</v>
      </c>
      <c r="B2" s="55" t="s">
        <v>8</v>
      </c>
      <c r="C2" s="55" t="s">
        <v>3419</v>
      </c>
      <c r="D2" s="55" t="s">
        <v>3391</v>
      </c>
      <c r="E2" s="55" t="s">
        <v>9</v>
      </c>
      <c r="F2" s="55" t="s">
        <v>10</v>
      </c>
      <c r="G2" s="56" t="s">
        <v>3453</v>
      </c>
      <c r="H2" s="55"/>
      <c r="I2" s="55" t="s">
        <v>3393</v>
      </c>
      <c r="J2" s="55" t="s">
        <v>3393</v>
      </c>
      <c r="K2" s="55"/>
      <c r="L2" s="57"/>
    </row>
    <row r="3" spans="1:12" ht="48" hidden="1" x14ac:dyDescent="0.2">
      <c r="A3" s="58" t="s">
        <v>12</v>
      </c>
      <c r="B3" s="59" t="s">
        <v>8</v>
      </c>
      <c r="C3" s="59" t="s">
        <v>3419</v>
      </c>
      <c r="D3" s="59" t="s">
        <v>3391</v>
      </c>
      <c r="E3" s="59" t="s">
        <v>13</v>
      </c>
      <c r="F3" s="59" t="s">
        <v>10</v>
      </c>
      <c r="G3" s="56" t="s">
        <v>3453</v>
      </c>
      <c r="H3" s="59"/>
      <c r="I3" s="59" t="s">
        <v>3393</v>
      </c>
      <c r="J3" s="59" t="s">
        <v>3393</v>
      </c>
      <c r="K3" s="59"/>
      <c r="L3" s="60"/>
    </row>
    <row r="4" spans="1:12" ht="64" hidden="1" x14ac:dyDescent="0.2">
      <c r="A4" s="54" t="s">
        <v>14</v>
      </c>
      <c r="B4" s="55" t="s">
        <v>8</v>
      </c>
      <c r="C4" s="55" t="s">
        <v>3419</v>
      </c>
      <c r="D4" s="55" t="s">
        <v>3391</v>
      </c>
      <c r="E4" s="55" t="s">
        <v>15</v>
      </c>
      <c r="F4" s="55" t="s">
        <v>10</v>
      </c>
      <c r="G4" s="56" t="s">
        <v>3453</v>
      </c>
      <c r="H4" s="55"/>
      <c r="I4" s="55" t="s">
        <v>3393</v>
      </c>
      <c r="J4" s="55" t="s">
        <v>3393</v>
      </c>
      <c r="K4" s="55"/>
      <c r="L4" s="57"/>
    </row>
    <row r="5" spans="1:12" ht="64" hidden="1" x14ac:dyDescent="0.2">
      <c r="A5" s="58" t="s">
        <v>16</v>
      </c>
      <c r="B5" s="59" t="s">
        <v>8</v>
      </c>
      <c r="C5" s="59" t="s">
        <v>3419</v>
      </c>
      <c r="D5" s="59" t="s">
        <v>3391</v>
      </c>
      <c r="E5" s="59" t="s">
        <v>17</v>
      </c>
      <c r="F5" s="59" t="s">
        <v>10</v>
      </c>
      <c r="G5" s="56" t="s">
        <v>3453</v>
      </c>
      <c r="H5" s="59"/>
      <c r="I5" s="59" t="s">
        <v>3393</v>
      </c>
      <c r="J5" s="59" t="s">
        <v>3393</v>
      </c>
      <c r="K5" s="59"/>
      <c r="L5" s="60"/>
    </row>
    <row r="6" spans="1:12" ht="64" hidden="1" x14ac:dyDescent="0.2">
      <c r="A6" s="54" t="s">
        <v>18</v>
      </c>
      <c r="B6" s="55" t="s">
        <v>8</v>
      </c>
      <c r="C6" s="55" t="s">
        <v>3419</v>
      </c>
      <c r="D6" s="55" t="s">
        <v>3391</v>
      </c>
      <c r="E6" s="55" t="s">
        <v>19</v>
      </c>
      <c r="F6" s="55" t="s">
        <v>10</v>
      </c>
      <c r="G6" s="56" t="s">
        <v>3453</v>
      </c>
      <c r="H6" s="55"/>
      <c r="I6" s="55" t="s">
        <v>3393</v>
      </c>
      <c r="J6" s="55" t="s">
        <v>3393</v>
      </c>
      <c r="K6" s="55"/>
      <c r="L6" s="57"/>
    </row>
    <row r="7" spans="1:12" ht="64" hidden="1" x14ac:dyDescent="0.2">
      <c r="A7" s="58" t="s">
        <v>20</v>
      </c>
      <c r="B7" s="59" t="s">
        <v>8</v>
      </c>
      <c r="C7" s="59" t="s">
        <v>3419</v>
      </c>
      <c r="D7" s="59" t="s">
        <v>3391</v>
      </c>
      <c r="E7" s="59" t="s">
        <v>21</v>
      </c>
      <c r="F7" s="59" t="s">
        <v>10</v>
      </c>
      <c r="G7" s="56" t="s">
        <v>3453</v>
      </c>
      <c r="H7" s="59"/>
      <c r="I7" s="59" t="s">
        <v>3393</v>
      </c>
      <c r="J7" s="59" t="s">
        <v>3393</v>
      </c>
      <c r="K7" s="59"/>
      <c r="L7" s="60"/>
    </row>
    <row r="8" spans="1:12" ht="64" hidden="1" x14ac:dyDescent="0.2">
      <c r="A8" s="54" t="s">
        <v>22</v>
      </c>
      <c r="B8" s="55" t="s">
        <v>8</v>
      </c>
      <c r="C8" s="55" t="s">
        <v>3419</v>
      </c>
      <c r="D8" s="55" t="s">
        <v>3391</v>
      </c>
      <c r="E8" s="55" t="s">
        <v>23</v>
      </c>
      <c r="F8" s="55" t="s">
        <v>10</v>
      </c>
      <c r="G8" s="56" t="s">
        <v>3453</v>
      </c>
      <c r="H8" s="55"/>
      <c r="I8" s="55" t="s">
        <v>3393</v>
      </c>
      <c r="J8" s="55" t="s">
        <v>3393</v>
      </c>
      <c r="K8" s="55"/>
      <c r="L8" s="57"/>
    </row>
    <row r="9" spans="1:12" ht="48" hidden="1" x14ac:dyDescent="0.2">
      <c r="A9" s="58" t="s">
        <v>24</v>
      </c>
      <c r="B9" s="59" t="s">
        <v>8</v>
      </c>
      <c r="C9" s="59" t="s">
        <v>3419</v>
      </c>
      <c r="D9" s="59" t="s">
        <v>3391</v>
      </c>
      <c r="E9" s="59" t="s">
        <v>25</v>
      </c>
      <c r="F9" s="59" t="s">
        <v>10</v>
      </c>
      <c r="G9" s="56" t="s">
        <v>3453</v>
      </c>
      <c r="H9" s="59"/>
      <c r="I9" s="59" t="s">
        <v>3393</v>
      </c>
      <c r="J9" s="59" t="s">
        <v>3393</v>
      </c>
      <c r="K9" s="59"/>
      <c r="L9" s="60"/>
    </row>
    <row r="10" spans="1:12" ht="48" hidden="1" x14ac:dyDescent="0.2">
      <c r="A10" s="54" t="s">
        <v>26</v>
      </c>
      <c r="B10" s="55" t="s">
        <v>8</v>
      </c>
      <c r="C10" s="55" t="s">
        <v>3419</v>
      </c>
      <c r="D10" s="55" t="s">
        <v>3391</v>
      </c>
      <c r="E10" s="55" t="s">
        <v>27</v>
      </c>
      <c r="F10" s="55" t="s">
        <v>10</v>
      </c>
      <c r="G10" s="56" t="s">
        <v>3453</v>
      </c>
      <c r="H10" s="55"/>
      <c r="I10" s="55" t="s">
        <v>3393</v>
      </c>
      <c r="J10" s="55" t="s">
        <v>3393</v>
      </c>
      <c r="K10" s="55"/>
      <c r="L10" s="57"/>
    </row>
    <row r="11" spans="1:12" ht="32" hidden="1" x14ac:dyDescent="0.2">
      <c r="A11" s="58" t="s">
        <v>28</v>
      </c>
      <c r="B11" s="59" t="s">
        <v>8</v>
      </c>
      <c r="C11" s="59" t="s">
        <v>3419</v>
      </c>
      <c r="D11" s="59" t="s">
        <v>3391</v>
      </c>
      <c r="E11" s="59" t="s">
        <v>29</v>
      </c>
      <c r="F11" s="59" t="s">
        <v>10</v>
      </c>
      <c r="G11" s="56" t="s">
        <v>3453</v>
      </c>
      <c r="H11" s="59"/>
      <c r="I11" s="59" t="s">
        <v>3393</v>
      </c>
      <c r="J11" s="59" t="s">
        <v>3393</v>
      </c>
      <c r="K11" s="59"/>
      <c r="L11" s="60"/>
    </row>
    <row r="12" spans="1:12" ht="32" hidden="1" x14ac:dyDescent="0.2">
      <c r="A12" s="54" t="s">
        <v>30</v>
      </c>
      <c r="B12" s="55" t="s">
        <v>8</v>
      </c>
      <c r="C12" s="55" t="s">
        <v>3419</v>
      </c>
      <c r="D12" s="55" t="s">
        <v>3391</v>
      </c>
      <c r="E12" s="55" t="s">
        <v>31</v>
      </c>
      <c r="F12" s="55" t="s">
        <v>10</v>
      </c>
      <c r="G12" s="56" t="s">
        <v>3453</v>
      </c>
      <c r="H12" s="55"/>
      <c r="I12" s="55" t="s">
        <v>3393</v>
      </c>
      <c r="J12" s="55" t="s">
        <v>3393</v>
      </c>
      <c r="K12" s="55"/>
      <c r="L12" s="57"/>
    </row>
    <row r="13" spans="1:12" ht="48" hidden="1" x14ac:dyDescent="0.2">
      <c r="A13" s="58" t="s">
        <v>32</v>
      </c>
      <c r="B13" s="59" t="s">
        <v>8</v>
      </c>
      <c r="C13" s="59" t="s">
        <v>3419</v>
      </c>
      <c r="D13" s="59" t="s">
        <v>3391</v>
      </c>
      <c r="E13" s="59" t="s">
        <v>33</v>
      </c>
      <c r="F13" s="59" t="s">
        <v>10</v>
      </c>
      <c r="G13" s="56" t="s">
        <v>3453</v>
      </c>
      <c r="H13" s="59"/>
      <c r="I13" s="59" t="s">
        <v>3393</v>
      </c>
      <c r="J13" s="59" t="s">
        <v>3393</v>
      </c>
      <c r="K13" s="59"/>
      <c r="L13" s="60"/>
    </row>
    <row r="14" spans="1:12" ht="48" hidden="1" x14ac:dyDescent="0.2">
      <c r="A14" s="54" t="s">
        <v>34</v>
      </c>
      <c r="B14" s="55" t="s">
        <v>8</v>
      </c>
      <c r="C14" s="55" t="s">
        <v>3419</v>
      </c>
      <c r="D14" s="55" t="s">
        <v>3391</v>
      </c>
      <c r="E14" s="55" t="s">
        <v>35</v>
      </c>
      <c r="F14" s="55" t="s">
        <v>10</v>
      </c>
      <c r="G14" s="56" t="s">
        <v>3453</v>
      </c>
      <c r="H14" s="55"/>
      <c r="I14" s="55" t="s">
        <v>3393</v>
      </c>
      <c r="J14" s="55" t="s">
        <v>3393</v>
      </c>
      <c r="K14" s="55"/>
      <c r="L14" s="57"/>
    </row>
    <row r="15" spans="1:12" ht="32" hidden="1" x14ac:dyDescent="0.2">
      <c r="A15" s="58" t="s">
        <v>36</v>
      </c>
      <c r="B15" s="59" t="s">
        <v>8</v>
      </c>
      <c r="C15" s="59" t="s">
        <v>3419</v>
      </c>
      <c r="D15" s="59" t="s">
        <v>3391</v>
      </c>
      <c r="E15" s="59" t="s">
        <v>37</v>
      </c>
      <c r="F15" s="59" t="s">
        <v>10</v>
      </c>
      <c r="G15" s="56" t="s">
        <v>3453</v>
      </c>
      <c r="H15" s="59"/>
      <c r="I15" s="59" t="s">
        <v>3393</v>
      </c>
      <c r="J15" s="59" t="s">
        <v>3393</v>
      </c>
      <c r="K15" s="59"/>
      <c r="L15" s="60"/>
    </row>
    <row r="16" spans="1:12" ht="48" hidden="1" x14ac:dyDescent="0.2">
      <c r="A16" s="54" t="s">
        <v>38</v>
      </c>
      <c r="B16" s="55" t="s">
        <v>8</v>
      </c>
      <c r="C16" s="55" t="s">
        <v>3419</v>
      </c>
      <c r="D16" s="55" t="s">
        <v>3391</v>
      </c>
      <c r="E16" s="55" t="s">
        <v>39</v>
      </c>
      <c r="F16" s="55" t="s">
        <v>10</v>
      </c>
      <c r="G16" s="56" t="s">
        <v>3453</v>
      </c>
      <c r="H16" s="55"/>
      <c r="I16" s="55" t="s">
        <v>3393</v>
      </c>
      <c r="J16" s="55" t="s">
        <v>3393</v>
      </c>
      <c r="K16" s="55"/>
      <c r="L16" s="57"/>
    </row>
    <row r="17" spans="1:12" ht="32" hidden="1" x14ac:dyDescent="0.2">
      <c r="A17" s="58" t="s">
        <v>79</v>
      </c>
      <c r="B17" s="59" t="s">
        <v>8</v>
      </c>
      <c r="C17" s="59" t="s">
        <v>3419</v>
      </c>
      <c r="D17" s="56" t="s">
        <v>3392</v>
      </c>
      <c r="E17" s="59" t="s">
        <v>80</v>
      </c>
      <c r="F17" s="59" t="s">
        <v>49</v>
      </c>
      <c r="G17" s="59"/>
      <c r="H17" s="59"/>
      <c r="I17" s="59" t="s">
        <v>3393</v>
      </c>
      <c r="J17" s="59" t="s">
        <v>3393</v>
      </c>
      <c r="K17" s="59"/>
      <c r="L17" s="60"/>
    </row>
    <row r="18" spans="1:12" ht="32" hidden="1" x14ac:dyDescent="0.2">
      <c r="A18" s="54" t="s">
        <v>82</v>
      </c>
      <c r="B18" s="55" t="s">
        <v>8</v>
      </c>
      <c r="C18" s="55" t="s">
        <v>3419</v>
      </c>
      <c r="D18" s="56" t="s">
        <v>3392</v>
      </c>
      <c r="E18" s="55" t="s">
        <v>83</v>
      </c>
      <c r="F18" s="55" t="s">
        <v>49</v>
      </c>
      <c r="G18" s="55"/>
      <c r="H18" s="55"/>
      <c r="I18" s="55" t="s">
        <v>3393</v>
      </c>
      <c r="J18" s="55" t="s">
        <v>3393</v>
      </c>
      <c r="K18" s="55"/>
      <c r="L18" s="57"/>
    </row>
    <row r="19" spans="1:12" ht="32" hidden="1" x14ac:dyDescent="0.2">
      <c r="A19" s="58" t="s">
        <v>84</v>
      </c>
      <c r="B19" s="59" t="s">
        <v>8</v>
      </c>
      <c r="C19" s="59" t="s">
        <v>3384</v>
      </c>
      <c r="D19" s="56" t="s">
        <v>3392</v>
      </c>
      <c r="E19" s="59" t="s">
        <v>85</v>
      </c>
      <c r="F19" s="59" t="s">
        <v>1290</v>
      </c>
      <c r="G19" s="59"/>
      <c r="H19" s="59"/>
      <c r="I19" s="59" t="s">
        <v>3393</v>
      </c>
      <c r="J19" s="59" t="s">
        <v>3393</v>
      </c>
      <c r="K19" s="59"/>
      <c r="L19" s="60"/>
    </row>
    <row r="20" spans="1:12" ht="32" hidden="1" x14ac:dyDescent="0.2">
      <c r="A20" s="54" t="s">
        <v>87</v>
      </c>
      <c r="B20" s="55" t="s">
        <v>8</v>
      </c>
      <c r="C20" s="55" t="s">
        <v>3384</v>
      </c>
      <c r="D20" s="56" t="s">
        <v>3392</v>
      </c>
      <c r="E20" s="55" t="s">
        <v>88</v>
      </c>
      <c r="F20" s="55" t="s">
        <v>1290</v>
      </c>
      <c r="G20" s="55"/>
      <c r="H20" s="55"/>
      <c r="I20" s="55" t="s">
        <v>3393</v>
      </c>
      <c r="J20" s="55" t="s">
        <v>3393</v>
      </c>
      <c r="K20" s="55"/>
      <c r="L20" s="57"/>
    </row>
    <row r="21" spans="1:12" ht="32" hidden="1" x14ac:dyDescent="0.2">
      <c r="A21" s="58" t="s">
        <v>93</v>
      </c>
      <c r="B21" s="59" t="s">
        <v>8</v>
      </c>
      <c r="C21" s="59" t="s">
        <v>3382</v>
      </c>
      <c r="D21" s="56" t="s">
        <v>3392</v>
      </c>
      <c r="E21" s="59" t="s">
        <v>94</v>
      </c>
      <c r="F21" s="59" t="s">
        <v>1290</v>
      </c>
      <c r="G21" s="59"/>
      <c r="H21" s="59"/>
      <c r="I21" s="59" t="s">
        <v>3393</v>
      </c>
      <c r="J21" s="59" t="s">
        <v>3393</v>
      </c>
      <c r="K21" s="59"/>
      <c r="L21" s="60"/>
    </row>
    <row r="22" spans="1:12" ht="32" hidden="1" x14ac:dyDescent="0.2">
      <c r="A22" s="54" t="s">
        <v>95</v>
      </c>
      <c r="B22" s="55" t="s">
        <v>8</v>
      </c>
      <c r="C22" s="55" t="s">
        <v>3382</v>
      </c>
      <c r="D22" s="56" t="s">
        <v>3392</v>
      </c>
      <c r="E22" s="55" t="s">
        <v>96</v>
      </c>
      <c r="F22" s="55" t="s">
        <v>1290</v>
      </c>
      <c r="G22" s="55"/>
      <c r="H22" s="55"/>
      <c r="I22" s="55" t="s">
        <v>3393</v>
      </c>
      <c r="J22" s="55" t="s">
        <v>3393</v>
      </c>
      <c r="K22" s="55"/>
      <c r="L22" s="57"/>
    </row>
    <row r="23" spans="1:12" ht="32" hidden="1" x14ac:dyDescent="0.2">
      <c r="A23" s="58" t="s">
        <v>97</v>
      </c>
      <c r="B23" s="59" t="s">
        <v>8</v>
      </c>
      <c r="C23" s="59" t="s">
        <v>3382</v>
      </c>
      <c r="D23" s="56" t="s">
        <v>3392</v>
      </c>
      <c r="E23" s="59" t="s">
        <v>98</v>
      </c>
      <c r="F23" s="59" t="s">
        <v>1290</v>
      </c>
      <c r="G23" s="59"/>
      <c r="H23" s="59"/>
      <c r="I23" s="59" t="s">
        <v>3393</v>
      </c>
      <c r="J23" s="59" t="s">
        <v>3393</v>
      </c>
      <c r="K23" s="59"/>
      <c r="L23" s="60"/>
    </row>
    <row r="24" spans="1:12" ht="32" hidden="1" x14ac:dyDescent="0.2">
      <c r="A24" s="54" t="s">
        <v>99</v>
      </c>
      <c r="B24" s="55" t="s">
        <v>8</v>
      </c>
      <c r="C24" s="55" t="s">
        <v>3381</v>
      </c>
      <c r="D24" s="56" t="s">
        <v>3392</v>
      </c>
      <c r="E24" s="55" t="s">
        <v>100</v>
      </c>
      <c r="F24" s="55" t="s">
        <v>1290</v>
      </c>
      <c r="G24" s="55"/>
      <c r="H24" s="55"/>
      <c r="I24" s="55" t="s">
        <v>3394</v>
      </c>
      <c r="J24" s="55" t="s">
        <v>3394</v>
      </c>
      <c r="K24" s="55"/>
      <c r="L24" s="57"/>
    </row>
    <row r="25" spans="1:12" ht="32" x14ac:dyDescent="0.2">
      <c r="A25" s="58" t="s">
        <v>1216</v>
      </c>
      <c r="B25" s="59" t="s">
        <v>8</v>
      </c>
      <c r="C25" s="59" t="s">
        <v>3419</v>
      </c>
      <c r="D25" s="56" t="s">
        <v>3392</v>
      </c>
      <c r="E25" s="59" t="s">
        <v>1217</v>
      </c>
      <c r="F25" s="59" t="s">
        <v>43</v>
      </c>
      <c r="G25" s="59"/>
      <c r="H25" s="59"/>
      <c r="I25" s="59" t="s">
        <v>3393</v>
      </c>
      <c r="J25" s="59" t="s">
        <v>3393</v>
      </c>
      <c r="K25" s="59"/>
      <c r="L25" s="60"/>
    </row>
    <row r="26" spans="1:12" ht="48" x14ac:dyDescent="0.2">
      <c r="A26" s="54" t="s">
        <v>1232</v>
      </c>
      <c r="B26" s="55" t="s">
        <v>8</v>
      </c>
      <c r="C26" s="55" t="s">
        <v>3419</v>
      </c>
      <c r="D26" s="56" t="s">
        <v>3392</v>
      </c>
      <c r="E26" s="55" t="s">
        <v>1233</v>
      </c>
      <c r="F26" s="55" t="s">
        <v>43</v>
      </c>
      <c r="G26" s="55"/>
      <c r="H26" s="55"/>
      <c r="I26" s="55" t="s">
        <v>3393</v>
      </c>
      <c r="J26" s="55" t="s">
        <v>3393</v>
      </c>
      <c r="K26" s="55"/>
      <c r="L26" s="57"/>
    </row>
    <row r="27" spans="1:12" ht="32" hidden="1" x14ac:dyDescent="0.2">
      <c r="A27" s="58" t="s">
        <v>931</v>
      </c>
      <c r="B27" s="59" t="s">
        <v>41</v>
      </c>
      <c r="C27" s="59" t="s">
        <v>3387</v>
      </c>
      <c r="D27" s="56" t="s">
        <v>3392</v>
      </c>
      <c r="E27" s="59" t="s">
        <v>932</v>
      </c>
      <c r="F27" s="59" t="s">
        <v>49</v>
      </c>
      <c r="G27" s="59"/>
      <c r="H27" s="59"/>
      <c r="I27" s="59" t="s">
        <v>3393</v>
      </c>
      <c r="J27" s="59" t="s">
        <v>3393</v>
      </c>
      <c r="K27" s="59"/>
      <c r="L27" s="60"/>
    </row>
    <row r="28" spans="1:12" ht="32" hidden="1" x14ac:dyDescent="0.2">
      <c r="A28" s="54" t="s">
        <v>933</v>
      </c>
      <c r="B28" s="55" t="s">
        <v>41</v>
      </c>
      <c r="C28" s="55" t="s">
        <v>3387</v>
      </c>
      <c r="D28" s="56" t="s">
        <v>3392</v>
      </c>
      <c r="E28" s="55" t="s">
        <v>934</v>
      </c>
      <c r="F28" s="55" t="s">
        <v>49</v>
      </c>
      <c r="G28" s="55"/>
      <c r="H28" s="55"/>
      <c r="I28" s="55" t="s">
        <v>3393</v>
      </c>
      <c r="J28" s="55" t="s">
        <v>3393</v>
      </c>
      <c r="K28" s="55"/>
      <c r="L28" s="57"/>
    </row>
    <row r="29" spans="1:12" ht="32" hidden="1" x14ac:dyDescent="0.2">
      <c r="A29" s="58" t="s">
        <v>935</v>
      </c>
      <c r="B29" s="59" t="s">
        <v>41</v>
      </c>
      <c r="C29" s="59" t="s">
        <v>3387</v>
      </c>
      <c r="D29" s="56" t="s">
        <v>3392</v>
      </c>
      <c r="E29" s="59" t="s">
        <v>936</v>
      </c>
      <c r="F29" s="59" t="s">
        <v>49</v>
      </c>
      <c r="G29" s="59"/>
      <c r="H29" s="59"/>
      <c r="I29" s="59" t="s">
        <v>3393</v>
      </c>
      <c r="J29" s="59" t="s">
        <v>3393</v>
      </c>
      <c r="K29" s="59"/>
      <c r="L29" s="60"/>
    </row>
    <row r="30" spans="1:12" ht="32" hidden="1" x14ac:dyDescent="0.2">
      <c r="A30" s="54" t="s">
        <v>937</v>
      </c>
      <c r="B30" s="55" t="s">
        <v>41</v>
      </c>
      <c r="C30" s="55" t="s">
        <v>3388</v>
      </c>
      <c r="D30" s="56" t="s">
        <v>3392</v>
      </c>
      <c r="E30" s="55" t="s">
        <v>938</v>
      </c>
      <c r="F30" s="55" t="s">
        <v>49</v>
      </c>
      <c r="G30" s="55"/>
      <c r="H30" s="55"/>
      <c r="I30" s="55" t="s">
        <v>3393</v>
      </c>
      <c r="J30" s="55" t="s">
        <v>3393</v>
      </c>
      <c r="K30" s="55"/>
      <c r="L30" s="57"/>
    </row>
    <row r="31" spans="1:12" ht="32" hidden="1" x14ac:dyDescent="0.2">
      <c r="A31" s="58" t="s">
        <v>939</v>
      </c>
      <c r="B31" s="59" t="s">
        <v>41</v>
      </c>
      <c r="C31" s="59" t="s">
        <v>3388</v>
      </c>
      <c r="D31" s="56" t="s">
        <v>3392</v>
      </c>
      <c r="E31" s="59" t="s">
        <v>940</v>
      </c>
      <c r="F31" s="59" t="s">
        <v>49</v>
      </c>
      <c r="G31" s="59"/>
      <c r="H31" s="59"/>
      <c r="I31" s="59" t="s">
        <v>3393</v>
      </c>
      <c r="J31" s="59" t="s">
        <v>3393</v>
      </c>
      <c r="K31" s="59"/>
      <c r="L31" s="60"/>
    </row>
    <row r="32" spans="1:12" ht="32" hidden="1" x14ac:dyDescent="0.2">
      <c r="A32" s="54" t="s">
        <v>941</v>
      </c>
      <c r="B32" s="55" t="s">
        <v>41</v>
      </c>
      <c r="C32" s="55" t="s">
        <v>3388</v>
      </c>
      <c r="D32" s="56" t="s">
        <v>3392</v>
      </c>
      <c r="E32" s="55" t="s">
        <v>942</v>
      </c>
      <c r="F32" s="55" t="s">
        <v>49</v>
      </c>
      <c r="G32" s="55"/>
      <c r="H32" s="55"/>
      <c r="I32" s="55" t="s">
        <v>3393</v>
      </c>
      <c r="J32" s="55" t="s">
        <v>3393</v>
      </c>
      <c r="K32" s="55"/>
      <c r="L32" s="57"/>
    </row>
    <row r="33" spans="1:12" ht="32" hidden="1" x14ac:dyDescent="0.2">
      <c r="A33" s="58" t="s">
        <v>943</v>
      </c>
      <c r="B33" s="59" t="s">
        <v>41</v>
      </c>
      <c r="C33" s="59" t="s">
        <v>3388</v>
      </c>
      <c r="D33" s="56" t="s">
        <v>3392</v>
      </c>
      <c r="E33" s="59" t="s">
        <v>944</v>
      </c>
      <c r="F33" s="59" t="s">
        <v>49</v>
      </c>
      <c r="G33" s="59"/>
      <c r="H33" s="59"/>
      <c r="I33" s="59" t="s">
        <v>3393</v>
      </c>
      <c r="J33" s="59" t="s">
        <v>3393</v>
      </c>
      <c r="K33" s="59"/>
      <c r="L33" s="60"/>
    </row>
    <row r="34" spans="1:12" ht="32" hidden="1" x14ac:dyDescent="0.2">
      <c r="A34" s="54" t="s">
        <v>945</v>
      </c>
      <c r="B34" s="55" t="s">
        <v>41</v>
      </c>
      <c r="C34" s="55" t="s">
        <v>3388</v>
      </c>
      <c r="D34" s="56" t="s">
        <v>3392</v>
      </c>
      <c r="E34" s="55" t="s">
        <v>946</v>
      </c>
      <c r="F34" s="55" t="s">
        <v>49</v>
      </c>
      <c r="G34" s="55"/>
      <c r="H34" s="55"/>
      <c r="I34" s="55" t="s">
        <v>3393</v>
      </c>
      <c r="J34" s="55" t="s">
        <v>3393</v>
      </c>
      <c r="K34" s="55"/>
      <c r="L34" s="57"/>
    </row>
    <row r="35" spans="1:12" ht="32" hidden="1" x14ac:dyDescent="0.2">
      <c r="A35" s="58" t="s">
        <v>947</v>
      </c>
      <c r="B35" s="59" t="s">
        <v>41</v>
      </c>
      <c r="C35" s="59" t="s">
        <v>3388</v>
      </c>
      <c r="D35" s="56" t="s">
        <v>3392</v>
      </c>
      <c r="E35" s="59" t="s">
        <v>948</v>
      </c>
      <c r="F35" s="59" t="s">
        <v>49</v>
      </c>
      <c r="G35" s="59"/>
      <c r="H35" s="59"/>
      <c r="I35" s="59" t="s">
        <v>3393</v>
      </c>
      <c r="J35" s="59" t="s">
        <v>3393</v>
      </c>
      <c r="K35" s="59"/>
      <c r="L35" s="60"/>
    </row>
    <row r="36" spans="1:12" ht="32" hidden="1" x14ac:dyDescent="0.2">
      <c r="A36" s="54" t="s">
        <v>949</v>
      </c>
      <c r="B36" s="55" t="s">
        <v>41</v>
      </c>
      <c r="C36" s="55" t="s">
        <v>3388</v>
      </c>
      <c r="D36" s="56" t="s">
        <v>3392</v>
      </c>
      <c r="E36" s="55" t="s">
        <v>950</v>
      </c>
      <c r="F36" s="55" t="s">
        <v>49</v>
      </c>
      <c r="G36" s="55"/>
      <c r="H36" s="55"/>
      <c r="I36" s="55" t="s">
        <v>3393</v>
      </c>
      <c r="J36" s="55" t="s">
        <v>3393</v>
      </c>
      <c r="K36" s="55"/>
      <c r="L36" s="57"/>
    </row>
    <row r="37" spans="1:12" ht="32" hidden="1" x14ac:dyDescent="0.2">
      <c r="A37" s="58" t="s">
        <v>951</v>
      </c>
      <c r="B37" s="59" t="s">
        <v>41</v>
      </c>
      <c r="C37" s="59" t="s">
        <v>3389</v>
      </c>
      <c r="D37" s="56" t="s">
        <v>3392</v>
      </c>
      <c r="E37" s="59" t="s">
        <v>952</v>
      </c>
      <c r="F37" s="59" t="s">
        <v>49</v>
      </c>
      <c r="G37" s="59"/>
      <c r="H37" s="59"/>
      <c r="I37" s="59" t="s">
        <v>3393</v>
      </c>
      <c r="J37" s="59" t="s">
        <v>3393</v>
      </c>
      <c r="K37" s="59"/>
      <c r="L37" s="60"/>
    </row>
    <row r="38" spans="1:12" ht="32" hidden="1" x14ac:dyDescent="0.2">
      <c r="A38" s="54" t="s">
        <v>953</v>
      </c>
      <c r="B38" s="55" t="s">
        <v>41</v>
      </c>
      <c r="C38" s="55" t="s">
        <v>3389</v>
      </c>
      <c r="D38" s="56" t="s">
        <v>3392</v>
      </c>
      <c r="E38" s="55" t="s">
        <v>954</v>
      </c>
      <c r="F38" s="55" t="s">
        <v>49</v>
      </c>
      <c r="G38" s="55"/>
      <c r="H38" s="55"/>
      <c r="I38" s="55" t="s">
        <v>3393</v>
      </c>
      <c r="J38" s="55" t="s">
        <v>3393</v>
      </c>
      <c r="K38" s="55"/>
      <c r="L38" s="57"/>
    </row>
    <row r="39" spans="1:12" ht="32" hidden="1" x14ac:dyDescent="0.2">
      <c r="A39" s="58" t="s">
        <v>955</v>
      </c>
      <c r="B39" s="59" t="s">
        <v>41</v>
      </c>
      <c r="C39" s="59" t="s">
        <v>3389</v>
      </c>
      <c r="D39" s="56" t="s">
        <v>3392</v>
      </c>
      <c r="E39" s="59" t="s">
        <v>956</v>
      </c>
      <c r="F39" s="59" t="s">
        <v>49</v>
      </c>
      <c r="G39" s="59"/>
      <c r="H39" s="59"/>
      <c r="I39" s="59" t="s">
        <v>3393</v>
      </c>
      <c r="J39" s="59" t="s">
        <v>3393</v>
      </c>
      <c r="K39" s="59"/>
      <c r="L39" s="60"/>
    </row>
    <row r="40" spans="1:12" ht="32" hidden="1" x14ac:dyDescent="0.2">
      <c r="A40" s="54" t="s">
        <v>957</v>
      </c>
      <c r="B40" s="55" t="s">
        <v>41</v>
      </c>
      <c r="C40" s="55" t="s">
        <v>3389</v>
      </c>
      <c r="D40" s="56" t="s">
        <v>3392</v>
      </c>
      <c r="E40" s="55" t="s">
        <v>958</v>
      </c>
      <c r="F40" s="55" t="s">
        <v>49</v>
      </c>
      <c r="G40" s="55"/>
      <c r="H40" s="55"/>
      <c r="I40" s="55" t="s">
        <v>3393</v>
      </c>
      <c r="J40" s="55" t="s">
        <v>3393</v>
      </c>
      <c r="K40" s="55"/>
      <c r="L40" s="57"/>
    </row>
    <row r="41" spans="1:12" ht="32" hidden="1" x14ac:dyDescent="0.2">
      <c r="A41" s="58" t="s">
        <v>959</v>
      </c>
      <c r="B41" s="59" t="s">
        <v>41</v>
      </c>
      <c r="C41" s="59" t="s">
        <v>3389</v>
      </c>
      <c r="D41" s="56" t="s">
        <v>3392</v>
      </c>
      <c r="E41" s="59" t="s">
        <v>960</v>
      </c>
      <c r="F41" s="59" t="s">
        <v>49</v>
      </c>
      <c r="G41" s="59"/>
      <c r="H41" s="59"/>
      <c r="I41" s="59" t="s">
        <v>3393</v>
      </c>
      <c r="J41" s="59" t="s">
        <v>3393</v>
      </c>
      <c r="K41" s="59"/>
      <c r="L41" s="60"/>
    </row>
    <row r="42" spans="1:12" ht="32" hidden="1" x14ac:dyDescent="0.2">
      <c r="A42" s="54" t="s">
        <v>961</v>
      </c>
      <c r="B42" s="55" t="s">
        <v>41</v>
      </c>
      <c r="C42" s="55" t="s">
        <v>3389</v>
      </c>
      <c r="D42" s="56" t="s">
        <v>3392</v>
      </c>
      <c r="E42" s="55" t="s">
        <v>962</v>
      </c>
      <c r="F42" s="55" t="s">
        <v>49</v>
      </c>
      <c r="G42" s="55"/>
      <c r="H42" s="55"/>
      <c r="I42" s="55" t="s">
        <v>3393</v>
      </c>
      <c r="J42" s="55" t="s">
        <v>3393</v>
      </c>
      <c r="K42" s="55"/>
      <c r="L42" s="57"/>
    </row>
    <row r="43" spans="1:12" ht="32" hidden="1" x14ac:dyDescent="0.2">
      <c r="A43" s="58" t="s">
        <v>963</v>
      </c>
      <c r="B43" s="59" t="s">
        <v>41</v>
      </c>
      <c r="C43" s="59" t="s">
        <v>3389</v>
      </c>
      <c r="D43" s="56" t="s">
        <v>3392</v>
      </c>
      <c r="E43" s="59" t="s">
        <v>964</v>
      </c>
      <c r="F43" s="59" t="s">
        <v>49</v>
      </c>
      <c r="G43" s="59"/>
      <c r="H43" s="59"/>
      <c r="I43" s="59" t="s">
        <v>3393</v>
      </c>
      <c r="J43" s="59" t="s">
        <v>3393</v>
      </c>
      <c r="K43" s="59"/>
      <c r="L43" s="60"/>
    </row>
    <row r="44" spans="1:12" ht="32" hidden="1" x14ac:dyDescent="0.2">
      <c r="A44" s="54" t="s">
        <v>965</v>
      </c>
      <c r="B44" s="55" t="s">
        <v>41</v>
      </c>
      <c r="C44" s="55" t="s">
        <v>3389</v>
      </c>
      <c r="D44" s="56" t="s">
        <v>3392</v>
      </c>
      <c r="E44" s="55" t="s">
        <v>966</v>
      </c>
      <c r="F44" s="55" t="s">
        <v>49</v>
      </c>
      <c r="G44" s="55"/>
      <c r="H44" s="55"/>
      <c r="I44" s="55" t="s">
        <v>3393</v>
      </c>
      <c r="J44" s="55" t="s">
        <v>3393</v>
      </c>
      <c r="K44" s="55"/>
      <c r="L44" s="57"/>
    </row>
    <row r="45" spans="1:12" ht="32" hidden="1" x14ac:dyDescent="0.2">
      <c r="A45" s="58" t="s">
        <v>967</v>
      </c>
      <c r="B45" s="59" t="s">
        <v>41</v>
      </c>
      <c r="C45" s="59" t="s">
        <v>3389</v>
      </c>
      <c r="D45" s="56" t="s">
        <v>3392</v>
      </c>
      <c r="E45" s="59" t="s">
        <v>968</v>
      </c>
      <c r="F45" s="59" t="s">
        <v>49</v>
      </c>
      <c r="G45" s="59"/>
      <c r="H45" s="59"/>
      <c r="I45" s="59" t="s">
        <v>3393</v>
      </c>
      <c r="J45" s="59" t="s">
        <v>3393</v>
      </c>
      <c r="K45" s="59"/>
      <c r="L45" s="60"/>
    </row>
    <row r="46" spans="1:12" ht="32" hidden="1" x14ac:dyDescent="0.2">
      <c r="A46" s="54" t="s">
        <v>969</v>
      </c>
      <c r="B46" s="55" t="s">
        <v>41</v>
      </c>
      <c r="C46" s="55" t="s">
        <v>3389</v>
      </c>
      <c r="D46" s="56" t="s">
        <v>3392</v>
      </c>
      <c r="E46" s="55" t="s">
        <v>970</v>
      </c>
      <c r="F46" s="55" t="s">
        <v>49</v>
      </c>
      <c r="G46" s="55"/>
      <c r="H46" s="55"/>
      <c r="I46" s="55" t="s">
        <v>3393</v>
      </c>
      <c r="J46" s="55" t="s">
        <v>3393</v>
      </c>
      <c r="K46" s="55"/>
      <c r="L46" s="57"/>
    </row>
    <row r="47" spans="1:12" ht="32" hidden="1" x14ac:dyDescent="0.2">
      <c r="A47" s="58" t="s">
        <v>971</v>
      </c>
      <c r="B47" s="59" t="s">
        <v>41</v>
      </c>
      <c r="C47" s="59" t="s">
        <v>3389</v>
      </c>
      <c r="D47" s="56" t="s">
        <v>3392</v>
      </c>
      <c r="E47" s="59" t="s">
        <v>972</v>
      </c>
      <c r="F47" s="59" t="s">
        <v>49</v>
      </c>
      <c r="G47" s="59"/>
      <c r="H47" s="59"/>
      <c r="I47" s="59" t="s">
        <v>3393</v>
      </c>
      <c r="J47" s="59" t="s">
        <v>3393</v>
      </c>
      <c r="K47" s="59"/>
      <c r="L47" s="60"/>
    </row>
    <row r="48" spans="1:12" ht="32" hidden="1" x14ac:dyDescent="0.2">
      <c r="A48" s="54" t="s">
        <v>973</v>
      </c>
      <c r="B48" s="55" t="s">
        <v>41</v>
      </c>
      <c r="C48" s="55" t="s">
        <v>3389</v>
      </c>
      <c r="D48" s="56" t="s">
        <v>3392</v>
      </c>
      <c r="E48" s="55" t="s">
        <v>974</v>
      </c>
      <c r="F48" s="55" t="s">
        <v>49</v>
      </c>
      <c r="G48" s="55"/>
      <c r="H48" s="55"/>
      <c r="I48" s="55" t="s">
        <v>3393</v>
      </c>
      <c r="J48" s="55" t="s">
        <v>3393</v>
      </c>
      <c r="K48" s="55"/>
      <c r="L48" s="57"/>
    </row>
    <row r="49" spans="1:12" ht="32" hidden="1" x14ac:dyDescent="0.2">
      <c r="A49" s="58" t="s">
        <v>975</v>
      </c>
      <c r="B49" s="59" t="s">
        <v>41</v>
      </c>
      <c r="C49" s="59" t="s">
        <v>3389</v>
      </c>
      <c r="D49" s="56" t="s">
        <v>3392</v>
      </c>
      <c r="E49" s="59" t="s">
        <v>976</v>
      </c>
      <c r="F49" s="59" t="s">
        <v>49</v>
      </c>
      <c r="G49" s="59"/>
      <c r="H49" s="59"/>
      <c r="I49" s="59" t="s">
        <v>3393</v>
      </c>
      <c r="J49" s="59" t="s">
        <v>3393</v>
      </c>
      <c r="K49" s="59"/>
      <c r="L49" s="60"/>
    </row>
    <row r="50" spans="1:12" ht="32" hidden="1" x14ac:dyDescent="0.2">
      <c r="A50" s="54" t="s">
        <v>977</v>
      </c>
      <c r="B50" s="55" t="s">
        <v>41</v>
      </c>
      <c r="C50" s="55" t="s">
        <v>3389</v>
      </c>
      <c r="D50" s="56" t="s">
        <v>3392</v>
      </c>
      <c r="E50" s="55" t="s">
        <v>978</v>
      </c>
      <c r="F50" s="55" t="s">
        <v>49</v>
      </c>
      <c r="G50" s="55"/>
      <c r="H50" s="55"/>
      <c r="I50" s="55" t="s">
        <v>3393</v>
      </c>
      <c r="J50" s="55" t="s">
        <v>3393</v>
      </c>
      <c r="K50" s="55"/>
      <c r="L50" s="57"/>
    </row>
    <row r="51" spans="1:12" ht="32" hidden="1" x14ac:dyDescent="0.2">
      <c r="A51" s="58" t="s">
        <v>979</v>
      </c>
      <c r="B51" s="59" t="s">
        <v>41</v>
      </c>
      <c r="C51" s="59" t="s">
        <v>3389</v>
      </c>
      <c r="D51" s="56" t="s">
        <v>3392</v>
      </c>
      <c r="E51" s="59" t="s">
        <v>980</v>
      </c>
      <c r="F51" s="59" t="s">
        <v>49</v>
      </c>
      <c r="G51" s="59"/>
      <c r="H51" s="59"/>
      <c r="I51" s="59" t="s">
        <v>3393</v>
      </c>
      <c r="J51" s="59" t="s">
        <v>3393</v>
      </c>
      <c r="K51" s="59"/>
      <c r="L51" s="60"/>
    </row>
    <row r="52" spans="1:12" ht="32" hidden="1" x14ac:dyDescent="0.2">
      <c r="A52" s="54" t="s">
        <v>981</v>
      </c>
      <c r="B52" s="55" t="s">
        <v>41</v>
      </c>
      <c r="C52" s="55" t="s">
        <v>3389</v>
      </c>
      <c r="D52" s="56" t="s">
        <v>3392</v>
      </c>
      <c r="E52" s="55" t="s">
        <v>982</v>
      </c>
      <c r="F52" s="55" t="s">
        <v>49</v>
      </c>
      <c r="G52" s="55"/>
      <c r="H52" s="55"/>
      <c r="I52" s="55" t="s">
        <v>3393</v>
      </c>
      <c r="J52" s="55" t="s">
        <v>3393</v>
      </c>
      <c r="K52" s="55"/>
      <c r="L52" s="57"/>
    </row>
    <row r="53" spans="1:12" ht="32" hidden="1" x14ac:dyDescent="0.2">
      <c r="A53" s="58" t="s">
        <v>983</v>
      </c>
      <c r="B53" s="59" t="s">
        <v>41</v>
      </c>
      <c r="C53" s="59" t="s">
        <v>3389</v>
      </c>
      <c r="D53" s="56" t="s">
        <v>3392</v>
      </c>
      <c r="E53" s="59" t="s">
        <v>984</v>
      </c>
      <c r="F53" s="59" t="s">
        <v>49</v>
      </c>
      <c r="G53" s="59"/>
      <c r="H53" s="59"/>
      <c r="I53" s="59" t="s">
        <v>3393</v>
      </c>
      <c r="J53" s="59" t="s">
        <v>3393</v>
      </c>
      <c r="K53" s="59"/>
      <c r="L53" s="60"/>
    </row>
    <row r="54" spans="1:12" ht="32" hidden="1" x14ac:dyDescent="0.2">
      <c r="A54" s="54" t="s">
        <v>985</v>
      </c>
      <c r="B54" s="55" t="s">
        <v>41</v>
      </c>
      <c r="C54" s="55" t="s">
        <v>3389</v>
      </c>
      <c r="D54" s="56" t="s">
        <v>3392</v>
      </c>
      <c r="E54" s="55" t="s">
        <v>986</v>
      </c>
      <c r="F54" s="55" t="s">
        <v>49</v>
      </c>
      <c r="G54" s="55"/>
      <c r="H54" s="55"/>
      <c r="I54" s="55" t="s">
        <v>3393</v>
      </c>
      <c r="J54" s="55" t="s">
        <v>3393</v>
      </c>
      <c r="K54" s="55"/>
      <c r="L54" s="57"/>
    </row>
    <row r="55" spans="1:12" ht="32" hidden="1" x14ac:dyDescent="0.2">
      <c r="A55" s="58" t="s">
        <v>987</v>
      </c>
      <c r="B55" s="59" t="s">
        <v>41</v>
      </c>
      <c r="C55" s="59" t="s">
        <v>3389</v>
      </c>
      <c r="D55" s="56" t="s">
        <v>3392</v>
      </c>
      <c r="E55" s="59" t="s">
        <v>988</v>
      </c>
      <c r="F55" s="59" t="s">
        <v>49</v>
      </c>
      <c r="G55" s="59"/>
      <c r="H55" s="59"/>
      <c r="I55" s="59" t="s">
        <v>3393</v>
      </c>
      <c r="J55" s="59" t="s">
        <v>3393</v>
      </c>
      <c r="K55" s="59"/>
      <c r="L55" s="60"/>
    </row>
    <row r="56" spans="1:12" ht="32" hidden="1" x14ac:dyDescent="0.2">
      <c r="A56" s="54" t="s">
        <v>989</v>
      </c>
      <c r="B56" s="55" t="s">
        <v>41</v>
      </c>
      <c r="C56" s="55" t="s">
        <v>3389</v>
      </c>
      <c r="D56" s="56" t="s">
        <v>3392</v>
      </c>
      <c r="E56" s="55" t="s">
        <v>990</v>
      </c>
      <c r="F56" s="55" t="s">
        <v>49</v>
      </c>
      <c r="G56" s="55"/>
      <c r="H56" s="55"/>
      <c r="I56" s="55" t="s">
        <v>3393</v>
      </c>
      <c r="J56" s="55" t="s">
        <v>3393</v>
      </c>
      <c r="K56" s="55"/>
      <c r="L56" s="57"/>
    </row>
    <row r="57" spans="1:12" ht="32" hidden="1" x14ac:dyDescent="0.2">
      <c r="A57" s="58" t="s">
        <v>991</v>
      </c>
      <c r="B57" s="59" t="s">
        <v>41</v>
      </c>
      <c r="C57" s="59" t="s">
        <v>3389</v>
      </c>
      <c r="D57" s="56" t="s">
        <v>3392</v>
      </c>
      <c r="E57" s="59" t="s">
        <v>992</v>
      </c>
      <c r="F57" s="59" t="s">
        <v>49</v>
      </c>
      <c r="G57" s="59"/>
      <c r="H57" s="59"/>
      <c r="I57" s="59" t="s">
        <v>3393</v>
      </c>
      <c r="J57" s="59" t="s">
        <v>3393</v>
      </c>
      <c r="K57" s="59"/>
      <c r="L57" s="60"/>
    </row>
    <row r="58" spans="1:12" ht="32" hidden="1" x14ac:dyDescent="0.2">
      <c r="A58" s="54" t="s">
        <v>993</v>
      </c>
      <c r="B58" s="55" t="s">
        <v>41</v>
      </c>
      <c r="C58" s="55" t="s">
        <v>3389</v>
      </c>
      <c r="D58" s="56" t="s">
        <v>3392</v>
      </c>
      <c r="E58" s="55" t="s">
        <v>994</v>
      </c>
      <c r="F58" s="55" t="s">
        <v>49</v>
      </c>
      <c r="G58" s="55"/>
      <c r="H58" s="55"/>
      <c r="I58" s="55" t="s">
        <v>3393</v>
      </c>
      <c r="J58" s="55" t="s">
        <v>3393</v>
      </c>
      <c r="K58" s="55"/>
      <c r="L58" s="57"/>
    </row>
    <row r="59" spans="1:12" ht="32" hidden="1" x14ac:dyDescent="0.2">
      <c r="A59" s="58" t="s">
        <v>995</v>
      </c>
      <c r="B59" s="59" t="s">
        <v>41</v>
      </c>
      <c r="C59" s="59" t="s">
        <v>3389</v>
      </c>
      <c r="D59" s="56" t="s">
        <v>3392</v>
      </c>
      <c r="E59" s="59" t="s">
        <v>996</v>
      </c>
      <c r="F59" s="59" t="s">
        <v>49</v>
      </c>
      <c r="G59" s="59"/>
      <c r="H59" s="59"/>
      <c r="I59" s="59" t="s">
        <v>3393</v>
      </c>
      <c r="J59" s="59" t="s">
        <v>3393</v>
      </c>
      <c r="K59" s="59"/>
      <c r="L59" s="60"/>
    </row>
    <row r="60" spans="1:12" ht="32" hidden="1" x14ac:dyDescent="0.2">
      <c r="A60" s="54" t="s">
        <v>997</v>
      </c>
      <c r="B60" s="55" t="s">
        <v>41</v>
      </c>
      <c r="C60" s="55" t="s">
        <v>3389</v>
      </c>
      <c r="D60" s="56" t="s">
        <v>3392</v>
      </c>
      <c r="E60" s="55" t="s">
        <v>998</v>
      </c>
      <c r="F60" s="55" t="s">
        <v>49</v>
      </c>
      <c r="G60" s="55"/>
      <c r="H60" s="55"/>
      <c r="I60" s="55" t="s">
        <v>3393</v>
      </c>
      <c r="J60" s="55" t="s">
        <v>3393</v>
      </c>
      <c r="K60" s="55"/>
      <c r="L60" s="57"/>
    </row>
    <row r="61" spans="1:12" ht="32" hidden="1" x14ac:dyDescent="0.2">
      <c r="A61" s="58" t="s">
        <v>999</v>
      </c>
      <c r="B61" s="59" t="s">
        <v>41</v>
      </c>
      <c r="C61" s="59" t="s">
        <v>3389</v>
      </c>
      <c r="D61" s="56" t="s">
        <v>3392</v>
      </c>
      <c r="E61" s="59" t="s">
        <v>1000</v>
      </c>
      <c r="F61" s="59" t="s">
        <v>49</v>
      </c>
      <c r="G61" s="59"/>
      <c r="H61" s="59"/>
      <c r="I61" s="59" t="s">
        <v>3393</v>
      </c>
      <c r="J61" s="59" t="s">
        <v>3393</v>
      </c>
      <c r="K61" s="59"/>
      <c r="L61" s="60"/>
    </row>
    <row r="62" spans="1:12" ht="32" hidden="1" x14ac:dyDescent="0.2">
      <c r="A62" s="54" t="s">
        <v>1001</v>
      </c>
      <c r="B62" s="55" t="s">
        <v>41</v>
      </c>
      <c r="C62" s="55" t="s">
        <v>3389</v>
      </c>
      <c r="D62" s="56" t="s">
        <v>3392</v>
      </c>
      <c r="E62" s="55" t="s">
        <v>1002</v>
      </c>
      <c r="F62" s="55" t="s">
        <v>49</v>
      </c>
      <c r="G62" s="55"/>
      <c r="H62" s="55"/>
      <c r="I62" s="55" t="s">
        <v>3393</v>
      </c>
      <c r="J62" s="55" t="s">
        <v>3393</v>
      </c>
      <c r="K62" s="55"/>
      <c r="L62" s="57"/>
    </row>
    <row r="63" spans="1:12" ht="32" hidden="1" x14ac:dyDescent="0.2">
      <c r="A63" s="58" t="s">
        <v>1003</v>
      </c>
      <c r="B63" s="59" t="s">
        <v>41</v>
      </c>
      <c r="C63" s="59" t="s">
        <v>3389</v>
      </c>
      <c r="D63" s="56" t="s">
        <v>3392</v>
      </c>
      <c r="E63" s="59" t="s">
        <v>1004</v>
      </c>
      <c r="F63" s="59" t="s">
        <v>49</v>
      </c>
      <c r="G63" s="59"/>
      <c r="H63" s="59"/>
      <c r="I63" s="59" t="s">
        <v>3393</v>
      </c>
      <c r="J63" s="59" t="s">
        <v>3393</v>
      </c>
      <c r="K63" s="59"/>
      <c r="L63" s="60"/>
    </row>
    <row r="64" spans="1:12" ht="32" hidden="1" x14ac:dyDescent="0.2">
      <c r="A64" s="54" t="s">
        <v>1005</v>
      </c>
      <c r="B64" s="55" t="s">
        <v>41</v>
      </c>
      <c r="C64" s="55" t="s">
        <v>3389</v>
      </c>
      <c r="D64" s="56" t="s">
        <v>3392</v>
      </c>
      <c r="E64" s="55" t="s">
        <v>1006</v>
      </c>
      <c r="F64" s="55" t="s">
        <v>49</v>
      </c>
      <c r="G64" s="55"/>
      <c r="H64" s="55"/>
      <c r="I64" s="55" t="s">
        <v>3393</v>
      </c>
      <c r="J64" s="55" t="s">
        <v>3393</v>
      </c>
      <c r="K64" s="55"/>
      <c r="L64" s="57"/>
    </row>
    <row r="65" spans="1:12" ht="32" hidden="1" x14ac:dyDescent="0.2">
      <c r="A65" s="58" t="s">
        <v>1007</v>
      </c>
      <c r="B65" s="59" t="s">
        <v>41</v>
      </c>
      <c r="C65" s="59" t="s">
        <v>3389</v>
      </c>
      <c r="D65" s="56" t="s">
        <v>3392</v>
      </c>
      <c r="E65" s="59" t="s">
        <v>1008</v>
      </c>
      <c r="F65" s="59" t="s">
        <v>49</v>
      </c>
      <c r="G65" s="59"/>
      <c r="H65" s="59"/>
      <c r="I65" s="59" t="s">
        <v>3393</v>
      </c>
      <c r="J65" s="59" t="s">
        <v>3393</v>
      </c>
      <c r="K65" s="59"/>
      <c r="L65" s="60"/>
    </row>
    <row r="66" spans="1:12" ht="32" hidden="1" x14ac:dyDescent="0.2">
      <c r="A66" s="54" t="s">
        <v>1009</v>
      </c>
      <c r="B66" s="55" t="s">
        <v>41</v>
      </c>
      <c r="C66" s="55" t="s">
        <v>3389</v>
      </c>
      <c r="D66" s="56" t="s">
        <v>3392</v>
      </c>
      <c r="E66" s="55" t="s">
        <v>1010</v>
      </c>
      <c r="F66" s="55" t="s">
        <v>49</v>
      </c>
      <c r="G66" s="55"/>
      <c r="H66" s="55"/>
      <c r="I66" s="55" t="s">
        <v>3393</v>
      </c>
      <c r="J66" s="55" t="s">
        <v>3393</v>
      </c>
      <c r="K66" s="55"/>
      <c r="L66" s="57"/>
    </row>
    <row r="67" spans="1:12" ht="32" hidden="1" x14ac:dyDescent="0.2">
      <c r="A67" s="58" t="s">
        <v>1011</v>
      </c>
      <c r="B67" s="59" t="s">
        <v>41</v>
      </c>
      <c r="C67" s="59" t="s">
        <v>3389</v>
      </c>
      <c r="D67" s="56" t="s">
        <v>3392</v>
      </c>
      <c r="E67" s="59" t="s">
        <v>1012</v>
      </c>
      <c r="F67" s="59" t="s">
        <v>49</v>
      </c>
      <c r="G67" s="59"/>
      <c r="H67" s="59"/>
      <c r="I67" s="59" t="s">
        <v>3393</v>
      </c>
      <c r="J67" s="59" t="s">
        <v>3393</v>
      </c>
      <c r="K67" s="59"/>
      <c r="L67" s="60"/>
    </row>
    <row r="68" spans="1:12" ht="32" hidden="1" x14ac:dyDescent="0.2">
      <c r="A68" s="54" t="s">
        <v>1013</v>
      </c>
      <c r="B68" s="55" t="s">
        <v>41</v>
      </c>
      <c r="C68" s="55" t="s">
        <v>3389</v>
      </c>
      <c r="D68" s="56" t="s">
        <v>3392</v>
      </c>
      <c r="E68" s="55" t="s">
        <v>1014</v>
      </c>
      <c r="F68" s="55" t="s">
        <v>49</v>
      </c>
      <c r="G68" s="55"/>
      <c r="H68" s="55"/>
      <c r="I68" s="55" t="s">
        <v>3393</v>
      </c>
      <c r="J68" s="55" t="s">
        <v>3393</v>
      </c>
      <c r="K68" s="55"/>
      <c r="L68" s="57"/>
    </row>
    <row r="69" spans="1:12" ht="32" hidden="1" x14ac:dyDescent="0.2">
      <c r="A69" s="58" t="s">
        <v>1015</v>
      </c>
      <c r="B69" s="59" t="s">
        <v>41</v>
      </c>
      <c r="C69" s="59" t="s">
        <v>3389</v>
      </c>
      <c r="D69" s="56" t="s">
        <v>3392</v>
      </c>
      <c r="E69" s="59" t="s">
        <v>1016</v>
      </c>
      <c r="F69" s="59" t="s">
        <v>49</v>
      </c>
      <c r="G69" s="59"/>
      <c r="H69" s="59"/>
      <c r="I69" s="59" t="s">
        <v>3393</v>
      </c>
      <c r="J69" s="59" t="s">
        <v>3393</v>
      </c>
      <c r="K69" s="59"/>
      <c r="L69" s="60"/>
    </row>
    <row r="70" spans="1:12" ht="32" hidden="1" x14ac:dyDescent="0.2">
      <c r="A70" s="54" t="s">
        <v>1017</v>
      </c>
      <c r="B70" s="55" t="s">
        <v>41</v>
      </c>
      <c r="C70" s="55" t="s">
        <v>3389</v>
      </c>
      <c r="D70" s="56" t="s">
        <v>3392</v>
      </c>
      <c r="E70" s="55" t="s">
        <v>1018</v>
      </c>
      <c r="F70" s="55" t="s">
        <v>49</v>
      </c>
      <c r="G70" s="55"/>
      <c r="H70" s="55"/>
      <c r="I70" s="55" t="s">
        <v>3393</v>
      </c>
      <c r="J70" s="55" t="s">
        <v>3393</v>
      </c>
      <c r="K70" s="55"/>
      <c r="L70" s="57"/>
    </row>
    <row r="71" spans="1:12" ht="32" hidden="1" x14ac:dyDescent="0.2">
      <c r="A71" s="58" t="s">
        <v>1019</v>
      </c>
      <c r="B71" s="59" t="s">
        <v>41</v>
      </c>
      <c r="C71" s="59" t="s">
        <v>3389</v>
      </c>
      <c r="D71" s="56" t="s">
        <v>3392</v>
      </c>
      <c r="E71" s="59" t="s">
        <v>1020</v>
      </c>
      <c r="F71" s="59" t="s">
        <v>49</v>
      </c>
      <c r="G71" s="59"/>
      <c r="H71" s="59"/>
      <c r="I71" s="59" t="s">
        <v>3393</v>
      </c>
      <c r="J71" s="59" t="s">
        <v>3393</v>
      </c>
      <c r="K71" s="59"/>
      <c r="L71" s="60"/>
    </row>
    <row r="72" spans="1:12" ht="32" hidden="1" x14ac:dyDescent="0.2">
      <c r="A72" s="54" t="s">
        <v>1021</v>
      </c>
      <c r="B72" s="55" t="s">
        <v>41</v>
      </c>
      <c r="C72" s="55" t="s">
        <v>3389</v>
      </c>
      <c r="D72" s="56" t="s">
        <v>3392</v>
      </c>
      <c r="E72" s="55" t="s">
        <v>1022</v>
      </c>
      <c r="F72" s="55" t="s">
        <v>49</v>
      </c>
      <c r="G72" s="55"/>
      <c r="H72" s="55"/>
      <c r="I72" s="55" t="s">
        <v>3393</v>
      </c>
      <c r="J72" s="55" t="s">
        <v>3393</v>
      </c>
      <c r="K72" s="55"/>
      <c r="L72" s="57"/>
    </row>
    <row r="73" spans="1:12" ht="32" hidden="1" x14ac:dyDescent="0.2">
      <c r="A73" s="58" t="s">
        <v>1023</v>
      </c>
      <c r="B73" s="59" t="s">
        <v>41</v>
      </c>
      <c r="C73" s="59" t="s">
        <v>3389</v>
      </c>
      <c r="D73" s="56" t="s">
        <v>3392</v>
      </c>
      <c r="E73" s="59" t="s">
        <v>1024</v>
      </c>
      <c r="F73" s="59" t="s">
        <v>49</v>
      </c>
      <c r="G73" s="59"/>
      <c r="H73" s="59"/>
      <c r="I73" s="59" t="s">
        <v>3393</v>
      </c>
      <c r="J73" s="59" t="s">
        <v>3393</v>
      </c>
      <c r="K73" s="59"/>
      <c r="L73" s="60"/>
    </row>
    <row r="74" spans="1:12" ht="32" hidden="1" x14ac:dyDescent="0.2">
      <c r="A74" s="54" t="s">
        <v>1025</v>
      </c>
      <c r="B74" s="55" t="s">
        <v>41</v>
      </c>
      <c r="C74" s="55" t="s">
        <v>3389</v>
      </c>
      <c r="D74" s="56" t="s">
        <v>3392</v>
      </c>
      <c r="E74" s="55" t="s">
        <v>1026</v>
      </c>
      <c r="F74" s="55" t="s">
        <v>49</v>
      </c>
      <c r="G74" s="55"/>
      <c r="H74" s="55"/>
      <c r="I74" s="55" t="s">
        <v>3393</v>
      </c>
      <c r="J74" s="55" t="s">
        <v>3393</v>
      </c>
      <c r="K74" s="55"/>
      <c r="L74" s="57"/>
    </row>
    <row r="75" spans="1:12" ht="32" hidden="1" x14ac:dyDescent="0.2">
      <c r="A75" s="58" t="s">
        <v>1027</v>
      </c>
      <c r="B75" s="59" t="s">
        <v>41</v>
      </c>
      <c r="C75" s="59" t="s">
        <v>3389</v>
      </c>
      <c r="D75" s="56" t="s">
        <v>3392</v>
      </c>
      <c r="E75" s="59" t="s">
        <v>1028</v>
      </c>
      <c r="F75" s="59" t="s">
        <v>49</v>
      </c>
      <c r="G75" s="59"/>
      <c r="H75" s="59"/>
      <c r="I75" s="59" t="s">
        <v>3393</v>
      </c>
      <c r="J75" s="59" t="s">
        <v>3393</v>
      </c>
      <c r="K75" s="59"/>
      <c r="L75" s="60"/>
    </row>
    <row r="76" spans="1:12" ht="32" hidden="1" x14ac:dyDescent="0.2">
      <c r="A76" s="54" t="s">
        <v>1029</v>
      </c>
      <c r="B76" s="55" t="s">
        <v>41</v>
      </c>
      <c r="C76" s="55" t="s">
        <v>3389</v>
      </c>
      <c r="D76" s="56" t="s">
        <v>3392</v>
      </c>
      <c r="E76" s="55" t="s">
        <v>1030</v>
      </c>
      <c r="F76" s="55" t="s">
        <v>49</v>
      </c>
      <c r="G76" s="55"/>
      <c r="H76" s="55"/>
      <c r="I76" s="55" t="s">
        <v>3393</v>
      </c>
      <c r="J76" s="55" t="s">
        <v>3393</v>
      </c>
      <c r="K76" s="55"/>
      <c r="L76" s="57"/>
    </row>
    <row r="77" spans="1:12" ht="32" hidden="1" x14ac:dyDescent="0.2">
      <c r="A77" s="58" t="s">
        <v>1031</v>
      </c>
      <c r="B77" s="59" t="s">
        <v>41</v>
      </c>
      <c r="C77" s="59" t="s">
        <v>3389</v>
      </c>
      <c r="D77" s="56" t="s">
        <v>3392</v>
      </c>
      <c r="E77" s="59" t="s">
        <v>1032</v>
      </c>
      <c r="F77" s="59" t="s">
        <v>49</v>
      </c>
      <c r="G77" s="59"/>
      <c r="H77" s="59"/>
      <c r="I77" s="59" t="s">
        <v>3393</v>
      </c>
      <c r="J77" s="59" t="s">
        <v>3393</v>
      </c>
      <c r="K77" s="59"/>
      <c r="L77" s="60"/>
    </row>
    <row r="78" spans="1:12" ht="32" hidden="1" x14ac:dyDescent="0.2">
      <c r="A78" s="54" t="s">
        <v>1033</v>
      </c>
      <c r="B78" s="55" t="s">
        <v>41</v>
      </c>
      <c r="C78" s="55" t="s">
        <v>3389</v>
      </c>
      <c r="D78" s="56" t="s">
        <v>3392</v>
      </c>
      <c r="E78" s="55" t="s">
        <v>1034</v>
      </c>
      <c r="F78" s="55" t="s">
        <v>49</v>
      </c>
      <c r="G78" s="55"/>
      <c r="H78" s="55"/>
      <c r="I78" s="55" t="s">
        <v>3393</v>
      </c>
      <c r="J78" s="55" t="s">
        <v>3393</v>
      </c>
      <c r="K78" s="55"/>
      <c r="L78" s="57"/>
    </row>
    <row r="79" spans="1:12" ht="32" hidden="1" x14ac:dyDescent="0.2">
      <c r="A79" s="58" t="s">
        <v>1035</v>
      </c>
      <c r="B79" s="59" t="s">
        <v>41</v>
      </c>
      <c r="C79" s="59" t="s">
        <v>3389</v>
      </c>
      <c r="D79" s="56" t="s">
        <v>3392</v>
      </c>
      <c r="E79" s="59" t="s">
        <v>1036</v>
      </c>
      <c r="F79" s="59" t="s">
        <v>49</v>
      </c>
      <c r="G79" s="59"/>
      <c r="H79" s="59"/>
      <c r="I79" s="59" t="s">
        <v>3393</v>
      </c>
      <c r="J79" s="59" t="s">
        <v>3393</v>
      </c>
      <c r="K79" s="59"/>
      <c r="L79" s="60"/>
    </row>
    <row r="80" spans="1:12" ht="32" hidden="1" x14ac:dyDescent="0.2">
      <c r="A80" s="54" t="s">
        <v>1037</v>
      </c>
      <c r="B80" s="55" t="s">
        <v>41</v>
      </c>
      <c r="C80" s="55" t="s">
        <v>3389</v>
      </c>
      <c r="D80" s="56" t="s">
        <v>3392</v>
      </c>
      <c r="E80" s="55" t="s">
        <v>1038</v>
      </c>
      <c r="F80" s="55" t="s">
        <v>49</v>
      </c>
      <c r="G80" s="55"/>
      <c r="H80" s="55"/>
      <c r="I80" s="55" t="s">
        <v>3393</v>
      </c>
      <c r="J80" s="55" t="s">
        <v>3393</v>
      </c>
      <c r="K80" s="55"/>
      <c r="L80" s="57"/>
    </row>
    <row r="81" spans="1:12" ht="32" hidden="1" x14ac:dyDescent="0.2">
      <c r="A81" s="58" t="s">
        <v>1039</v>
      </c>
      <c r="B81" s="59" t="s">
        <v>41</v>
      </c>
      <c r="C81" s="59" t="s">
        <v>3389</v>
      </c>
      <c r="D81" s="56" t="s">
        <v>3392</v>
      </c>
      <c r="E81" s="59" t="s">
        <v>1040</v>
      </c>
      <c r="F81" s="59" t="s">
        <v>49</v>
      </c>
      <c r="G81" s="59"/>
      <c r="H81" s="59"/>
      <c r="I81" s="59" t="s">
        <v>3393</v>
      </c>
      <c r="J81" s="59" t="s">
        <v>3393</v>
      </c>
      <c r="K81" s="59"/>
      <c r="L81" s="60"/>
    </row>
    <row r="82" spans="1:12" ht="32" hidden="1" x14ac:dyDescent="0.2">
      <c r="A82" s="54" t="s">
        <v>1041</v>
      </c>
      <c r="B82" s="55" t="s">
        <v>41</v>
      </c>
      <c r="C82" s="55" t="s">
        <v>3389</v>
      </c>
      <c r="D82" s="56" t="s">
        <v>3392</v>
      </c>
      <c r="E82" s="55" t="s">
        <v>1042</v>
      </c>
      <c r="F82" s="55" t="s">
        <v>49</v>
      </c>
      <c r="G82" s="55"/>
      <c r="H82" s="55"/>
      <c r="I82" s="55" t="s">
        <v>3393</v>
      </c>
      <c r="J82" s="55" t="s">
        <v>3393</v>
      </c>
      <c r="K82" s="55"/>
      <c r="L82" s="57"/>
    </row>
    <row r="83" spans="1:12" ht="32" hidden="1" x14ac:dyDescent="0.2">
      <c r="A83" s="58" t="s">
        <v>1043</v>
      </c>
      <c r="B83" s="59" t="s">
        <v>41</v>
      </c>
      <c r="C83" s="59" t="s">
        <v>3389</v>
      </c>
      <c r="D83" s="56" t="s">
        <v>3392</v>
      </c>
      <c r="E83" s="59" t="s">
        <v>1044</v>
      </c>
      <c r="F83" s="59" t="s">
        <v>49</v>
      </c>
      <c r="G83" s="59"/>
      <c r="H83" s="59"/>
      <c r="I83" s="59" t="s">
        <v>3393</v>
      </c>
      <c r="J83" s="59" t="s">
        <v>3393</v>
      </c>
      <c r="K83" s="59"/>
      <c r="L83" s="60"/>
    </row>
    <row r="84" spans="1:12" ht="32" hidden="1" x14ac:dyDescent="0.2">
      <c r="A84" s="54" t="s">
        <v>1045</v>
      </c>
      <c r="B84" s="55" t="s">
        <v>41</v>
      </c>
      <c r="C84" s="55" t="s">
        <v>3389</v>
      </c>
      <c r="D84" s="56" t="s">
        <v>3392</v>
      </c>
      <c r="E84" s="55" t="s">
        <v>1046</v>
      </c>
      <c r="F84" s="55" t="s">
        <v>49</v>
      </c>
      <c r="G84" s="55"/>
      <c r="H84" s="55"/>
      <c r="I84" s="55" t="s">
        <v>3393</v>
      </c>
      <c r="J84" s="55" t="s">
        <v>3393</v>
      </c>
      <c r="K84" s="55"/>
      <c r="L84" s="57"/>
    </row>
    <row r="85" spans="1:12" ht="32" hidden="1" x14ac:dyDescent="0.2">
      <c r="A85" s="58" t="s">
        <v>1047</v>
      </c>
      <c r="B85" s="59" t="s">
        <v>41</v>
      </c>
      <c r="C85" s="59" t="s">
        <v>3389</v>
      </c>
      <c r="D85" s="56" t="s">
        <v>3392</v>
      </c>
      <c r="E85" s="59" t="s">
        <v>1048</v>
      </c>
      <c r="F85" s="59" t="s">
        <v>49</v>
      </c>
      <c r="G85" s="59"/>
      <c r="H85" s="59"/>
      <c r="I85" s="59" t="s">
        <v>3393</v>
      </c>
      <c r="J85" s="59" t="s">
        <v>3393</v>
      </c>
      <c r="K85" s="59"/>
      <c r="L85" s="60"/>
    </row>
    <row r="86" spans="1:12" ht="32" hidden="1" x14ac:dyDescent="0.2">
      <c r="A86" s="54" t="s">
        <v>1049</v>
      </c>
      <c r="B86" s="55" t="s">
        <v>41</v>
      </c>
      <c r="C86" s="55" t="s">
        <v>3389</v>
      </c>
      <c r="D86" s="56" t="s">
        <v>3392</v>
      </c>
      <c r="E86" s="55" t="s">
        <v>1050</v>
      </c>
      <c r="F86" s="55" t="s">
        <v>49</v>
      </c>
      <c r="G86" s="55"/>
      <c r="H86" s="55"/>
      <c r="I86" s="55" t="s">
        <v>3393</v>
      </c>
      <c r="J86" s="55" t="s">
        <v>3393</v>
      </c>
      <c r="K86" s="55"/>
      <c r="L86" s="57"/>
    </row>
    <row r="87" spans="1:12" ht="32" hidden="1" x14ac:dyDescent="0.2">
      <c r="A87" s="58" t="s">
        <v>1051</v>
      </c>
      <c r="B87" s="59" t="s">
        <v>41</v>
      </c>
      <c r="C87" s="59" t="s">
        <v>3389</v>
      </c>
      <c r="D87" s="56" t="s">
        <v>3392</v>
      </c>
      <c r="E87" s="59" t="s">
        <v>1052</v>
      </c>
      <c r="F87" s="59" t="s">
        <v>49</v>
      </c>
      <c r="G87" s="59"/>
      <c r="H87" s="59"/>
      <c r="I87" s="59" t="s">
        <v>3393</v>
      </c>
      <c r="J87" s="59" t="s">
        <v>3393</v>
      </c>
      <c r="K87" s="59"/>
      <c r="L87" s="60"/>
    </row>
    <row r="88" spans="1:12" ht="32" hidden="1" x14ac:dyDescent="0.2">
      <c r="A88" s="54" t="s">
        <v>1053</v>
      </c>
      <c r="B88" s="55" t="s">
        <v>41</v>
      </c>
      <c r="C88" s="55" t="s">
        <v>3389</v>
      </c>
      <c r="D88" s="56" t="s">
        <v>3392</v>
      </c>
      <c r="E88" s="55" t="s">
        <v>1054</v>
      </c>
      <c r="F88" s="55" t="s">
        <v>49</v>
      </c>
      <c r="G88" s="55"/>
      <c r="H88" s="55"/>
      <c r="I88" s="55" t="s">
        <v>3393</v>
      </c>
      <c r="J88" s="55" t="s">
        <v>3393</v>
      </c>
      <c r="K88" s="55"/>
      <c r="L88" s="57"/>
    </row>
    <row r="89" spans="1:12" ht="32" hidden="1" x14ac:dyDescent="0.2">
      <c r="A89" s="58" t="s">
        <v>1055</v>
      </c>
      <c r="B89" s="59" t="s">
        <v>41</v>
      </c>
      <c r="C89" s="59" t="s">
        <v>3389</v>
      </c>
      <c r="D89" s="56" t="s">
        <v>3392</v>
      </c>
      <c r="E89" s="59" t="s">
        <v>1056</v>
      </c>
      <c r="F89" s="59" t="s">
        <v>49</v>
      </c>
      <c r="G89" s="59"/>
      <c r="H89" s="59"/>
      <c r="I89" s="59" t="s">
        <v>3393</v>
      </c>
      <c r="J89" s="59" t="s">
        <v>3393</v>
      </c>
      <c r="K89" s="59"/>
      <c r="L89" s="60"/>
    </row>
    <row r="90" spans="1:12" ht="32" hidden="1" x14ac:dyDescent="0.2">
      <c r="A90" s="54" t="s">
        <v>1057</v>
      </c>
      <c r="B90" s="55" t="s">
        <v>41</v>
      </c>
      <c r="C90" s="55" t="s">
        <v>3389</v>
      </c>
      <c r="D90" s="56" t="s">
        <v>3392</v>
      </c>
      <c r="E90" s="55" t="s">
        <v>1058</v>
      </c>
      <c r="F90" s="55" t="s">
        <v>49</v>
      </c>
      <c r="G90" s="55"/>
      <c r="H90" s="55"/>
      <c r="I90" s="55" t="s">
        <v>3393</v>
      </c>
      <c r="J90" s="55" t="s">
        <v>3393</v>
      </c>
      <c r="K90" s="55"/>
      <c r="L90" s="57"/>
    </row>
    <row r="91" spans="1:12" ht="32" hidden="1" x14ac:dyDescent="0.2">
      <c r="A91" s="58" t="s">
        <v>1059</v>
      </c>
      <c r="B91" s="59" t="s">
        <v>41</v>
      </c>
      <c r="C91" s="59" t="s">
        <v>3389</v>
      </c>
      <c r="D91" s="56" t="s">
        <v>3392</v>
      </c>
      <c r="E91" s="59" t="s">
        <v>1060</v>
      </c>
      <c r="F91" s="59" t="s">
        <v>49</v>
      </c>
      <c r="G91" s="59"/>
      <c r="H91" s="59"/>
      <c r="I91" s="59" t="s">
        <v>3393</v>
      </c>
      <c r="J91" s="59" t="s">
        <v>3393</v>
      </c>
      <c r="K91" s="59"/>
      <c r="L91" s="60"/>
    </row>
    <row r="92" spans="1:12" ht="32" hidden="1" x14ac:dyDescent="0.2">
      <c r="A92" s="54" t="s">
        <v>1061</v>
      </c>
      <c r="B92" s="55" t="s">
        <v>41</v>
      </c>
      <c r="C92" s="55" t="s">
        <v>3389</v>
      </c>
      <c r="D92" s="56" t="s">
        <v>3392</v>
      </c>
      <c r="E92" s="55" t="s">
        <v>1062</v>
      </c>
      <c r="F92" s="55" t="s">
        <v>49</v>
      </c>
      <c r="G92" s="55"/>
      <c r="H92" s="55"/>
      <c r="I92" s="55" t="s">
        <v>3393</v>
      </c>
      <c r="J92" s="55" t="s">
        <v>3393</v>
      </c>
      <c r="K92" s="55"/>
      <c r="L92" s="57"/>
    </row>
    <row r="93" spans="1:12" ht="32" hidden="1" x14ac:dyDescent="0.2">
      <c r="A93" s="58" t="s">
        <v>1063</v>
      </c>
      <c r="B93" s="59" t="s">
        <v>41</v>
      </c>
      <c r="C93" s="59" t="s">
        <v>3389</v>
      </c>
      <c r="D93" s="56" t="s">
        <v>3392</v>
      </c>
      <c r="E93" s="59" t="s">
        <v>1064</v>
      </c>
      <c r="F93" s="59" t="s">
        <v>49</v>
      </c>
      <c r="G93" s="59"/>
      <c r="H93" s="59"/>
      <c r="I93" s="59" t="s">
        <v>3393</v>
      </c>
      <c r="J93" s="59" t="s">
        <v>3393</v>
      </c>
      <c r="K93" s="59"/>
      <c r="L93" s="60"/>
    </row>
    <row r="94" spans="1:12" ht="32" hidden="1" x14ac:dyDescent="0.2">
      <c r="A94" s="54" t="s">
        <v>1065</v>
      </c>
      <c r="B94" s="55" t="s">
        <v>41</v>
      </c>
      <c r="C94" s="55" t="s">
        <v>3389</v>
      </c>
      <c r="D94" s="56" t="s">
        <v>3392</v>
      </c>
      <c r="E94" s="55" t="s">
        <v>1066</v>
      </c>
      <c r="F94" s="55" t="s">
        <v>49</v>
      </c>
      <c r="G94" s="55"/>
      <c r="H94" s="55"/>
      <c r="I94" s="55" t="s">
        <v>3393</v>
      </c>
      <c r="J94" s="55" t="s">
        <v>3393</v>
      </c>
      <c r="K94" s="55"/>
      <c r="L94" s="57"/>
    </row>
    <row r="95" spans="1:12" ht="32" hidden="1" x14ac:dyDescent="0.2">
      <c r="A95" s="58" t="s">
        <v>1067</v>
      </c>
      <c r="B95" s="59" t="s">
        <v>41</v>
      </c>
      <c r="C95" s="59" t="s">
        <v>3386</v>
      </c>
      <c r="D95" s="56" t="s">
        <v>3392</v>
      </c>
      <c r="E95" s="59" t="s">
        <v>1068</v>
      </c>
      <c r="F95" s="59" t="s">
        <v>49</v>
      </c>
      <c r="G95" s="59"/>
      <c r="H95" s="59"/>
      <c r="I95" s="59" t="s">
        <v>3393</v>
      </c>
      <c r="J95" s="59" t="s">
        <v>3393</v>
      </c>
      <c r="K95" s="59"/>
      <c r="L95" s="60"/>
    </row>
    <row r="96" spans="1:12" ht="32" hidden="1" x14ac:dyDescent="0.2">
      <c r="A96" s="54" t="s">
        <v>1069</v>
      </c>
      <c r="B96" s="55" t="s">
        <v>41</v>
      </c>
      <c r="C96" s="55" t="s">
        <v>3386</v>
      </c>
      <c r="D96" s="56" t="s">
        <v>3392</v>
      </c>
      <c r="E96" s="55" t="s">
        <v>1070</v>
      </c>
      <c r="F96" s="55" t="s">
        <v>49</v>
      </c>
      <c r="G96" s="55"/>
      <c r="H96" s="55"/>
      <c r="I96" s="55" t="s">
        <v>3393</v>
      </c>
      <c r="J96" s="55" t="s">
        <v>3393</v>
      </c>
      <c r="K96" s="55"/>
      <c r="L96" s="57"/>
    </row>
    <row r="97" spans="1:12" ht="32" hidden="1" x14ac:dyDescent="0.2">
      <c r="A97" s="58" t="s">
        <v>1071</v>
      </c>
      <c r="B97" s="59" t="s">
        <v>41</v>
      </c>
      <c r="C97" s="59" t="s">
        <v>3386</v>
      </c>
      <c r="D97" s="56" t="s">
        <v>3392</v>
      </c>
      <c r="E97" s="59" t="s">
        <v>1072</v>
      </c>
      <c r="F97" s="59" t="s">
        <v>49</v>
      </c>
      <c r="G97" s="59"/>
      <c r="H97" s="59"/>
      <c r="I97" s="59" t="s">
        <v>3393</v>
      </c>
      <c r="J97" s="59" t="s">
        <v>3393</v>
      </c>
      <c r="K97" s="59"/>
      <c r="L97" s="60"/>
    </row>
    <row r="98" spans="1:12" ht="32" hidden="1" x14ac:dyDescent="0.2">
      <c r="A98" s="54" t="s">
        <v>1073</v>
      </c>
      <c r="B98" s="55" t="s">
        <v>41</v>
      </c>
      <c r="C98" s="55" t="s">
        <v>3386</v>
      </c>
      <c r="D98" s="56" t="s">
        <v>3392</v>
      </c>
      <c r="E98" s="55" t="s">
        <v>1074</v>
      </c>
      <c r="F98" s="55" t="s">
        <v>49</v>
      </c>
      <c r="G98" s="55"/>
      <c r="H98" s="55"/>
      <c r="I98" s="55" t="s">
        <v>3393</v>
      </c>
      <c r="J98" s="55" t="s">
        <v>3393</v>
      </c>
      <c r="K98" s="55"/>
      <c r="L98" s="57"/>
    </row>
    <row r="99" spans="1:12" ht="32" hidden="1" x14ac:dyDescent="0.2">
      <c r="A99" s="58" t="s">
        <v>1075</v>
      </c>
      <c r="B99" s="59" t="s">
        <v>41</v>
      </c>
      <c r="C99" s="59" t="s">
        <v>3386</v>
      </c>
      <c r="D99" s="56" t="s">
        <v>3392</v>
      </c>
      <c r="E99" s="59" t="s">
        <v>1076</v>
      </c>
      <c r="F99" s="59" t="s">
        <v>49</v>
      </c>
      <c r="G99" s="59"/>
      <c r="H99" s="59"/>
      <c r="I99" s="59" t="s">
        <v>3393</v>
      </c>
      <c r="J99" s="59" t="s">
        <v>3393</v>
      </c>
      <c r="K99" s="59"/>
      <c r="L99" s="60"/>
    </row>
    <row r="100" spans="1:12" ht="32" hidden="1" x14ac:dyDescent="0.2">
      <c r="A100" s="54" t="s">
        <v>1077</v>
      </c>
      <c r="B100" s="55" t="s">
        <v>41</v>
      </c>
      <c r="C100" s="55" t="s">
        <v>3386</v>
      </c>
      <c r="D100" s="56" t="s">
        <v>3392</v>
      </c>
      <c r="E100" s="55" t="s">
        <v>1078</v>
      </c>
      <c r="F100" s="55" t="s">
        <v>49</v>
      </c>
      <c r="G100" s="55"/>
      <c r="H100" s="55"/>
      <c r="I100" s="55" t="s">
        <v>3393</v>
      </c>
      <c r="J100" s="55" t="s">
        <v>3393</v>
      </c>
      <c r="K100" s="55"/>
      <c r="L100" s="57"/>
    </row>
    <row r="101" spans="1:12" ht="32" hidden="1" x14ac:dyDescent="0.2">
      <c r="A101" s="58" t="s">
        <v>1079</v>
      </c>
      <c r="B101" s="59" t="s">
        <v>41</v>
      </c>
      <c r="C101" s="59" t="s">
        <v>3386</v>
      </c>
      <c r="D101" s="56" t="s">
        <v>3392</v>
      </c>
      <c r="E101" s="59" t="s">
        <v>1080</v>
      </c>
      <c r="F101" s="59" t="s">
        <v>49</v>
      </c>
      <c r="G101" s="59"/>
      <c r="H101" s="59"/>
      <c r="I101" s="59" t="s">
        <v>3393</v>
      </c>
      <c r="J101" s="59" t="s">
        <v>3393</v>
      </c>
      <c r="K101" s="59"/>
      <c r="L101" s="60"/>
    </row>
    <row r="102" spans="1:12" ht="32" hidden="1" x14ac:dyDescent="0.2">
      <c r="A102" s="54" t="s">
        <v>1081</v>
      </c>
      <c r="B102" s="55" t="s">
        <v>41</v>
      </c>
      <c r="C102" s="55" t="s">
        <v>3386</v>
      </c>
      <c r="D102" s="56" t="s">
        <v>3392</v>
      </c>
      <c r="E102" s="55" t="s">
        <v>1082</v>
      </c>
      <c r="F102" s="55" t="s">
        <v>49</v>
      </c>
      <c r="G102" s="55"/>
      <c r="H102" s="55"/>
      <c r="I102" s="55" t="s">
        <v>3393</v>
      </c>
      <c r="J102" s="55" t="s">
        <v>3393</v>
      </c>
      <c r="K102" s="55"/>
      <c r="L102" s="57"/>
    </row>
    <row r="103" spans="1:12" ht="32" hidden="1" x14ac:dyDescent="0.2">
      <c r="A103" s="58" t="s">
        <v>1083</v>
      </c>
      <c r="B103" s="59" t="s">
        <v>41</v>
      </c>
      <c r="C103" s="59" t="s">
        <v>3376</v>
      </c>
      <c r="D103" s="56" t="s">
        <v>3392</v>
      </c>
      <c r="E103" s="59" t="s">
        <v>1084</v>
      </c>
      <c r="F103" s="59" t="s">
        <v>49</v>
      </c>
      <c r="G103" s="59"/>
      <c r="H103" s="59"/>
      <c r="I103" s="59" t="s">
        <v>3393</v>
      </c>
      <c r="J103" s="59" t="s">
        <v>3393</v>
      </c>
      <c r="K103" s="59"/>
      <c r="L103" s="60"/>
    </row>
    <row r="104" spans="1:12" ht="32" hidden="1" x14ac:dyDescent="0.2">
      <c r="A104" s="54" t="s">
        <v>1085</v>
      </c>
      <c r="B104" s="55" t="s">
        <v>41</v>
      </c>
      <c r="C104" s="55" t="s">
        <v>3376</v>
      </c>
      <c r="D104" s="56" t="s">
        <v>3392</v>
      </c>
      <c r="E104" s="55" t="s">
        <v>1086</v>
      </c>
      <c r="F104" s="55" t="s">
        <v>49</v>
      </c>
      <c r="G104" s="55"/>
      <c r="H104" s="55"/>
      <c r="I104" s="55" t="s">
        <v>3393</v>
      </c>
      <c r="J104" s="55" t="s">
        <v>3393</v>
      </c>
      <c r="K104" s="55"/>
      <c r="L104" s="57"/>
    </row>
    <row r="105" spans="1:12" ht="32" hidden="1" x14ac:dyDescent="0.2">
      <c r="A105" s="58" t="s">
        <v>1087</v>
      </c>
      <c r="B105" s="59" t="s">
        <v>41</v>
      </c>
      <c r="C105" s="59" t="s">
        <v>3376</v>
      </c>
      <c r="D105" s="56" t="s">
        <v>3392</v>
      </c>
      <c r="E105" s="59" t="s">
        <v>1088</v>
      </c>
      <c r="F105" s="59" t="s">
        <v>49</v>
      </c>
      <c r="G105" s="59"/>
      <c r="H105" s="59"/>
      <c r="I105" s="59" t="s">
        <v>3393</v>
      </c>
      <c r="J105" s="59" t="s">
        <v>3393</v>
      </c>
      <c r="K105" s="59"/>
      <c r="L105" s="60"/>
    </row>
    <row r="106" spans="1:12" ht="32" hidden="1" x14ac:dyDescent="0.2">
      <c r="A106" s="54" t="s">
        <v>1089</v>
      </c>
      <c r="B106" s="55" t="s">
        <v>41</v>
      </c>
      <c r="C106" s="55" t="s">
        <v>3377</v>
      </c>
      <c r="D106" s="56" t="s">
        <v>3392</v>
      </c>
      <c r="E106" s="55" t="s">
        <v>1090</v>
      </c>
      <c r="F106" s="55" t="s">
        <v>49</v>
      </c>
      <c r="G106" s="55"/>
      <c r="H106" s="55"/>
      <c r="I106" s="55" t="s">
        <v>3393</v>
      </c>
      <c r="J106" s="55" t="s">
        <v>3393</v>
      </c>
      <c r="K106" s="55"/>
      <c r="L106" s="57"/>
    </row>
    <row r="107" spans="1:12" ht="32" hidden="1" x14ac:dyDescent="0.2">
      <c r="A107" s="58" t="s">
        <v>1091</v>
      </c>
      <c r="B107" s="59" t="s">
        <v>41</v>
      </c>
      <c r="C107" s="59" t="s">
        <v>3377</v>
      </c>
      <c r="D107" s="56" t="s">
        <v>3392</v>
      </c>
      <c r="E107" s="59" t="s">
        <v>1092</v>
      </c>
      <c r="F107" s="59" t="s">
        <v>49</v>
      </c>
      <c r="G107" s="59"/>
      <c r="H107" s="59"/>
      <c r="I107" s="59" t="s">
        <v>3393</v>
      </c>
      <c r="J107" s="59" t="s">
        <v>3393</v>
      </c>
      <c r="K107" s="59"/>
      <c r="L107" s="60"/>
    </row>
    <row r="108" spans="1:12" ht="32" hidden="1" x14ac:dyDescent="0.2">
      <c r="A108" s="54" t="s">
        <v>1093</v>
      </c>
      <c r="B108" s="55" t="s">
        <v>41</v>
      </c>
      <c r="C108" s="55" t="s">
        <v>3378</v>
      </c>
      <c r="D108" s="56" t="s">
        <v>3392</v>
      </c>
      <c r="E108" s="55" t="s">
        <v>1094</v>
      </c>
      <c r="F108" s="55" t="s">
        <v>49</v>
      </c>
      <c r="G108" s="55"/>
      <c r="H108" s="55"/>
      <c r="I108" s="55" t="s">
        <v>3393</v>
      </c>
      <c r="J108" s="55" t="s">
        <v>3393</v>
      </c>
      <c r="K108" s="55"/>
      <c r="L108" s="57"/>
    </row>
    <row r="109" spans="1:12" ht="32" hidden="1" x14ac:dyDescent="0.2">
      <c r="A109" s="58" t="s">
        <v>1095</v>
      </c>
      <c r="B109" s="59" t="s">
        <v>41</v>
      </c>
      <c r="C109" s="59" t="s">
        <v>3378</v>
      </c>
      <c r="D109" s="56" t="s">
        <v>3392</v>
      </c>
      <c r="E109" s="59" t="s">
        <v>1096</v>
      </c>
      <c r="F109" s="59" t="s">
        <v>49</v>
      </c>
      <c r="G109" s="59"/>
      <c r="H109" s="59"/>
      <c r="I109" s="59" t="s">
        <v>3393</v>
      </c>
      <c r="J109" s="59" t="s">
        <v>3393</v>
      </c>
      <c r="K109" s="59"/>
      <c r="L109" s="60"/>
    </row>
    <row r="110" spans="1:12" ht="32" hidden="1" x14ac:dyDescent="0.2">
      <c r="A110" s="54" t="s">
        <v>1097</v>
      </c>
      <c r="B110" s="55" t="s">
        <v>41</v>
      </c>
      <c r="C110" s="55" t="s">
        <v>3378</v>
      </c>
      <c r="D110" s="56" t="s">
        <v>3392</v>
      </c>
      <c r="E110" s="55" t="s">
        <v>1098</v>
      </c>
      <c r="F110" s="55" t="s">
        <v>49</v>
      </c>
      <c r="G110" s="55"/>
      <c r="H110" s="55"/>
      <c r="I110" s="55" t="s">
        <v>3393</v>
      </c>
      <c r="J110" s="55" t="s">
        <v>3393</v>
      </c>
      <c r="K110" s="55"/>
      <c r="L110" s="57"/>
    </row>
    <row r="111" spans="1:12" ht="32" hidden="1" x14ac:dyDescent="0.2">
      <c r="A111" s="58" t="s">
        <v>1099</v>
      </c>
      <c r="B111" s="59" t="s">
        <v>41</v>
      </c>
      <c r="C111" s="59" t="s">
        <v>3378</v>
      </c>
      <c r="D111" s="56" t="s">
        <v>3392</v>
      </c>
      <c r="E111" s="59" t="s">
        <v>1100</v>
      </c>
      <c r="F111" s="59" t="s">
        <v>49</v>
      </c>
      <c r="G111" s="59"/>
      <c r="H111" s="59"/>
      <c r="I111" s="59" t="s">
        <v>3393</v>
      </c>
      <c r="J111" s="59" t="s">
        <v>3393</v>
      </c>
      <c r="K111" s="59"/>
      <c r="L111" s="60"/>
    </row>
    <row r="112" spans="1:12" ht="32" hidden="1" x14ac:dyDescent="0.2">
      <c r="A112" s="54" t="s">
        <v>1101</v>
      </c>
      <c r="B112" s="55" t="s">
        <v>41</v>
      </c>
      <c r="C112" s="55" t="s">
        <v>3379</v>
      </c>
      <c r="D112" s="56" t="s">
        <v>3392</v>
      </c>
      <c r="E112" s="55" t="s">
        <v>1102</v>
      </c>
      <c r="F112" s="55" t="s">
        <v>49</v>
      </c>
      <c r="G112" s="55"/>
      <c r="H112" s="55"/>
      <c r="I112" s="55" t="s">
        <v>3393</v>
      </c>
      <c r="J112" s="55" t="s">
        <v>3393</v>
      </c>
      <c r="K112" s="55"/>
      <c r="L112" s="57"/>
    </row>
    <row r="113" spans="1:12" ht="32" hidden="1" x14ac:dyDescent="0.2">
      <c r="A113" s="58" t="s">
        <v>1103</v>
      </c>
      <c r="B113" s="59" t="s">
        <v>41</v>
      </c>
      <c r="C113" s="59" t="s">
        <v>3379</v>
      </c>
      <c r="D113" s="56" t="s">
        <v>3392</v>
      </c>
      <c r="E113" s="59" t="s">
        <v>1104</v>
      </c>
      <c r="F113" s="59" t="s">
        <v>49</v>
      </c>
      <c r="G113" s="59"/>
      <c r="H113" s="59"/>
      <c r="I113" s="59" t="s">
        <v>3393</v>
      </c>
      <c r="J113" s="59" t="s">
        <v>3393</v>
      </c>
      <c r="K113" s="59"/>
      <c r="L113" s="60"/>
    </row>
    <row r="114" spans="1:12" ht="32" hidden="1" x14ac:dyDescent="0.2">
      <c r="A114" s="54" t="s">
        <v>1105</v>
      </c>
      <c r="B114" s="55" t="s">
        <v>41</v>
      </c>
      <c r="C114" s="55" t="s">
        <v>3379</v>
      </c>
      <c r="D114" s="56" t="s">
        <v>3392</v>
      </c>
      <c r="E114" s="55" t="s">
        <v>1106</v>
      </c>
      <c r="F114" s="55" t="s">
        <v>49</v>
      </c>
      <c r="G114" s="55"/>
      <c r="H114" s="55"/>
      <c r="I114" s="55" t="s">
        <v>3393</v>
      </c>
      <c r="J114" s="55" t="s">
        <v>3393</v>
      </c>
      <c r="K114" s="55"/>
      <c r="L114" s="57"/>
    </row>
    <row r="115" spans="1:12" ht="32" hidden="1" x14ac:dyDescent="0.2">
      <c r="A115" s="58" t="s">
        <v>1123</v>
      </c>
      <c r="B115" s="59" t="s">
        <v>41</v>
      </c>
      <c r="C115" s="59" t="s">
        <v>3379</v>
      </c>
      <c r="D115" s="56" t="s">
        <v>3392</v>
      </c>
      <c r="E115" s="59" t="s">
        <v>1124</v>
      </c>
      <c r="F115" s="59" t="s">
        <v>49</v>
      </c>
      <c r="G115" s="59"/>
      <c r="H115" s="59"/>
      <c r="I115" s="59" t="s">
        <v>3393</v>
      </c>
      <c r="J115" s="59" t="s">
        <v>3393</v>
      </c>
      <c r="K115" s="59"/>
      <c r="L115" s="60"/>
    </row>
    <row r="116" spans="1:12" ht="32" hidden="1" x14ac:dyDescent="0.2">
      <c r="A116" s="54" t="s">
        <v>1125</v>
      </c>
      <c r="B116" s="55" t="s">
        <v>41</v>
      </c>
      <c r="C116" s="55" t="s">
        <v>3379</v>
      </c>
      <c r="D116" s="56" t="s">
        <v>3392</v>
      </c>
      <c r="E116" s="55" t="s">
        <v>1126</v>
      </c>
      <c r="F116" s="55" t="s">
        <v>49</v>
      </c>
      <c r="G116" s="55"/>
      <c r="H116" s="55"/>
      <c r="I116" s="55" t="s">
        <v>3393</v>
      </c>
      <c r="J116" s="55" t="s">
        <v>3393</v>
      </c>
      <c r="K116" s="55"/>
      <c r="L116" s="57"/>
    </row>
    <row r="117" spans="1:12" ht="32" hidden="1" x14ac:dyDescent="0.2">
      <c r="A117" s="58" t="s">
        <v>1127</v>
      </c>
      <c r="B117" s="59" t="s">
        <v>41</v>
      </c>
      <c r="C117" s="59" t="s">
        <v>3381</v>
      </c>
      <c r="D117" s="56" t="s">
        <v>3392</v>
      </c>
      <c r="E117" s="59" t="s">
        <v>1128</v>
      </c>
      <c r="F117" s="59" t="s">
        <v>49</v>
      </c>
      <c r="G117" s="59"/>
      <c r="H117" s="59"/>
      <c r="I117" s="59" t="s">
        <v>3393</v>
      </c>
      <c r="J117" s="59" t="s">
        <v>3393</v>
      </c>
      <c r="K117" s="59"/>
      <c r="L117" s="60"/>
    </row>
    <row r="118" spans="1:12" ht="32" hidden="1" x14ac:dyDescent="0.2">
      <c r="A118" s="54" t="s">
        <v>1129</v>
      </c>
      <c r="B118" s="55" t="s">
        <v>41</v>
      </c>
      <c r="C118" s="55" t="s">
        <v>3381</v>
      </c>
      <c r="D118" s="56" t="s">
        <v>3392</v>
      </c>
      <c r="E118" s="55" t="s">
        <v>1130</v>
      </c>
      <c r="F118" s="55" t="s">
        <v>49</v>
      </c>
      <c r="G118" s="55"/>
      <c r="H118" s="55"/>
      <c r="I118" s="55" t="s">
        <v>3393</v>
      </c>
      <c r="J118" s="55" t="s">
        <v>3393</v>
      </c>
      <c r="K118" s="55"/>
      <c r="L118" s="57"/>
    </row>
    <row r="119" spans="1:12" ht="32" hidden="1" x14ac:dyDescent="0.2">
      <c r="A119" s="58" t="s">
        <v>1131</v>
      </c>
      <c r="B119" s="59" t="s">
        <v>41</v>
      </c>
      <c r="C119" s="59" t="s">
        <v>3381</v>
      </c>
      <c r="D119" s="56" t="s">
        <v>3392</v>
      </c>
      <c r="E119" s="59" t="s">
        <v>1132</v>
      </c>
      <c r="F119" s="59" t="s">
        <v>49</v>
      </c>
      <c r="G119" s="59"/>
      <c r="H119" s="59"/>
      <c r="I119" s="59" t="s">
        <v>3393</v>
      </c>
      <c r="J119" s="59" t="s">
        <v>3393</v>
      </c>
      <c r="K119" s="59"/>
      <c r="L119" s="60"/>
    </row>
    <row r="120" spans="1:12" ht="32" hidden="1" x14ac:dyDescent="0.2">
      <c r="A120" s="54" t="s">
        <v>1133</v>
      </c>
      <c r="B120" s="55" t="s">
        <v>41</v>
      </c>
      <c r="C120" s="55" t="s">
        <v>3383</v>
      </c>
      <c r="D120" s="56" t="s">
        <v>3392</v>
      </c>
      <c r="E120" s="55" t="s">
        <v>1134</v>
      </c>
      <c r="F120" s="55" t="s">
        <v>49</v>
      </c>
      <c r="G120" s="55"/>
      <c r="H120" s="55"/>
      <c r="I120" s="55" t="s">
        <v>3393</v>
      </c>
      <c r="J120" s="55" t="s">
        <v>3393</v>
      </c>
      <c r="K120" s="55"/>
      <c r="L120" s="57"/>
    </row>
    <row r="121" spans="1:12" ht="32" hidden="1" x14ac:dyDescent="0.2">
      <c r="A121" s="58" t="s">
        <v>1135</v>
      </c>
      <c r="B121" s="59" t="s">
        <v>41</v>
      </c>
      <c r="C121" s="59" t="s">
        <v>3383</v>
      </c>
      <c r="D121" s="56" t="s">
        <v>3392</v>
      </c>
      <c r="E121" s="59" t="s">
        <v>1136</v>
      </c>
      <c r="F121" s="59" t="s">
        <v>49</v>
      </c>
      <c r="G121" s="59"/>
      <c r="H121" s="59"/>
      <c r="I121" s="59" t="s">
        <v>3393</v>
      </c>
      <c r="J121" s="59" t="s">
        <v>3393</v>
      </c>
      <c r="K121" s="59"/>
      <c r="L121" s="60"/>
    </row>
    <row r="122" spans="1:12" ht="32" hidden="1" x14ac:dyDescent="0.2">
      <c r="A122" s="54" t="s">
        <v>1137</v>
      </c>
      <c r="B122" s="55" t="s">
        <v>41</v>
      </c>
      <c r="C122" s="55" t="s">
        <v>3383</v>
      </c>
      <c r="D122" s="56" t="s">
        <v>3392</v>
      </c>
      <c r="E122" s="55" t="s">
        <v>1138</v>
      </c>
      <c r="F122" s="55" t="s">
        <v>49</v>
      </c>
      <c r="G122" s="55"/>
      <c r="H122" s="55"/>
      <c r="I122" s="55" t="s">
        <v>3393</v>
      </c>
      <c r="J122" s="55" t="s">
        <v>3393</v>
      </c>
      <c r="K122" s="55"/>
      <c r="L122" s="57"/>
    </row>
    <row r="123" spans="1:12" ht="32" hidden="1" x14ac:dyDescent="0.2">
      <c r="A123" s="58" t="s">
        <v>1139</v>
      </c>
      <c r="B123" s="59" t="s">
        <v>41</v>
      </c>
      <c r="C123" s="59" t="s">
        <v>3383</v>
      </c>
      <c r="D123" s="56" t="s">
        <v>3392</v>
      </c>
      <c r="E123" s="59" t="s">
        <v>1140</v>
      </c>
      <c r="F123" s="59" t="s">
        <v>49</v>
      </c>
      <c r="G123" s="59"/>
      <c r="H123" s="59"/>
      <c r="I123" s="59" t="s">
        <v>3393</v>
      </c>
      <c r="J123" s="59" t="s">
        <v>3393</v>
      </c>
      <c r="K123" s="59"/>
      <c r="L123" s="60"/>
    </row>
    <row r="124" spans="1:12" ht="32" hidden="1" x14ac:dyDescent="0.2">
      <c r="A124" s="54" t="s">
        <v>1145</v>
      </c>
      <c r="B124" s="55" t="s">
        <v>41</v>
      </c>
      <c r="C124" s="55" t="s">
        <v>3383</v>
      </c>
      <c r="D124" s="56" t="s">
        <v>3392</v>
      </c>
      <c r="E124" s="55" t="s">
        <v>1146</v>
      </c>
      <c r="F124" s="55" t="s">
        <v>49</v>
      </c>
      <c r="G124" s="55"/>
      <c r="H124" s="55"/>
      <c r="I124" s="55" t="s">
        <v>3393</v>
      </c>
      <c r="J124" s="55" t="s">
        <v>3393</v>
      </c>
      <c r="K124" s="55"/>
      <c r="L124" s="57"/>
    </row>
    <row r="125" spans="1:12" ht="32" hidden="1" x14ac:dyDescent="0.2">
      <c r="A125" s="58" t="s">
        <v>1147</v>
      </c>
      <c r="B125" s="59" t="s">
        <v>41</v>
      </c>
      <c r="C125" s="59" t="s">
        <v>3383</v>
      </c>
      <c r="D125" s="56" t="s">
        <v>3392</v>
      </c>
      <c r="E125" s="59" t="s">
        <v>1148</v>
      </c>
      <c r="F125" s="59" t="s">
        <v>49</v>
      </c>
      <c r="G125" s="59"/>
      <c r="H125" s="59"/>
      <c r="I125" s="59" t="s">
        <v>3393</v>
      </c>
      <c r="J125" s="59" t="s">
        <v>3393</v>
      </c>
      <c r="K125" s="59"/>
      <c r="L125" s="60"/>
    </row>
    <row r="126" spans="1:12" ht="32" hidden="1" x14ac:dyDescent="0.2">
      <c r="A126" s="54" t="s">
        <v>1149</v>
      </c>
      <c r="B126" s="55" t="s">
        <v>41</v>
      </c>
      <c r="C126" s="55" t="s">
        <v>3383</v>
      </c>
      <c r="D126" s="56" t="s">
        <v>3392</v>
      </c>
      <c r="E126" s="55" t="s">
        <v>1150</v>
      </c>
      <c r="F126" s="55" t="s">
        <v>49</v>
      </c>
      <c r="G126" s="55"/>
      <c r="H126" s="55"/>
      <c r="I126" s="55" t="s">
        <v>3393</v>
      </c>
      <c r="J126" s="55" t="s">
        <v>3393</v>
      </c>
      <c r="K126" s="55"/>
      <c r="L126" s="57"/>
    </row>
    <row r="127" spans="1:12" ht="32" hidden="1" x14ac:dyDescent="0.2">
      <c r="A127" s="58" t="s">
        <v>1151</v>
      </c>
      <c r="B127" s="59" t="s">
        <v>41</v>
      </c>
      <c r="C127" s="59" t="s">
        <v>3383</v>
      </c>
      <c r="D127" s="56" t="s">
        <v>3392</v>
      </c>
      <c r="E127" s="59" t="s">
        <v>1152</v>
      </c>
      <c r="F127" s="59" t="s">
        <v>49</v>
      </c>
      <c r="G127" s="59"/>
      <c r="H127" s="59"/>
      <c r="I127" s="59" t="s">
        <v>3393</v>
      </c>
      <c r="J127" s="59" t="s">
        <v>3393</v>
      </c>
      <c r="K127" s="59"/>
      <c r="L127" s="60"/>
    </row>
    <row r="128" spans="1:12" ht="32" hidden="1" x14ac:dyDescent="0.2">
      <c r="A128" s="54" t="s">
        <v>1153</v>
      </c>
      <c r="B128" s="55" t="s">
        <v>41</v>
      </c>
      <c r="C128" s="55" t="s">
        <v>3383</v>
      </c>
      <c r="D128" s="56" t="s">
        <v>3392</v>
      </c>
      <c r="E128" s="55" t="s">
        <v>1154</v>
      </c>
      <c r="F128" s="55" t="s">
        <v>49</v>
      </c>
      <c r="G128" s="55"/>
      <c r="H128" s="55"/>
      <c r="I128" s="55" t="s">
        <v>3393</v>
      </c>
      <c r="J128" s="55" t="s">
        <v>3393</v>
      </c>
      <c r="K128" s="55"/>
      <c r="L128" s="57"/>
    </row>
    <row r="129" spans="1:12" ht="32" hidden="1" x14ac:dyDescent="0.2">
      <c r="A129" s="58" t="s">
        <v>1155</v>
      </c>
      <c r="B129" s="59" t="s">
        <v>41</v>
      </c>
      <c r="C129" s="59" t="s">
        <v>3384</v>
      </c>
      <c r="D129" s="56" t="s">
        <v>3392</v>
      </c>
      <c r="E129" s="59" t="s">
        <v>1156</v>
      </c>
      <c r="F129" s="59" t="s">
        <v>49</v>
      </c>
      <c r="G129" s="59"/>
      <c r="H129" s="59"/>
      <c r="I129" s="59" t="s">
        <v>3393</v>
      </c>
      <c r="J129" s="59" t="s">
        <v>3393</v>
      </c>
      <c r="K129" s="59"/>
      <c r="L129" s="60"/>
    </row>
    <row r="130" spans="1:12" ht="32" hidden="1" x14ac:dyDescent="0.2">
      <c r="A130" s="54" t="s">
        <v>1157</v>
      </c>
      <c r="B130" s="55" t="s">
        <v>41</v>
      </c>
      <c r="C130" s="55" t="s">
        <v>3384</v>
      </c>
      <c r="D130" s="56" t="s">
        <v>3392</v>
      </c>
      <c r="E130" s="55" t="s">
        <v>1158</v>
      </c>
      <c r="F130" s="55" t="s">
        <v>49</v>
      </c>
      <c r="G130" s="55"/>
      <c r="H130" s="55"/>
      <c r="I130" s="55" t="s">
        <v>3393</v>
      </c>
      <c r="J130" s="55" t="s">
        <v>3393</v>
      </c>
      <c r="K130" s="55"/>
      <c r="L130" s="57"/>
    </row>
    <row r="131" spans="1:12" ht="32" hidden="1" x14ac:dyDescent="0.2">
      <c r="A131" s="58" t="s">
        <v>1159</v>
      </c>
      <c r="B131" s="59" t="s">
        <v>41</v>
      </c>
      <c r="C131" s="59" t="s">
        <v>3384</v>
      </c>
      <c r="D131" s="56" t="s">
        <v>3392</v>
      </c>
      <c r="E131" s="59" t="s">
        <v>1160</v>
      </c>
      <c r="F131" s="59" t="s">
        <v>49</v>
      </c>
      <c r="G131" s="59"/>
      <c r="H131" s="59"/>
      <c r="I131" s="59" t="s">
        <v>3393</v>
      </c>
      <c r="J131" s="59" t="s">
        <v>3393</v>
      </c>
      <c r="K131" s="59"/>
      <c r="L131" s="60"/>
    </row>
    <row r="132" spans="1:12" ht="32" hidden="1" x14ac:dyDescent="0.2">
      <c r="A132" s="54" t="s">
        <v>1161</v>
      </c>
      <c r="B132" s="55" t="s">
        <v>41</v>
      </c>
      <c r="C132" s="55" t="s">
        <v>3385</v>
      </c>
      <c r="D132" s="56" t="s">
        <v>3392</v>
      </c>
      <c r="E132" s="55" t="s">
        <v>1162</v>
      </c>
      <c r="F132" s="55" t="s">
        <v>49</v>
      </c>
      <c r="G132" s="55"/>
      <c r="H132" s="55"/>
      <c r="I132" s="55" t="s">
        <v>3393</v>
      </c>
      <c r="J132" s="55" t="s">
        <v>3393</v>
      </c>
      <c r="K132" s="55"/>
      <c r="L132" s="57"/>
    </row>
    <row r="133" spans="1:12" ht="32" hidden="1" x14ac:dyDescent="0.2">
      <c r="A133" s="58" t="s">
        <v>1163</v>
      </c>
      <c r="B133" s="59" t="s">
        <v>41</v>
      </c>
      <c r="C133" s="59" t="s">
        <v>3385</v>
      </c>
      <c r="D133" s="56" t="s">
        <v>3392</v>
      </c>
      <c r="E133" s="59" t="s">
        <v>1164</v>
      </c>
      <c r="F133" s="59" t="s">
        <v>49</v>
      </c>
      <c r="G133" s="59"/>
      <c r="H133" s="59"/>
      <c r="I133" s="59" t="s">
        <v>3393</v>
      </c>
      <c r="J133" s="59" t="s">
        <v>3393</v>
      </c>
      <c r="K133" s="59"/>
      <c r="L133" s="60"/>
    </row>
    <row r="134" spans="1:12" ht="32" hidden="1" x14ac:dyDescent="0.2">
      <c r="A134" s="54" t="s">
        <v>1165</v>
      </c>
      <c r="B134" s="55" t="s">
        <v>41</v>
      </c>
      <c r="C134" s="55" t="s">
        <v>3385</v>
      </c>
      <c r="D134" s="56" t="s">
        <v>3392</v>
      </c>
      <c r="E134" s="55" t="s">
        <v>1166</v>
      </c>
      <c r="F134" s="55" t="s">
        <v>49</v>
      </c>
      <c r="G134" s="55"/>
      <c r="H134" s="55"/>
      <c r="I134" s="55" t="s">
        <v>3393</v>
      </c>
      <c r="J134" s="55" t="s">
        <v>3393</v>
      </c>
      <c r="K134" s="55"/>
      <c r="L134" s="57"/>
    </row>
    <row r="135" spans="1:12" ht="32" hidden="1" x14ac:dyDescent="0.2">
      <c r="A135" s="58" t="s">
        <v>1167</v>
      </c>
      <c r="B135" s="59" t="s">
        <v>41</v>
      </c>
      <c r="C135" s="59" t="s">
        <v>3385</v>
      </c>
      <c r="D135" s="56" t="s">
        <v>3392</v>
      </c>
      <c r="E135" s="59" t="s">
        <v>1168</v>
      </c>
      <c r="F135" s="59" t="s">
        <v>49</v>
      </c>
      <c r="G135" s="59"/>
      <c r="H135" s="59"/>
      <c r="I135" s="59" t="s">
        <v>3393</v>
      </c>
      <c r="J135" s="59" t="s">
        <v>3393</v>
      </c>
      <c r="K135" s="59"/>
      <c r="L135" s="60"/>
    </row>
    <row r="136" spans="1:12" ht="32" hidden="1" x14ac:dyDescent="0.2">
      <c r="A136" s="54" t="s">
        <v>1169</v>
      </c>
      <c r="B136" s="55" t="s">
        <v>41</v>
      </c>
      <c r="C136" s="55" t="s">
        <v>3385</v>
      </c>
      <c r="D136" s="56" t="s">
        <v>3392</v>
      </c>
      <c r="E136" s="55" t="s">
        <v>1170</v>
      </c>
      <c r="F136" s="55" t="s">
        <v>49</v>
      </c>
      <c r="G136" s="55"/>
      <c r="H136" s="55"/>
      <c r="I136" s="55" t="s">
        <v>3393</v>
      </c>
      <c r="J136" s="55" t="s">
        <v>3393</v>
      </c>
      <c r="K136" s="55"/>
      <c r="L136" s="57"/>
    </row>
    <row r="137" spans="1:12" ht="32" hidden="1" x14ac:dyDescent="0.2">
      <c r="A137" s="58" t="s">
        <v>1171</v>
      </c>
      <c r="B137" s="59" t="s">
        <v>41</v>
      </c>
      <c r="C137" s="59" t="s">
        <v>3385</v>
      </c>
      <c r="D137" s="56" t="s">
        <v>3392</v>
      </c>
      <c r="E137" s="59" t="s">
        <v>1172</v>
      </c>
      <c r="F137" s="59" t="s">
        <v>49</v>
      </c>
      <c r="G137" s="59"/>
      <c r="H137" s="59"/>
      <c r="I137" s="59" t="s">
        <v>3393</v>
      </c>
      <c r="J137" s="59" t="s">
        <v>3393</v>
      </c>
      <c r="K137" s="59"/>
      <c r="L137" s="60"/>
    </row>
    <row r="138" spans="1:12" ht="32" hidden="1" x14ac:dyDescent="0.2">
      <c r="A138" s="54" t="s">
        <v>1173</v>
      </c>
      <c r="B138" s="55" t="s">
        <v>41</v>
      </c>
      <c r="C138" s="55" t="s">
        <v>3385</v>
      </c>
      <c r="D138" s="56" t="s">
        <v>3392</v>
      </c>
      <c r="E138" s="55" t="s">
        <v>1174</v>
      </c>
      <c r="F138" s="55" t="s">
        <v>49</v>
      </c>
      <c r="G138" s="55"/>
      <c r="H138" s="55"/>
      <c r="I138" s="55" t="s">
        <v>3393</v>
      </c>
      <c r="J138" s="55" t="s">
        <v>3393</v>
      </c>
      <c r="K138" s="55"/>
      <c r="L138" s="57"/>
    </row>
    <row r="139" spans="1:12" ht="32" hidden="1" x14ac:dyDescent="0.2">
      <c r="A139" s="58" t="s">
        <v>1175</v>
      </c>
      <c r="B139" s="59" t="s">
        <v>41</v>
      </c>
      <c r="C139" s="59" t="s">
        <v>3385</v>
      </c>
      <c r="D139" s="56" t="s">
        <v>3392</v>
      </c>
      <c r="E139" s="59" t="s">
        <v>1176</v>
      </c>
      <c r="F139" s="59" t="s">
        <v>49</v>
      </c>
      <c r="G139" s="59"/>
      <c r="H139" s="59"/>
      <c r="I139" s="59" t="s">
        <v>3393</v>
      </c>
      <c r="J139" s="59" t="s">
        <v>3393</v>
      </c>
      <c r="K139" s="59"/>
      <c r="L139" s="60"/>
    </row>
    <row r="140" spans="1:12" ht="32" hidden="1" x14ac:dyDescent="0.2">
      <c r="A140" s="54" t="s">
        <v>1177</v>
      </c>
      <c r="B140" s="55" t="s">
        <v>41</v>
      </c>
      <c r="C140" s="55" t="s">
        <v>3385</v>
      </c>
      <c r="D140" s="56" t="s">
        <v>3392</v>
      </c>
      <c r="E140" s="55" t="s">
        <v>1178</v>
      </c>
      <c r="F140" s="55" t="s">
        <v>49</v>
      </c>
      <c r="G140" s="55"/>
      <c r="H140" s="55"/>
      <c r="I140" s="55" t="s">
        <v>3393</v>
      </c>
      <c r="J140" s="55" t="s">
        <v>3393</v>
      </c>
      <c r="K140" s="55"/>
      <c r="L140" s="57"/>
    </row>
    <row r="141" spans="1:12" ht="32" hidden="1" x14ac:dyDescent="0.2">
      <c r="A141" s="58" t="s">
        <v>1179</v>
      </c>
      <c r="B141" s="59" t="s">
        <v>41</v>
      </c>
      <c r="C141" s="59" t="s">
        <v>3375</v>
      </c>
      <c r="D141" s="56" t="s">
        <v>3392</v>
      </c>
      <c r="E141" s="59" t="s">
        <v>1180</v>
      </c>
      <c r="F141" s="59" t="s">
        <v>49</v>
      </c>
      <c r="G141" s="59"/>
      <c r="H141" s="59"/>
      <c r="I141" s="59" t="s">
        <v>3393</v>
      </c>
      <c r="J141" s="59" t="s">
        <v>3393</v>
      </c>
      <c r="K141" s="59"/>
      <c r="L141" s="60"/>
    </row>
    <row r="142" spans="1:12" ht="32" hidden="1" x14ac:dyDescent="0.2">
      <c r="A142" s="54" t="s">
        <v>1181</v>
      </c>
      <c r="B142" s="55" t="s">
        <v>41</v>
      </c>
      <c r="C142" s="55" t="s">
        <v>3375</v>
      </c>
      <c r="D142" s="56" t="s">
        <v>3392</v>
      </c>
      <c r="E142" s="55" t="s">
        <v>1182</v>
      </c>
      <c r="F142" s="55" t="s">
        <v>49</v>
      </c>
      <c r="G142" s="55"/>
      <c r="H142" s="55"/>
      <c r="I142" s="55" t="s">
        <v>3393</v>
      </c>
      <c r="J142" s="55" t="s">
        <v>3393</v>
      </c>
      <c r="K142" s="55"/>
      <c r="L142" s="57"/>
    </row>
    <row r="143" spans="1:12" ht="32" hidden="1" x14ac:dyDescent="0.2">
      <c r="A143" s="58" t="s">
        <v>1183</v>
      </c>
      <c r="B143" s="59" t="s">
        <v>41</v>
      </c>
      <c r="C143" s="59" t="s">
        <v>3375</v>
      </c>
      <c r="D143" s="56" t="s">
        <v>3392</v>
      </c>
      <c r="E143" s="59" t="s">
        <v>1184</v>
      </c>
      <c r="F143" s="59" t="s">
        <v>49</v>
      </c>
      <c r="G143" s="59"/>
      <c r="H143" s="59"/>
      <c r="I143" s="59" t="s">
        <v>3393</v>
      </c>
      <c r="J143" s="59" t="s">
        <v>3393</v>
      </c>
      <c r="K143" s="59"/>
      <c r="L143" s="60"/>
    </row>
    <row r="144" spans="1:12" ht="32" hidden="1" x14ac:dyDescent="0.2">
      <c r="A144" s="54" t="s">
        <v>1185</v>
      </c>
      <c r="B144" s="55" t="s">
        <v>41</v>
      </c>
      <c r="C144" s="55" t="s">
        <v>3375</v>
      </c>
      <c r="D144" s="56" t="s">
        <v>3392</v>
      </c>
      <c r="E144" s="55" t="s">
        <v>1186</v>
      </c>
      <c r="F144" s="55" t="s">
        <v>49</v>
      </c>
      <c r="G144" s="55"/>
      <c r="H144" s="55"/>
      <c r="I144" s="55" t="s">
        <v>3393</v>
      </c>
      <c r="J144" s="55" t="s">
        <v>3393</v>
      </c>
      <c r="K144" s="55"/>
      <c r="L144" s="57"/>
    </row>
    <row r="145" spans="1:12" ht="32" x14ac:dyDescent="0.2">
      <c r="A145" s="58" t="s">
        <v>1242</v>
      </c>
      <c r="B145" s="59" t="s">
        <v>8</v>
      </c>
      <c r="C145" s="59" t="s">
        <v>3419</v>
      </c>
      <c r="D145" s="56" t="s">
        <v>3392</v>
      </c>
      <c r="E145" s="59" t="s">
        <v>1243</v>
      </c>
      <c r="F145" s="59" t="s">
        <v>43</v>
      </c>
      <c r="G145" s="59"/>
      <c r="H145" s="59"/>
      <c r="I145" s="59" t="s">
        <v>3393</v>
      </c>
      <c r="J145" s="59" t="s">
        <v>3393</v>
      </c>
      <c r="K145" s="59"/>
      <c r="L145" s="60"/>
    </row>
    <row r="146" spans="1:12" ht="32" x14ac:dyDescent="0.2">
      <c r="A146" s="54" t="s">
        <v>1244</v>
      </c>
      <c r="B146" s="55" t="s">
        <v>8</v>
      </c>
      <c r="C146" s="55" t="s">
        <v>3419</v>
      </c>
      <c r="D146" s="56" t="s">
        <v>3392</v>
      </c>
      <c r="E146" s="55" t="s">
        <v>1245</v>
      </c>
      <c r="F146" s="55" t="s">
        <v>43</v>
      </c>
      <c r="G146" s="55"/>
      <c r="H146" s="55"/>
      <c r="I146" s="55" t="s">
        <v>3393</v>
      </c>
      <c r="J146" s="55" t="s">
        <v>3393</v>
      </c>
      <c r="K146" s="55"/>
      <c r="L146" s="57"/>
    </row>
    <row r="147" spans="1:12" ht="32" x14ac:dyDescent="0.2">
      <c r="A147" s="54" t="s">
        <v>172</v>
      </c>
      <c r="B147" s="55" t="s">
        <v>8</v>
      </c>
      <c r="C147" s="55" t="s">
        <v>3387</v>
      </c>
      <c r="D147" s="55"/>
      <c r="E147" s="55" t="s">
        <v>173</v>
      </c>
      <c r="F147" s="61" t="s">
        <v>43</v>
      </c>
      <c r="G147" s="55"/>
      <c r="H147" s="55"/>
      <c r="I147" s="55" t="s">
        <v>3394</v>
      </c>
      <c r="J147" s="55" t="s">
        <v>3402</v>
      </c>
      <c r="K147" s="55"/>
      <c r="L147" s="62">
        <v>46254</v>
      </c>
    </row>
    <row r="148" spans="1:12" ht="32" x14ac:dyDescent="0.2">
      <c r="A148" s="58" t="s">
        <v>198</v>
      </c>
      <c r="B148" s="59" t="s">
        <v>8</v>
      </c>
      <c r="C148" s="59" t="s">
        <v>3387</v>
      </c>
      <c r="D148" s="59"/>
      <c r="E148" s="59" t="s">
        <v>199</v>
      </c>
      <c r="F148" s="61" t="s">
        <v>43</v>
      </c>
      <c r="G148" s="59"/>
      <c r="H148" s="59"/>
      <c r="I148" s="59" t="s">
        <v>3394</v>
      </c>
      <c r="J148" s="59" t="s">
        <v>3402</v>
      </c>
      <c r="K148" s="59"/>
      <c r="L148" s="63">
        <v>46254</v>
      </c>
    </row>
    <row r="149" spans="1:12" ht="32" x14ac:dyDescent="0.2">
      <c r="A149" s="58" t="s">
        <v>462</v>
      </c>
      <c r="B149" s="59" t="s">
        <v>8</v>
      </c>
      <c r="C149" s="59" t="s">
        <v>3387</v>
      </c>
      <c r="D149" s="59"/>
      <c r="E149" s="59" t="s">
        <v>463</v>
      </c>
      <c r="F149" s="61" t="s">
        <v>43</v>
      </c>
      <c r="G149" s="59"/>
      <c r="H149" s="59"/>
      <c r="I149" s="59" t="s">
        <v>3394</v>
      </c>
      <c r="J149" s="59" t="s">
        <v>3402</v>
      </c>
      <c r="K149" s="59"/>
      <c r="L149" s="63">
        <v>46254</v>
      </c>
    </row>
    <row r="150" spans="1:12" ht="32" x14ac:dyDescent="0.2">
      <c r="A150" s="54" t="s">
        <v>470</v>
      </c>
      <c r="B150" s="55" t="s">
        <v>8</v>
      </c>
      <c r="C150" s="55" t="s">
        <v>3387</v>
      </c>
      <c r="D150" s="55"/>
      <c r="E150" s="55" t="s">
        <v>471</v>
      </c>
      <c r="F150" s="61" t="s">
        <v>43</v>
      </c>
      <c r="G150" s="55"/>
      <c r="H150" s="55"/>
      <c r="I150" s="55" t="s">
        <v>3394</v>
      </c>
      <c r="J150" s="55" t="s">
        <v>3402</v>
      </c>
      <c r="K150" s="55"/>
      <c r="L150" s="62">
        <v>46254</v>
      </c>
    </row>
    <row r="151" spans="1:12" ht="32" x14ac:dyDescent="0.2">
      <c r="A151" s="58" t="s">
        <v>472</v>
      </c>
      <c r="B151" s="59" t="s">
        <v>8</v>
      </c>
      <c r="C151" s="59" t="s">
        <v>3387</v>
      </c>
      <c r="D151" s="59"/>
      <c r="E151" s="59" t="s">
        <v>473</v>
      </c>
      <c r="F151" s="61" t="s">
        <v>43</v>
      </c>
      <c r="G151" s="59"/>
      <c r="H151" s="59"/>
      <c r="I151" s="59" t="s">
        <v>3394</v>
      </c>
      <c r="J151" s="59" t="s">
        <v>3402</v>
      </c>
      <c r="K151" s="59"/>
      <c r="L151" s="63">
        <v>46254</v>
      </c>
    </row>
    <row r="152" spans="1:12" ht="16" x14ac:dyDescent="0.2">
      <c r="A152" s="54" t="s">
        <v>478</v>
      </c>
      <c r="B152" s="55" t="s">
        <v>8</v>
      </c>
      <c r="C152" s="55" t="s">
        <v>3387</v>
      </c>
      <c r="D152" s="55"/>
      <c r="E152" s="55" t="s">
        <v>479</v>
      </c>
      <c r="F152" s="61" t="s">
        <v>43</v>
      </c>
      <c r="G152" s="55"/>
      <c r="H152" s="55"/>
      <c r="I152" s="55" t="s">
        <v>3393</v>
      </c>
      <c r="J152" s="55" t="s">
        <v>3393</v>
      </c>
      <c r="K152" s="55"/>
      <c r="L152" s="62">
        <v>46254</v>
      </c>
    </row>
    <row r="153" spans="1:12" ht="32" x14ac:dyDescent="0.2">
      <c r="A153" s="58" t="s">
        <v>480</v>
      </c>
      <c r="B153" s="59" t="s">
        <v>8</v>
      </c>
      <c r="C153" s="59" t="s">
        <v>3387</v>
      </c>
      <c r="D153" s="59"/>
      <c r="E153" s="59" t="s">
        <v>481</v>
      </c>
      <c r="F153" s="61" t="s">
        <v>43</v>
      </c>
      <c r="G153" s="59"/>
      <c r="H153" s="59"/>
      <c r="I153" s="59" t="s">
        <v>3394</v>
      </c>
      <c r="J153" s="59" t="s">
        <v>3402</v>
      </c>
      <c r="K153" s="59"/>
      <c r="L153" s="63">
        <v>46254</v>
      </c>
    </row>
    <row r="154" spans="1:12" ht="32" x14ac:dyDescent="0.2">
      <c r="A154" s="54" t="s">
        <v>482</v>
      </c>
      <c r="B154" s="55" t="s">
        <v>8</v>
      </c>
      <c r="C154" s="55" t="s">
        <v>3387</v>
      </c>
      <c r="D154" s="55"/>
      <c r="E154" s="55" t="s">
        <v>483</v>
      </c>
      <c r="F154" s="61" t="s">
        <v>43</v>
      </c>
      <c r="G154" s="55"/>
      <c r="H154" s="55"/>
      <c r="I154" s="55" t="s">
        <v>3394</v>
      </c>
      <c r="J154" s="55" t="s">
        <v>3402</v>
      </c>
      <c r="K154" s="55"/>
      <c r="L154" s="62">
        <v>46254</v>
      </c>
    </row>
    <row r="155" spans="1:12" ht="32" x14ac:dyDescent="0.2">
      <c r="A155" s="58" t="s">
        <v>146</v>
      </c>
      <c r="B155" s="59" t="s">
        <v>8</v>
      </c>
      <c r="C155" s="59" t="s">
        <v>3387</v>
      </c>
      <c r="D155" s="59"/>
      <c r="E155" s="59" t="s">
        <v>147</v>
      </c>
      <c r="F155" s="61" t="s">
        <v>43</v>
      </c>
      <c r="G155" s="59"/>
      <c r="H155" s="59"/>
      <c r="I155" s="59" t="s">
        <v>3394</v>
      </c>
      <c r="J155" s="59" t="s">
        <v>3402</v>
      </c>
      <c r="K155" s="59"/>
      <c r="L155" s="63">
        <v>46254</v>
      </c>
    </row>
    <row r="156" spans="1:12" ht="16" x14ac:dyDescent="0.2">
      <c r="A156" s="54" t="s">
        <v>154</v>
      </c>
      <c r="B156" s="55" t="s">
        <v>8</v>
      </c>
      <c r="C156" s="55" t="s">
        <v>3387</v>
      </c>
      <c r="D156" s="55"/>
      <c r="E156" s="55" t="s">
        <v>155</v>
      </c>
      <c r="F156" s="61" t="s">
        <v>43</v>
      </c>
      <c r="G156" s="55"/>
      <c r="H156" s="55"/>
      <c r="I156" s="55" t="s">
        <v>3393</v>
      </c>
      <c r="J156" s="55" t="s">
        <v>3393</v>
      </c>
      <c r="K156" s="55"/>
      <c r="L156" s="62">
        <v>46254</v>
      </c>
    </row>
    <row r="157" spans="1:12" ht="32" x14ac:dyDescent="0.2">
      <c r="A157" s="58" t="s">
        <v>168</v>
      </c>
      <c r="B157" s="59" t="s">
        <v>8</v>
      </c>
      <c r="C157" s="59" t="s">
        <v>3387</v>
      </c>
      <c r="D157" s="59"/>
      <c r="E157" s="59" t="s">
        <v>169</v>
      </c>
      <c r="F157" s="61" t="s">
        <v>43</v>
      </c>
      <c r="G157" s="59"/>
      <c r="H157" s="59"/>
      <c r="I157" s="59" t="s">
        <v>3394</v>
      </c>
      <c r="J157" s="59" t="s">
        <v>3402</v>
      </c>
      <c r="K157" s="59"/>
      <c r="L157" s="63">
        <v>46254</v>
      </c>
    </row>
    <row r="158" spans="1:12" ht="32" x14ac:dyDescent="0.2">
      <c r="A158" s="54" t="s">
        <v>170</v>
      </c>
      <c r="B158" s="55" t="s">
        <v>8</v>
      </c>
      <c r="C158" s="55" t="s">
        <v>3387</v>
      </c>
      <c r="D158" s="55"/>
      <c r="E158" s="55" t="s">
        <v>171</v>
      </c>
      <c r="F158" s="61" t="s">
        <v>43</v>
      </c>
      <c r="G158" s="55"/>
      <c r="H158" s="55"/>
      <c r="I158" s="55" t="s">
        <v>3394</v>
      </c>
      <c r="J158" s="55" t="s">
        <v>3402</v>
      </c>
      <c r="K158" s="55"/>
      <c r="L158" s="62">
        <v>46254</v>
      </c>
    </row>
    <row r="159" spans="1:12" ht="32" x14ac:dyDescent="0.2">
      <c r="A159" s="58" t="s">
        <v>182</v>
      </c>
      <c r="B159" s="59" t="s">
        <v>8</v>
      </c>
      <c r="C159" s="59" t="s">
        <v>3387</v>
      </c>
      <c r="D159" s="59"/>
      <c r="E159" s="59" t="s">
        <v>183</v>
      </c>
      <c r="F159" s="61" t="s">
        <v>43</v>
      </c>
      <c r="G159" s="59"/>
      <c r="H159" s="59"/>
      <c r="I159" s="59" t="s">
        <v>3394</v>
      </c>
      <c r="J159" s="59" t="s">
        <v>3402</v>
      </c>
      <c r="K159" s="59"/>
      <c r="L159" s="63">
        <v>46254</v>
      </c>
    </row>
    <row r="160" spans="1:12" ht="32" x14ac:dyDescent="0.2">
      <c r="A160" s="54" t="s">
        <v>1250</v>
      </c>
      <c r="B160" s="55" t="s">
        <v>8</v>
      </c>
      <c r="C160" s="55" t="s">
        <v>3387</v>
      </c>
      <c r="D160" s="55"/>
      <c r="E160" s="55" t="s">
        <v>1251</v>
      </c>
      <c r="F160" s="61" t="s">
        <v>43</v>
      </c>
      <c r="G160" s="55"/>
      <c r="H160" s="55"/>
      <c r="I160" s="55" t="s">
        <v>3393</v>
      </c>
      <c r="J160" s="55" t="s">
        <v>3393</v>
      </c>
      <c r="K160" s="55"/>
      <c r="L160" s="62">
        <v>46254</v>
      </c>
    </row>
    <row r="161" spans="1:12" ht="16" x14ac:dyDescent="0.2">
      <c r="A161" s="58" t="s">
        <v>1190</v>
      </c>
      <c r="B161" s="59" t="s">
        <v>8</v>
      </c>
      <c r="C161" s="59" t="s">
        <v>3387</v>
      </c>
      <c r="D161" s="59"/>
      <c r="E161" s="59" t="s">
        <v>1191</v>
      </c>
      <c r="F161" s="61" t="s">
        <v>43</v>
      </c>
      <c r="G161" s="59"/>
      <c r="H161" s="59"/>
      <c r="I161" s="59" t="s">
        <v>3393</v>
      </c>
      <c r="J161" s="59" t="s">
        <v>3393</v>
      </c>
      <c r="K161" s="59"/>
      <c r="L161" s="63">
        <v>46254</v>
      </c>
    </row>
    <row r="162" spans="1:12" ht="16" x14ac:dyDescent="0.2">
      <c r="A162" s="54" t="s">
        <v>1214</v>
      </c>
      <c r="B162" s="55" t="s">
        <v>8</v>
      </c>
      <c r="C162" s="55" t="s">
        <v>3387</v>
      </c>
      <c r="D162" s="55"/>
      <c r="E162" s="55" t="s">
        <v>1215</v>
      </c>
      <c r="F162" s="61" t="s">
        <v>43</v>
      </c>
      <c r="G162" s="55"/>
      <c r="H162" s="55"/>
      <c r="I162" s="55" t="s">
        <v>3393</v>
      </c>
      <c r="J162" s="55" t="s">
        <v>3393</v>
      </c>
      <c r="K162" s="55"/>
      <c r="L162" s="62">
        <v>46254</v>
      </c>
    </row>
    <row r="163" spans="1:12" ht="32" x14ac:dyDescent="0.2">
      <c r="A163" s="54" t="s">
        <v>253</v>
      </c>
      <c r="B163" s="55" t="s">
        <v>8</v>
      </c>
      <c r="C163" s="55" t="s">
        <v>3388</v>
      </c>
      <c r="D163" s="55"/>
      <c r="E163" s="55" t="s">
        <v>254</v>
      </c>
      <c r="F163" s="61" t="s">
        <v>43</v>
      </c>
      <c r="G163" s="55"/>
      <c r="H163" s="55"/>
      <c r="I163" s="55" t="s">
        <v>3394</v>
      </c>
      <c r="J163" s="55" t="s">
        <v>3402</v>
      </c>
      <c r="K163" s="55"/>
      <c r="L163" s="62">
        <v>46254</v>
      </c>
    </row>
    <row r="164" spans="1:12" ht="32" x14ac:dyDescent="0.2">
      <c r="A164" s="58" t="s">
        <v>331</v>
      </c>
      <c r="B164" s="59" t="s">
        <v>8</v>
      </c>
      <c r="C164" s="59" t="s">
        <v>3388</v>
      </c>
      <c r="D164" s="59"/>
      <c r="E164" s="59" t="s">
        <v>332</v>
      </c>
      <c r="F164" s="61" t="s">
        <v>43</v>
      </c>
      <c r="G164" s="59"/>
      <c r="H164" s="59"/>
      <c r="I164" s="59" t="s">
        <v>3394</v>
      </c>
      <c r="J164" s="59" t="s">
        <v>3402</v>
      </c>
      <c r="K164" s="59"/>
      <c r="L164" s="63">
        <v>46254</v>
      </c>
    </row>
    <row r="165" spans="1:12" ht="32" x14ac:dyDescent="0.2">
      <c r="A165" s="54" t="s">
        <v>333</v>
      </c>
      <c r="B165" s="55" t="s">
        <v>8</v>
      </c>
      <c r="C165" s="55" t="s">
        <v>3388</v>
      </c>
      <c r="D165" s="55"/>
      <c r="E165" s="55" t="s">
        <v>334</v>
      </c>
      <c r="F165" s="61" t="s">
        <v>43</v>
      </c>
      <c r="G165" s="55"/>
      <c r="H165" s="55"/>
      <c r="I165" s="55" t="s">
        <v>3394</v>
      </c>
      <c r="J165" s="55" t="s">
        <v>3402</v>
      </c>
      <c r="K165" s="55"/>
      <c r="L165" s="62">
        <v>46254</v>
      </c>
    </row>
    <row r="166" spans="1:12" ht="16" x14ac:dyDescent="0.2">
      <c r="A166" s="58" t="s">
        <v>1192</v>
      </c>
      <c r="B166" s="59" t="s">
        <v>8</v>
      </c>
      <c r="C166" s="59" t="s">
        <v>3388</v>
      </c>
      <c r="D166" s="59"/>
      <c r="E166" s="59" t="s">
        <v>1193</v>
      </c>
      <c r="F166" s="61" t="s">
        <v>43</v>
      </c>
      <c r="G166" s="59"/>
      <c r="H166" s="59"/>
      <c r="I166" s="59" t="s">
        <v>3393</v>
      </c>
      <c r="J166" s="59" t="s">
        <v>3393</v>
      </c>
      <c r="K166" s="59"/>
      <c r="L166" s="63">
        <v>46254</v>
      </c>
    </row>
    <row r="167" spans="1:12" ht="16" x14ac:dyDescent="0.2">
      <c r="A167" s="54" t="s">
        <v>361</v>
      </c>
      <c r="B167" s="55" t="s">
        <v>8</v>
      </c>
      <c r="C167" s="55" t="s">
        <v>3389</v>
      </c>
      <c r="D167" s="55"/>
      <c r="E167" s="64" t="s">
        <v>362</v>
      </c>
      <c r="F167" s="61" t="s">
        <v>43</v>
      </c>
      <c r="G167" s="55"/>
      <c r="H167" s="55"/>
      <c r="I167" s="55" t="s">
        <v>3393</v>
      </c>
      <c r="J167" s="55" t="s">
        <v>3393</v>
      </c>
      <c r="K167" s="55"/>
      <c r="L167" s="62">
        <v>46254</v>
      </c>
    </row>
    <row r="168" spans="1:12" ht="16" x14ac:dyDescent="0.2">
      <c r="A168" s="58" t="s">
        <v>1238</v>
      </c>
      <c r="B168" s="59" t="s">
        <v>8</v>
      </c>
      <c r="C168" s="59" t="s">
        <v>3389</v>
      </c>
      <c r="D168" s="59"/>
      <c r="E168" s="59" t="s">
        <v>1239</v>
      </c>
      <c r="F168" s="61" t="s">
        <v>43</v>
      </c>
      <c r="G168" s="59"/>
      <c r="H168" s="59"/>
      <c r="I168" s="59" t="s">
        <v>3393</v>
      </c>
      <c r="J168" s="59" t="s">
        <v>3393</v>
      </c>
      <c r="K168" s="59"/>
      <c r="L168" s="63">
        <v>46254</v>
      </c>
    </row>
    <row r="169" spans="1:12" ht="16" x14ac:dyDescent="0.2">
      <c r="A169" s="54" t="s">
        <v>1194</v>
      </c>
      <c r="B169" s="55" t="s">
        <v>8</v>
      </c>
      <c r="C169" s="55" t="s">
        <v>3386</v>
      </c>
      <c r="D169" s="55"/>
      <c r="E169" s="55" t="s">
        <v>1195</v>
      </c>
      <c r="F169" s="55" t="s">
        <v>43</v>
      </c>
      <c r="G169" s="55"/>
      <c r="H169" s="55"/>
      <c r="I169" s="55" t="s">
        <v>3393</v>
      </c>
      <c r="J169" s="55" t="s">
        <v>3393</v>
      </c>
      <c r="K169" s="55"/>
      <c r="L169" s="62">
        <v>46254</v>
      </c>
    </row>
    <row r="170" spans="1:12" ht="32" x14ac:dyDescent="0.2">
      <c r="A170" s="54" t="s">
        <v>1107</v>
      </c>
      <c r="B170" s="55" t="s">
        <v>41</v>
      </c>
      <c r="C170" s="55" t="s">
        <v>3376</v>
      </c>
      <c r="D170" s="55"/>
      <c r="E170" s="55" t="s">
        <v>1108</v>
      </c>
      <c r="F170" s="61" t="s">
        <v>43</v>
      </c>
      <c r="G170" s="55"/>
      <c r="H170" s="55"/>
      <c r="I170" s="55" t="s">
        <v>3393</v>
      </c>
      <c r="J170" s="55" t="s">
        <v>3393</v>
      </c>
      <c r="K170" s="55"/>
      <c r="L170" s="62">
        <v>46247</v>
      </c>
    </row>
    <row r="171" spans="1:12" ht="32" x14ac:dyDescent="0.2">
      <c r="A171" s="58" t="s">
        <v>1109</v>
      </c>
      <c r="B171" s="59" t="s">
        <v>41</v>
      </c>
      <c r="C171" s="59" t="s">
        <v>3376</v>
      </c>
      <c r="D171" s="59"/>
      <c r="E171" s="59" t="s">
        <v>1110</v>
      </c>
      <c r="F171" s="61" t="s">
        <v>43</v>
      </c>
      <c r="G171" s="59"/>
      <c r="H171" s="59"/>
      <c r="I171" s="59" t="s">
        <v>3393</v>
      </c>
      <c r="J171" s="59" t="s">
        <v>3393</v>
      </c>
      <c r="K171" s="59"/>
      <c r="L171" s="63">
        <v>46247</v>
      </c>
    </row>
    <row r="172" spans="1:12" ht="32" x14ac:dyDescent="0.2">
      <c r="A172" s="54" t="s">
        <v>1111</v>
      </c>
      <c r="B172" s="55" t="s">
        <v>41</v>
      </c>
      <c r="C172" s="55" t="s">
        <v>3376</v>
      </c>
      <c r="D172" s="55"/>
      <c r="E172" s="55" t="s">
        <v>1112</v>
      </c>
      <c r="F172" s="61" t="s">
        <v>43</v>
      </c>
      <c r="G172" s="55"/>
      <c r="H172" s="55"/>
      <c r="I172" s="55" t="s">
        <v>3393</v>
      </c>
      <c r="J172" s="55" t="s">
        <v>3393</v>
      </c>
      <c r="K172" s="55"/>
      <c r="L172" s="62">
        <v>46247</v>
      </c>
    </row>
    <row r="173" spans="1:12" ht="16" x14ac:dyDescent="0.2">
      <c r="A173" s="58" t="s">
        <v>1196</v>
      </c>
      <c r="B173" s="59" t="s">
        <v>8</v>
      </c>
      <c r="C173" s="59" t="s">
        <v>3376</v>
      </c>
      <c r="D173" s="59"/>
      <c r="E173" s="59" t="s">
        <v>1197</v>
      </c>
      <c r="F173" s="61" t="s">
        <v>43</v>
      </c>
      <c r="G173" s="59"/>
      <c r="H173" s="59"/>
      <c r="I173" s="59" t="s">
        <v>3393</v>
      </c>
      <c r="J173" s="59" t="s">
        <v>3393</v>
      </c>
      <c r="K173" s="59"/>
      <c r="L173" s="63">
        <v>46247</v>
      </c>
    </row>
    <row r="174" spans="1:12" ht="32" x14ac:dyDescent="0.2">
      <c r="A174" s="54" t="s">
        <v>1226</v>
      </c>
      <c r="B174" s="55" t="s">
        <v>8</v>
      </c>
      <c r="C174" s="55" t="s">
        <v>3376</v>
      </c>
      <c r="D174" s="55"/>
      <c r="E174" s="56" t="s">
        <v>1227</v>
      </c>
      <c r="F174" s="61" t="s">
        <v>43</v>
      </c>
      <c r="G174" s="55"/>
      <c r="H174" s="55"/>
      <c r="I174" s="55" t="s">
        <v>3394</v>
      </c>
      <c r="J174" s="55" t="s">
        <v>3402</v>
      </c>
      <c r="K174" s="55"/>
      <c r="L174" s="62">
        <v>46247</v>
      </c>
    </row>
    <row r="175" spans="1:12" ht="32" x14ac:dyDescent="0.2">
      <c r="A175" s="58" t="s">
        <v>1252</v>
      </c>
      <c r="B175" s="59" t="s">
        <v>8</v>
      </c>
      <c r="C175" s="59" t="s">
        <v>3376</v>
      </c>
      <c r="D175" s="59"/>
      <c r="E175" s="59" t="s">
        <v>1253</v>
      </c>
      <c r="F175" s="61" t="s">
        <v>43</v>
      </c>
      <c r="G175" s="59"/>
      <c r="H175" s="59"/>
      <c r="I175" s="59" t="s">
        <v>3393</v>
      </c>
      <c r="J175" s="59" t="s">
        <v>3393</v>
      </c>
      <c r="K175" s="59"/>
      <c r="L175" s="63">
        <v>46247</v>
      </c>
    </row>
    <row r="176" spans="1:12" ht="32" x14ac:dyDescent="0.2">
      <c r="A176" s="54" t="s">
        <v>627</v>
      </c>
      <c r="B176" s="55" t="s">
        <v>8</v>
      </c>
      <c r="C176" s="55" t="s">
        <v>3377</v>
      </c>
      <c r="D176" s="55"/>
      <c r="E176" s="56" t="s">
        <v>628</v>
      </c>
      <c r="F176" s="61" t="s">
        <v>43</v>
      </c>
      <c r="G176" s="55"/>
      <c r="H176" s="55"/>
      <c r="I176" s="55" t="s">
        <v>3394</v>
      </c>
      <c r="J176" s="55" t="s">
        <v>3402</v>
      </c>
      <c r="K176" s="65"/>
      <c r="L176" s="62">
        <v>46247</v>
      </c>
    </row>
    <row r="177" spans="1:12" ht="32" x14ac:dyDescent="0.2">
      <c r="A177" s="58" t="s">
        <v>669</v>
      </c>
      <c r="B177" s="59" t="s">
        <v>8</v>
      </c>
      <c r="C177" s="59" t="s">
        <v>3377</v>
      </c>
      <c r="D177" s="59"/>
      <c r="E177" s="59" t="s">
        <v>670</v>
      </c>
      <c r="F177" s="61" t="s">
        <v>43</v>
      </c>
      <c r="G177" s="59"/>
      <c r="H177" s="59"/>
      <c r="I177" s="59" t="s">
        <v>3393</v>
      </c>
      <c r="J177" s="59" t="s">
        <v>3393</v>
      </c>
      <c r="K177" s="59"/>
      <c r="L177" s="63">
        <v>46247</v>
      </c>
    </row>
    <row r="178" spans="1:12" ht="32" x14ac:dyDescent="0.2">
      <c r="A178" s="54" t="s">
        <v>694</v>
      </c>
      <c r="B178" s="55" t="s">
        <v>8</v>
      </c>
      <c r="C178" s="55" t="s">
        <v>3377</v>
      </c>
      <c r="D178" s="55"/>
      <c r="E178" s="56" t="s">
        <v>695</v>
      </c>
      <c r="F178" s="61" t="s">
        <v>43</v>
      </c>
      <c r="G178" s="55"/>
      <c r="H178" s="55"/>
      <c r="I178" s="55" t="s">
        <v>3394</v>
      </c>
      <c r="J178" s="55" t="s">
        <v>3402</v>
      </c>
      <c r="K178" s="55"/>
      <c r="L178" s="62">
        <v>46247</v>
      </c>
    </row>
    <row r="179" spans="1:12" ht="32" x14ac:dyDescent="0.2">
      <c r="A179" s="58" t="s">
        <v>1254</v>
      </c>
      <c r="B179" s="59" t="s">
        <v>8</v>
      </c>
      <c r="C179" s="59" t="s">
        <v>3377</v>
      </c>
      <c r="D179" s="59"/>
      <c r="E179" s="59" t="s">
        <v>1255</v>
      </c>
      <c r="F179" s="61" t="s">
        <v>43</v>
      </c>
      <c r="G179" s="59"/>
      <c r="H179" s="59"/>
      <c r="I179" s="59" t="s">
        <v>3393</v>
      </c>
      <c r="J179" s="59" t="s">
        <v>3393</v>
      </c>
      <c r="K179" s="59"/>
      <c r="L179" s="63">
        <v>46247</v>
      </c>
    </row>
    <row r="180" spans="1:12" ht="16" x14ac:dyDescent="0.2">
      <c r="A180" s="54" t="s">
        <v>1198</v>
      </c>
      <c r="B180" s="55" t="s">
        <v>8</v>
      </c>
      <c r="C180" s="55" t="s">
        <v>3378</v>
      </c>
      <c r="D180" s="55"/>
      <c r="E180" s="55" t="s">
        <v>1199</v>
      </c>
      <c r="F180" s="61" t="s">
        <v>43</v>
      </c>
      <c r="G180" s="55"/>
      <c r="H180" s="55"/>
      <c r="I180" s="55" t="s">
        <v>3393</v>
      </c>
      <c r="J180" s="55" t="s">
        <v>3393</v>
      </c>
      <c r="K180" s="55"/>
      <c r="L180" s="62">
        <v>46247</v>
      </c>
    </row>
    <row r="181" spans="1:12" ht="32" x14ac:dyDescent="0.2">
      <c r="A181" s="58" t="s">
        <v>1256</v>
      </c>
      <c r="B181" s="59" t="s">
        <v>8</v>
      </c>
      <c r="C181" s="59" t="s">
        <v>3378</v>
      </c>
      <c r="D181" s="59"/>
      <c r="E181" s="59" t="s">
        <v>1257</v>
      </c>
      <c r="F181" s="61" t="s">
        <v>43</v>
      </c>
      <c r="G181" s="59"/>
      <c r="H181" s="59"/>
      <c r="I181" s="59" t="s">
        <v>3393</v>
      </c>
      <c r="J181" s="59" t="s">
        <v>3393</v>
      </c>
      <c r="K181" s="59"/>
      <c r="L181" s="63">
        <v>46247</v>
      </c>
    </row>
    <row r="182" spans="1:12" ht="32" x14ac:dyDescent="0.2">
      <c r="A182" s="54" t="s">
        <v>572</v>
      </c>
      <c r="B182" s="55" t="s">
        <v>8</v>
      </c>
      <c r="C182" s="55" t="s">
        <v>3379</v>
      </c>
      <c r="D182" s="55"/>
      <c r="E182" s="56" t="s">
        <v>573</v>
      </c>
      <c r="F182" s="61" t="s">
        <v>43</v>
      </c>
      <c r="G182" s="55"/>
      <c r="H182" s="55"/>
      <c r="I182" s="55" t="s">
        <v>3394</v>
      </c>
      <c r="J182" s="55" t="s">
        <v>3402</v>
      </c>
      <c r="K182" s="55"/>
      <c r="L182" s="62">
        <v>46247</v>
      </c>
    </row>
    <row r="183" spans="1:12" ht="32" x14ac:dyDescent="0.2">
      <c r="A183" s="58" t="s">
        <v>574</v>
      </c>
      <c r="B183" s="59" t="s">
        <v>8</v>
      </c>
      <c r="C183" s="59" t="s">
        <v>3379</v>
      </c>
      <c r="D183" s="59"/>
      <c r="E183" s="56" t="s">
        <v>575</v>
      </c>
      <c r="F183" s="61" t="s">
        <v>43</v>
      </c>
      <c r="G183" s="59"/>
      <c r="H183" s="59"/>
      <c r="I183" s="59" t="s">
        <v>3394</v>
      </c>
      <c r="J183" s="59" t="s">
        <v>3402</v>
      </c>
      <c r="K183" s="59"/>
      <c r="L183" s="63">
        <v>46247</v>
      </c>
    </row>
    <row r="184" spans="1:12" ht="32" x14ac:dyDescent="0.2">
      <c r="A184" s="54" t="s">
        <v>576</v>
      </c>
      <c r="B184" s="55" t="s">
        <v>8</v>
      </c>
      <c r="C184" s="55" t="s">
        <v>3379</v>
      </c>
      <c r="D184" s="55"/>
      <c r="E184" s="56" t="s">
        <v>577</v>
      </c>
      <c r="F184" s="61" t="s">
        <v>43</v>
      </c>
      <c r="G184" s="55"/>
      <c r="H184" s="55"/>
      <c r="I184" s="55" t="s">
        <v>3394</v>
      </c>
      <c r="J184" s="55" t="s">
        <v>3402</v>
      </c>
      <c r="K184" s="55"/>
      <c r="L184" s="62">
        <v>46247</v>
      </c>
    </row>
    <row r="185" spans="1:12" ht="16" x14ac:dyDescent="0.2">
      <c r="A185" s="58" t="s">
        <v>1200</v>
      </c>
      <c r="B185" s="59" t="s">
        <v>8</v>
      </c>
      <c r="C185" s="59" t="s">
        <v>3379</v>
      </c>
      <c r="D185" s="59"/>
      <c r="E185" s="59" t="s">
        <v>1201</v>
      </c>
      <c r="F185" s="61" t="s">
        <v>43</v>
      </c>
      <c r="G185" s="59"/>
      <c r="H185" s="59"/>
      <c r="I185" s="59" t="s">
        <v>3393</v>
      </c>
      <c r="J185" s="59" t="s">
        <v>3393</v>
      </c>
      <c r="K185" s="59"/>
      <c r="L185" s="63">
        <v>46247</v>
      </c>
    </row>
    <row r="186" spans="1:12" ht="32" x14ac:dyDescent="0.2">
      <c r="A186" s="54" t="s">
        <v>1258</v>
      </c>
      <c r="B186" s="55" t="s">
        <v>8</v>
      </c>
      <c r="C186" s="55" t="s">
        <v>3379</v>
      </c>
      <c r="D186" s="55"/>
      <c r="E186" s="55" t="s">
        <v>1259</v>
      </c>
      <c r="F186" s="61" t="s">
        <v>43</v>
      </c>
      <c r="G186" s="55"/>
      <c r="H186" s="55"/>
      <c r="I186" s="55" t="s">
        <v>3393</v>
      </c>
      <c r="J186" s="55" t="s">
        <v>3393</v>
      </c>
      <c r="K186" s="55"/>
      <c r="L186" s="62">
        <v>46247</v>
      </c>
    </row>
    <row r="187" spans="1:12" ht="16" x14ac:dyDescent="0.2">
      <c r="A187" s="54" t="s">
        <v>1202</v>
      </c>
      <c r="B187" s="55" t="s">
        <v>8</v>
      </c>
      <c r="C187" s="55" t="s">
        <v>3380</v>
      </c>
      <c r="D187" s="55"/>
      <c r="E187" s="55" t="s">
        <v>1203</v>
      </c>
      <c r="F187" s="61" t="s">
        <v>43</v>
      </c>
      <c r="G187" s="55"/>
      <c r="H187" s="55"/>
      <c r="I187" s="55" t="s">
        <v>3393</v>
      </c>
      <c r="J187" s="55" t="s">
        <v>3393</v>
      </c>
      <c r="K187" s="55"/>
      <c r="L187" s="62">
        <v>46233</v>
      </c>
    </row>
    <row r="188" spans="1:12" ht="32" x14ac:dyDescent="0.2">
      <c r="A188" s="58" t="s">
        <v>1260</v>
      </c>
      <c r="B188" s="59" t="s">
        <v>8</v>
      </c>
      <c r="C188" s="59" t="s">
        <v>3380</v>
      </c>
      <c r="D188" s="59"/>
      <c r="E188" s="59" t="s">
        <v>1261</v>
      </c>
      <c r="F188" s="61" t="s">
        <v>43</v>
      </c>
      <c r="G188" s="59"/>
      <c r="H188" s="59"/>
      <c r="I188" s="59" t="s">
        <v>3393</v>
      </c>
      <c r="J188" s="59" t="s">
        <v>3393</v>
      </c>
      <c r="K188" s="59"/>
      <c r="L188" s="63">
        <v>46233</v>
      </c>
    </row>
    <row r="189" spans="1:12" ht="32" x14ac:dyDescent="0.2">
      <c r="A189" s="54" t="s">
        <v>1115</v>
      </c>
      <c r="B189" s="55" t="s">
        <v>41</v>
      </c>
      <c r="C189" s="55" t="s">
        <v>3381</v>
      </c>
      <c r="D189" s="55"/>
      <c r="E189" s="55" t="s">
        <v>1116</v>
      </c>
      <c r="F189" s="61" t="s">
        <v>43</v>
      </c>
      <c r="G189" s="55"/>
      <c r="H189" s="55"/>
      <c r="I189" s="55" t="s">
        <v>3393</v>
      </c>
      <c r="J189" s="55" t="s">
        <v>3393</v>
      </c>
      <c r="K189" s="55"/>
      <c r="L189" s="62">
        <v>46233</v>
      </c>
    </row>
    <row r="190" spans="1:12" ht="32" x14ac:dyDescent="0.2">
      <c r="A190" s="58" t="s">
        <v>1117</v>
      </c>
      <c r="B190" s="59" t="s">
        <v>41</v>
      </c>
      <c r="C190" s="59" t="s">
        <v>3381</v>
      </c>
      <c r="D190" s="59"/>
      <c r="E190" s="59" t="s">
        <v>1118</v>
      </c>
      <c r="F190" s="61" t="s">
        <v>43</v>
      </c>
      <c r="G190" s="59"/>
      <c r="H190" s="59"/>
      <c r="I190" s="59" t="s">
        <v>3393</v>
      </c>
      <c r="J190" s="59" t="s">
        <v>3393</v>
      </c>
      <c r="K190" s="59"/>
      <c r="L190" s="63">
        <v>46233</v>
      </c>
    </row>
    <row r="191" spans="1:12" ht="32" x14ac:dyDescent="0.2">
      <c r="A191" s="54" t="s">
        <v>1119</v>
      </c>
      <c r="B191" s="55" t="s">
        <v>41</v>
      </c>
      <c r="C191" s="55" t="s">
        <v>3381</v>
      </c>
      <c r="D191" s="55"/>
      <c r="E191" s="55" t="s">
        <v>1120</v>
      </c>
      <c r="F191" s="61" t="s">
        <v>43</v>
      </c>
      <c r="G191" s="55"/>
      <c r="H191" s="55"/>
      <c r="I191" s="55" t="s">
        <v>3393</v>
      </c>
      <c r="J191" s="55" t="s">
        <v>3393</v>
      </c>
      <c r="K191" s="55"/>
      <c r="L191" s="62">
        <v>46233</v>
      </c>
    </row>
    <row r="192" spans="1:12" ht="48" x14ac:dyDescent="0.2">
      <c r="A192" s="58" t="s">
        <v>1121</v>
      </c>
      <c r="B192" s="59" t="s">
        <v>41</v>
      </c>
      <c r="C192" s="59" t="s">
        <v>3381</v>
      </c>
      <c r="D192" s="59"/>
      <c r="E192" s="59" t="s">
        <v>1122</v>
      </c>
      <c r="F192" s="61" t="s">
        <v>43</v>
      </c>
      <c r="G192" s="59"/>
      <c r="H192" s="59"/>
      <c r="I192" s="59" t="s">
        <v>3393</v>
      </c>
      <c r="J192" s="59" t="s">
        <v>3393</v>
      </c>
      <c r="K192" s="59"/>
      <c r="L192" s="63">
        <v>46233</v>
      </c>
    </row>
    <row r="193" spans="1:12" ht="16" x14ac:dyDescent="0.2">
      <c r="A193" s="54" t="s">
        <v>1204</v>
      </c>
      <c r="B193" s="55" t="s">
        <v>8</v>
      </c>
      <c r="C193" s="55" t="s">
        <v>3381</v>
      </c>
      <c r="D193" s="55"/>
      <c r="E193" s="55" t="s">
        <v>1205</v>
      </c>
      <c r="F193" s="61" t="s">
        <v>43</v>
      </c>
      <c r="G193" s="55"/>
      <c r="H193" s="55"/>
      <c r="I193" s="55" t="s">
        <v>3393</v>
      </c>
      <c r="J193" s="55" t="s">
        <v>3393</v>
      </c>
      <c r="K193" s="55"/>
      <c r="L193" s="62">
        <v>46233</v>
      </c>
    </row>
    <row r="194" spans="1:12" ht="32" x14ac:dyDescent="0.2">
      <c r="A194" s="58" t="s">
        <v>1218</v>
      </c>
      <c r="B194" s="59" t="s">
        <v>8</v>
      </c>
      <c r="C194" s="59" t="s">
        <v>3381</v>
      </c>
      <c r="D194" s="59"/>
      <c r="E194" s="61" t="s">
        <v>1219</v>
      </c>
      <c r="F194" s="61" t="s">
        <v>43</v>
      </c>
      <c r="G194" s="59"/>
      <c r="H194" s="59"/>
      <c r="I194" s="59" t="s">
        <v>3394</v>
      </c>
      <c r="J194" s="59" t="s">
        <v>3402</v>
      </c>
      <c r="K194" s="59"/>
      <c r="L194" s="63">
        <v>46233</v>
      </c>
    </row>
    <row r="195" spans="1:12" ht="32" x14ac:dyDescent="0.2">
      <c r="A195" s="54" t="s">
        <v>1220</v>
      </c>
      <c r="B195" s="55" t="s">
        <v>8</v>
      </c>
      <c r="C195" s="55" t="s">
        <v>3381</v>
      </c>
      <c r="D195" s="55"/>
      <c r="E195" s="61" t="s">
        <v>1221</v>
      </c>
      <c r="F195" s="61" t="s">
        <v>43</v>
      </c>
      <c r="G195" s="55"/>
      <c r="H195" s="55"/>
      <c r="I195" s="55" t="s">
        <v>3394</v>
      </c>
      <c r="J195" s="55" t="s">
        <v>3402</v>
      </c>
      <c r="K195" s="55"/>
      <c r="L195" s="62">
        <v>46233</v>
      </c>
    </row>
    <row r="196" spans="1:12" ht="32" x14ac:dyDescent="0.2">
      <c r="A196" s="58" t="s">
        <v>1262</v>
      </c>
      <c r="B196" s="59" t="s">
        <v>8</v>
      </c>
      <c r="C196" s="59" t="s">
        <v>3381</v>
      </c>
      <c r="D196" s="59"/>
      <c r="E196" s="59" t="s">
        <v>1263</v>
      </c>
      <c r="F196" s="61" t="s">
        <v>43</v>
      </c>
      <c r="G196" s="59"/>
      <c r="H196" s="59"/>
      <c r="I196" s="59" t="s">
        <v>3393</v>
      </c>
      <c r="J196" s="59" t="s">
        <v>3393</v>
      </c>
      <c r="K196" s="59"/>
      <c r="L196" s="63">
        <v>46233</v>
      </c>
    </row>
    <row r="197" spans="1:12" ht="32" x14ac:dyDescent="0.2">
      <c r="A197" s="54" t="s">
        <v>2088</v>
      </c>
      <c r="B197" s="55" t="s">
        <v>1291</v>
      </c>
      <c r="C197" s="55" t="s">
        <v>3381</v>
      </c>
      <c r="D197" s="55" t="s">
        <v>2089</v>
      </c>
      <c r="E197" s="61" t="s">
        <v>2090</v>
      </c>
      <c r="F197" s="61" t="s">
        <v>43</v>
      </c>
      <c r="G197" s="55"/>
      <c r="H197" s="55"/>
      <c r="I197" s="55" t="s">
        <v>3393</v>
      </c>
      <c r="J197" s="55" t="s">
        <v>3393</v>
      </c>
      <c r="K197" s="55"/>
      <c r="L197" s="62">
        <v>46233</v>
      </c>
    </row>
    <row r="198" spans="1:12" ht="16" x14ac:dyDescent="0.2">
      <c r="A198" s="58" t="s">
        <v>1206</v>
      </c>
      <c r="B198" s="59" t="s">
        <v>8</v>
      </c>
      <c r="C198" s="59" t="s">
        <v>3382</v>
      </c>
      <c r="D198" s="59"/>
      <c r="E198" s="59" t="s">
        <v>1207</v>
      </c>
      <c r="F198" s="61" t="s">
        <v>43</v>
      </c>
      <c r="G198" s="59"/>
      <c r="H198" s="59"/>
      <c r="I198" s="59" t="s">
        <v>3393</v>
      </c>
      <c r="J198" s="59" t="s">
        <v>3393</v>
      </c>
      <c r="K198" s="59"/>
      <c r="L198" s="63">
        <v>46233</v>
      </c>
    </row>
    <row r="199" spans="1:12" ht="48" x14ac:dyDescent="0.2">
      <c r="A199" s="54" t="s">
        <v>1248</v>
      </c>
      <c r="B199" s="55" t="s">
        <v>8</v>
      </c>
      <c r="C199" s="55" t="s">
        <v>3382</v>
      </c>
      <c r="D199" s="55"/>
      <c r="E199" s="55" t="s">
        <v>1249</v>
      </c>
      <c r="F199" s="61" t="s">
        <v>43</v>
      </c>
      <c r="G199" s="55"/>
      <c r="H199" s="55"/>
      <c r="I199" s="55" t="s">
        <v>3393</v>
      </c>
      <c r="J199" s="55" t="s">
        <v>3393</v>
      </c>
      <c r="K199" s="55"/>
      <c r="L199" s="62">
        <v>46233</v>
      </c>
    </row>
    <row r="200" spans="1:12" ht="32" x14ac:dyDescent="0.2">
      <c r="A200" s="58" t="s">
        <v>1264</v>
      </c>
      <c r="B200" s="59" t="s">
        <v>8</v>
      </c>
      <c r="C200" s="59" t="s">
        <v>3382</v>
      </c>
      <c r="D200" s="59"/>
      <c r="E200" s="59" t="s">
        <v>1265</v>
      </c>
      <c r="F200" s="61" t="s">
        <v>43</v>
      </c>
      <c r="G200" s="59"/>
      <c r="H200" s="59"/>
      <c r="I200" s="59" t="s">
        <v>3393</v>
      </c>
      <c r="J200" s="59" t="s">
        <v>3393</v>
      </c>
      <c r="K200" s="59"/>
      <c r="L200" s="63">
        <v>46233</v>
      </c>
    </row>
    <row r="201" spans="1:12" ht="48" x14ac:dyDescent="0.2">
      <c r="A201" s="54" t="s">
        <v>1187</v>
      </c>
      <c r="B201" s="55" t="s">
        <v>8</v>
      </c>
      <c r="C201" s="55" t="s">
        <v>3383</v>
      </c>
      <c r="D201" s="55"/>
      <c r="E201" s="55" t="s">
        <v>1188</v>
      </c>
      <c r="F201" s="61" t="s">
        <v>43</v>
      </c>
      <c r="G201" s="55"/>
      <c r="H201" s="55"/>
      <c r="I201" s="55" t="s">
        <v>3393</v>
      </c>
      <c r="J201" s="55" t="s">
        <v>3393</v>
      </c>
      <c r="K201" s="55"/>
      <c r="L201" s="62">
        <v>46233</v>
      </c>
    </row>
    <row r="202" spans="1:12" ht="16" x14ac:dyDescent="0.2">
      <c r="A202" s="58" t="s">
        <v>1208</v>
      </c>
      <c r="B202" s="59" t="s">
        <v>8</v>
      </c>
      <c r="C202" s="59" t="s">
        <v>3383</v>
      </c>
      <c r="D202" s="59"/>
      <c r="E202" s="59" t="s">
        <v>1209</v>
      </c>
      <c r="F202" s="61" t="s">
        <v>43</v>
      </c>
      <c r="G202" s="59"/>
      <c r="H202" s="59"/>
      <c r="I202" s="59" t="s">
        <v>3393</v>
      </c>
      <c r="J202" s="59" t="s">
        <v>3393</v>
      </c>
      <c r="K202" s="59"/>
      <c r="L202" s="63">
        <v>46233</v>
      </c>
    </row>
    <row r="203" spans="1:12" ht="16" x14ac:dyDescent="0.2">
      <c r="A203" s="58" t="s">
        <v>1267</v>
      </c>
      <c r="B203" s="59" t="s">
        <v>8</v>
      </c>
      <c r="C203" s="59" t="s">
        <v>3384</v>
      </c>
      <c r="D203" s="56" t="s">
        <v>3392</v>
      </c>
      <c r="E203" s="59" t="s">
        <v>1268</v>
      </c>
      <c r="F203" s="59" t="s">
        <v>43</v>
      </c>
      <c r="G203" s="59"/>
      <c r="H203" s="59"/>
      <c r="I203" s="59" t="s">
        <v>3393</v>
      </c>
      <c r="J203" s="59" t="s">
        <v>3393</v>
      </c>
      <c r="K203" s="59"/>
      <c r="L203" s="60"/>
    </row>
    <row r="204" spans="1:12" ht="16" x14ac:dyDescent="0.2">
      <c r="A204" s="54" t="s">
        <v>1269</v>
      </c>
      <c r="B204" s="55" t="s">
        <v>8</v>
      </c>
      <c r="C204" s="55" t="s">
        <v>3384</v>
      </c>
      <c r="D204" s="56" t="s">
        <v>3392</v>
      </c>
      <c r="E204" s="55" t="s">
        <v>1270</v>
      </c>
      <c r="F204" s="55" t="s">
        <v>43</v>
      </c>
      <c r="G204" s="55"/>
      <c r="H204" s="55"/>
      <c r="I204" s="55" t="s">
        <v>3393</v>
      </c>
      <c r="J204" s="55" t="s">
        <v>3393</v>
      </c>
      <c r="K204" s="55"/>
      <c r="L204" s="57"/>
    </row>
    <row r="205" spans="1:12" ht="16" x14ac:dyDescent="0.2">
      <c r="A205" s="58" t="s">
        <v>1271</v>
      </c>
      <c r="B205" s="59" t="s">
        <v>8</v>
      </c>
      <c r="C205" s="59" t="s">
        <v>3384</v>
      </c>
      <c r="D205" s="56" t="s">
        <v>3392</v>
      </c>
      <c r="E205" s="59" t="s">
        <v>1272</v>
      </c>
      <c r="F205" s="59" t="s">
        <v>43</v>
      </c>
      <c r="G205" s="59"/>
      <c r="H205" s="59"/>
      <c r="I205" s="59" t="s">
        <v>3393</v>
      </c>
      <c r="J205" s="59" t="s">
        <v>3393</v>
      </c>
      <c r="K205" s="59"/>
      <c r="L205" s="60"/>
    </row>
    <row r="206" spans="1:12" ht="16" x14ac:dyDescent="0.2">
      <c r="A206" s="54" t="s">
        <v>1273</v>
      </c>
      <c r="B206" s="55" t="s">
        <v>8</v>
      </c>
      <c r="C206" s="55" t="s">
        <v>3384</v>
      </c>
      <c r="D206" s="56" t="s">
        <v>3392</v>
      </c>
      <c r="E206" s="55" t="s">
        <v>1274</v>
      </c>
      <c r="F206" s="55" t="s">
        <v>43</v>
      </c>
      <c r="G206" s="55"/>
      <c r="H206" s="55"/>
      <c r="I206" s="55" t="s">
        <v>3393</v>
      </c>
      <c r="J206" s="55" t="s">
        <v>3393</v>
      </c>
      <c r="K206" s="55"/>
      <c r="L206" s="57"/>
    </row>
    <row r="207" spans="1:12" ht="16" x14ac:dyDescent="0.2">
      <c r="A207" s="58" t="s">
        <v>1275</v>
      </c>
      <c r="B207" s="59" t="s">
        <v>8</v>
      </c>
      <c r="C207" s="59" t="s">
        <v>3384</v>
      </c>
      <c r="D207" s="56" t="s">
        <v>3392</v>
      </c>
      <c r="E207" s="59" t="s">
        <v>1276</v>
      </c>
      <c r="F207" s="59" t="s">
        <v>43</v>
      </c>
      <c r="G207" s="59"/>
      <c r="H207" s="59"/>
      <c r="I207" s="59" t="s">
        <v>3393</v>
      </c>
      <c r="J207" s="59" t="s">
        <v>3393</v>
      </c>
      <c r="K207" s="59"/>
      <c r="L207" s="60"/>
    </row>
    <row r="208" spans="1:12" ht="16" x14ac:dyDescent="0.2">
      <c r="A208" s="54" t="s">
        <v>1277</v>
      </c>
      <c r="B208" s="55" t="s">
        <v>8</v>
      </c>
      <c r="C208" s="55" t="s">
        <v>3384</v>
      </c>
      <c r="D208" s="56" t="s">
        <v>3392</v>
      </c>
      <c r="E208" s="55" t="s">
        <v>1278</v>
      </c>
      <c r="F208" s="55" t="s">
        <v>43</v>
      </c>
      <c r="G208" s="55"/>
      <c r="H208" s="55"/>
      <c r="I208" s="55" t="s">
        <v>3393</v>
      </c>
      <c r="J208" s="55" t="s">
        <v>3393</v>
      </c>
      <c r="K208" s="55"/>
      <c r="L208" s="57"/>
    </row>
    <row r="209" spans="1:12" ht="32" x14ac:dyDescent="0.2">
      <c r="A209" s="54" t="s">
        <v>1912</v>
      </c>
      <c r="B209" s="55" t="s">
        <v>1291</v>
      </c>
      <c r="C209" s="55" t="s">
        <v>3385</v>
      </c>
      <c r="D209" s="55" t="s">
        <v>1913</v>
      </c>
      <c r="E209" s="55" t="s">
        <v>1914</v>
      </c>
      <c r="F209" s="61" t="s">
        <v>43</v>
      </c>
      <c r="G209" s="55"/>
      <c r="H209" s="55"/>
      <c r="I209" s="55" t="s">
        <v>3394</v>
      </c>
      <c r="J209" s="55" t="s">
        <v>3393</v>
      </c>
      <c r="K209" s="55"/>
      <c r="L209" s="57"/>
    </row>
    <row r="210" spans="1:12" ht="32" x14ac:dyDescent="0.2">
      <c r="A210" s="58" t="s">
        <v>2476</v>
      </c>
      <c r="B210" s="59" t="s">
        <v>1291</v>
      </c>
      <c r="C210" s="59" t="s">
        <v>3385</v>
      </c>
      <c r="D210" s="59" t="s">
        <v>2477</v>
      </c>
      <c r="E210" s="59" t="s">
        <v>2478</v>
      </c>
      <c r="F210" s="61" t="s">
        <v>43</v>
      </c>
      <c r="G210" s="59"/>
      <c r="H210" s="59"/>
      <c r="I210" s="59" t="s">
        <v>3393</v>
      </c>
      <c r="J210" s="59" t="s">
        <v>3393</v>
      </c>
      <c r="K210" s="59"/>
      <c r="L210" s="60"/>
    </row>
    <row r="211" spans="1:12" ht="16" x14ac:dyDescent="0.2">
      <c r="A211" s="54" t="s">
        <v>2762</v>
      </c>
      <c r="B211" s="55" t="s">
        <v>929</v>
      </c>
      <c r="C211" s="55" t="s">
        <v>3385</v>
      </c>
      <c r="D211" s="55" t="s">
        <v>2763</v>
      </c>
      <c r="E211" s="55" t="s">
        <v>2764</v>
      </c>
      <c r="F211" s="61" t="s">
        <v>43</v>
      </c>
      <c r="G211" s="55"/>
      <c r="H211" s="55"/>
      <c r="I211" s="55" t="s">
        <v>3393</v>
      </c>
      <c r="J211" s="55" t="s">
        <v>3393</v>
      </c>
      <c r="K211" s="55"/>
      <c r="L211" s="57"/>
    </row>
    <row r="212" spans="1:12" ht="32" x14ac:dyDescent="0.2">
      <c r="A212" s="58" t="s">
        <v>1141</v>
      </c>
      <c r="B212" s="59" t="s">
        <v>41</v>
      </c>
      <c r="C212" s="59" t="s">
        <v>3385</v>
      </c>
      <c r="D212" s="59"/>
      <c r="E212" s="59" t="s">
        <v>1142</v>
      </c>
      <c r="F212" s="61" t="s">
        <v>43</v>
      </c>
      <c r="G212" s="59"/>
      <c r="H212" s="59"/>
      <c r="I212" s="59" t="s">
        <v>3394</v>
      </c>
      <c r="J212" s="59" t="s">
        <v>3393</v>
      </c>
      <c r="K212" s="59"/>
      <c r="L212" s="60"/>
    </row>
    <row r="213" spans="1:12" ht="16" x14ac:dyDescent="0.2">
      <c r="A213" s="54" t="s">
        <v>1210</v>
      </c>
      <c r="B213" s="55" t="s">
        <v>8</v>
      </c>
      <c r="C213" s="55" t="s">
        <v>3385</v>
      </c>
      <c r="D213" s="55"/>
      <c r="E213" s="55" t="s">
        <v>1211</v>
      </c>
      <c r="F213" s="61" t="s">
        <v>43</v>
      </c>
      <c r="G213" s="55"/>
      <c r="H213" s="55"/>
      <c r="I213" s="55" t="s">
        <v>3393</v>
      </c>
      <c r="J213" s="55" t="s">
        <v>3393</v>
      </c>
      <c r="K213" s="55"/>
      <c r="L213" s="57"/>
    </row>
    <row r="214" spans="1:12" ht="48" x14ac:dyDescent="0.2">
      <c r="A214" s="58" t="s">
        <v>1240</v>
      </c>
      <c r="B214" s="59" t="s">
        <v>8</v>
      </c>
      <c r="C214" s="59" t="s">
        <v>3385</v>
      </c>
      <c r="D214" s="59"/>
      <c r="E214" s="59" t="s">
        <v>1241</v>
      </c>
      <c r="F214" s="61" t="s">
        <v>43</v>
      </c>
      <c r="G214" s="59"/>
      <c r="H214" s="59"/>
      <c r="I214" s="59" t="s">
        <v>3394</v>
      </c>
      <c r="J214" s="59" t="s">
        <v>3393</v>
      </c>
      <c r="K214" s="59"/>
      <c r="L214" s="60"/>
    </row>
    <row r="215" spans="1:12" ht="32" x14ac:dyDescent="0.2">
      <c r="A215" s="54" t="s">
        <v>1702</v>
      </c>
      <c r="B215" s="55" t="s">
        <v>929</v>
      </c>
      <c r="C215" s="55" t="s">
        <v>3385</v>
      </c>
      <c r="D215" s="55" t="s">
        <v>1703</v>
      </c>
      <c r="E215" s="55" t="s">
        <v>1704</v>
      </c>
      <c r="F215" s="61" t="s">
        <v>43</v>
      </c>
      <c r="G215" s="55"/>
      <c r="H215" s="55"/>
      <c r="I215" s="55" t="s">
        <v>3394</v>
      </c>
      <c r="J215" s="55" t="s">
        <v>3393</v>
      </c>
      <c r="K215" s="55"/>
      <c r="L215" s="57"/>
    </row>
    <row r="216" spans="1:12" ht="32" x14ac:dyDescent="0.2">
      <c r="A216" s="58" t="s">
        <v>1705</v>
      </c>
      <c r="B216" s="59" t="s">
        <v>41</v>
      </c>
      <c r="C216" s="59" t="s">
        <v>3385</v>
      </c>
      <c r="D216" s="59" t="s">
        <v>1706</v>
      </c>
      <c r="E216" s="59" t="s">
        <v>1707</v>
      </c>
      <c r="F216" s="61" t="s">
        <v>43</v>
      </c>
      <c r="G216" s="59"/>
      <c r="H216" s="59"/>
      <c r="I216" s="59" t="s">
        <v>3394</v>
      </c>
      <c r="J216" s="59" t="s">
        <v>3393</v>
      </c>
      <c r="K216" s="59"/>
      <c r="L216" s="60"/>
    </row>
    <row r="217" spans="1:12" ht="32" x14ac:dyDescent="0.2">
      <c r="A217" s="54" t="s">
        <v>2449</v>
      </c>
      <c r="B217" s="55" t="s">
        <v>929</v>
      </c>
      <c r="C217" s="55" t="s">
        <v>3385</v>
      </c>
      <c r="D217" s="55" t="s">
        <v>2450</v>
      </c>
      <c r="E217" s="55" t="s">
        <v>2451</v>
      </c>
      <c r="F217" s="61" t="s">
        <v>43</v>
      </c>
      <c r="G217" s="55"/>
      <c r="H217" s="55"/>
      <c r="I217" s="55" t="s">
        <v>3394</v>
      </c>
      <c r="J217" s="55" t="s">
        <v>3393</v>
      </c>
      <c r="K217" s="55"/>
      <c r="L217" s="57"/>
    </row>
    <row r="218" spans="1:12" ht="32" x14ac:dyDescent="0.2">
      <c r="A218" s="58" t="s">
        <v>2678</v>
      </c>
      <c r="B218" s="59" t="s">
        <v>1291</v>
      </c>
      <c r="C218" s="59" t="s">
        <v>3385</v>
      </c>
      <c r="D218" s="59" t="s">
        <v>2679</v>
      </c>
      <c r="E218" s="59" t="s">
        <v>2680</v>
      </c>
      <c r="F218" s="61" t="s">
        <v>43</v>
      </c>
      <c r="G218" s="59"/>
      <c r="H218" s="59"/>
      <c r="I218" s="59" t="s">
        <v>3394</v>
      </c>
      <c r="J218" s="59" t="s">
        <v>3393</v>
      </c>
      <c r="K218" s="59"/>
      <c r="L218" s="60"/>
    </row>
    <row r="219" spans="1:12" ht="32" x14ac:dyDescent="0.2">
      <c r="A219" s="54" t="s">
        <v>2681</v>
      </c>
      <c r="B219" s="55" t="s">
        <v>1291</v>
      </c>
      <c r="C219" s="55" t="s">
        <v>3385</v>
      </c>
      <c r="D219" s="55" t="s">
        <v>2682</v>
      </c>
      <c r="E219" s="55" t="s">
        <v>2683</v>
      </c>
      <c r="F219" s="61" t="s">
        <v>43</v>
      </c>
      <c r="G219" s="55"/>
      <c r="H219" s="55"/>
      <c r="I219" s="55" t="s">
        <v>3394</v>
      </c>
      <c r="J219" s="55" t="s">
        <v>3393</v>
      </c>
      <c r="K219" s="55"/>
      <c r="L219" s="57"/>
    </row>
    <row r="220" spans="1:12" ht="16" x14ac:dyDescent="0.2">
      <c r="A220" s="58" t="s">
        <v>2813</v>
      </c>
      <c r="B220" s="59" t="s">
        <v>929</v>
      </c>
      <c r="C220" s="59" t="s">
        <v>3385</v>
      </c>
      <c r="D220" s="59" t="s">
        <v>2814</v>
      </c>
      <c r="E220" s="59" t="s">
        <v>2815</v>
      </c>
      <c r="F220" s="61" t="s">
        <v>43</v>
      </c>
      <c r="G220" s="59"/>
      <c r="H220" s="59"/>
      <c r="I220" s="59" t="s">
        <v>3394</v>
      </c>
      <c r="J220" s="59" t="s">
        <v>3393</v>
      </c>
      <c r="K220" s="59"/>
      <c r="L220" s="60"/>
    </row>
    <row r="221" spans="1:12" ht="32" x14ac:dyDescent="0.2">
      <c r="A221" s="54" t="s">
        <v>2890</v>
      </c>
      <c r="B221" s="55" t="s">
        <v>929</v>
      </c>
      <c r="C221" s="55" t="s">
        <v>3385</v>
      </c>
      <c r="D221" s="55" t="s">
        <v>2891</v>
      </c>
      <c r="E221" s="55" t="s">
        <v>2892</v>
      </c>
      <c r="F221" s="61" t="s">
        <v>43</v>
      </c>
      <c r="G221" s="55"/>
      <c r="H221" s="55"/>
      <c r="I221" s="55" t="s">
        <v>3394</v>
      </c>
      <c r="J221" s="55" t="s">
        <v>3393</v>
      </c>
      <c r="K221" s="55"/>
      <c r="L221" s="57"/>
    </row>
    <row r="222" spans="1:12" ht="32" x14ac:dyDescent="0.2">
      <c r="A222" s="54" t="s">
        <v>1246</v>
      </c>
      <c r="B222" s="55" t="s">
        <v>8</v>
      </c>
      <c r="C222" s="55" t="s">
        <v>3385</v>
      </c>
      <c r="D222" s="55"/>
      <c r="E222" s="56" t="s">
        <v>1247</v>
      </c>
      <c r="F222" s="61" t="s">
        <v>43</v>
      </c>
      <c r="G222" s="55"/>
      <c r="H222" s="55"/>
      <c r="I222" s="55" t="s">
        <v>3393</v>
      </c>
      <c r="J222" s="55" t="s">
        <v>3393</v>
      </c>
      <c r="K222" s="55"/>
      <c r="L222" s="57"/>
    </row>
    <row r="223" spans="1:12" ht="32" x14ac:dyDescent="0.2">
      <c r="A223" s="58" t="s">
        <v>484</v>
      </c>
      <c r="B223" s="59" t="s">
        <v>41</v>
      </c>
      <c r="C223" s="59" t="s">
        <v>3375</v>
      </c>
      <c r="D223" s="56" t="s">
        <v>3392</v>
      </c>
      <c r="E223" s="59" t="s">
        <v>485</v>
      </c>
      <c r="F223" s="59" t="s">
        <v>43</v>
      </c>
      <c r="G223" s="59"/>
      <c r="H223" s="59"/>
      <c r="I223" s="59" t="s">
        <v>3393</v>
      </c>
      <c r="J223" s="59" t="s">
        <v>3393</v>
      </c>
      <c r="K223" s="59"/>
      <c r="L223" s="60"/>
    </row>
    <row r="224" spans="1:12" ht="32" x14ac:dyDescent="0.2">
      <c r="A224" s="54" t="s">
        <v>486</v>
      </c>
      <c r="B224" s="55" t="s">
        <v>41</v>
      </c>
      <c r="C224" s="55" t="s">
        <v>3375</v>
      </c>
      <c r="D224" s="56" t="s">
        <v>3392</v>
      </c>
      <c r="E224" s="55" t="s">
        <v>487</v>
      </c>
      <c r="F224" s="55" t="s">
        <v>43</v>
      </c>
      <c r="G224" s="55"/>
      <c r="H224" s="55"/>
      <c r="I224" s="55" t="s">
        <v>3393</v>
      </c>
      <c r="J224" s="55" t="s">
        <v>3393</v>
      </c>
      <c r="K224" s="55"/>
      <c r="L224" s="57"/>
    </row>
    <row r="225" spans="1:12" ht="409.6" x14ac:dyDescent="0.2">
      <c r="A225" s="58" t="s">
        <v>40</v>
      </c>
      <c r="B225" s="59" t="s">
        <v>41</v>
      </c>
      <c r="C225" s="59" t="s">
        <v>3375</v>
      </c>
      <c r="D225" s="59"/>
      <c r="E225" s="59" t="s">
        <v>42</v>
      </c>
      <c r="F225" s="61" t="s">
        <v>43</v>
      </c>
      <c r="G225" s="59"/>
      <c r="H225" s="59"/>
      <c r="I225" s="59" t="s">
        <v>3393</v>
      </c>
      <c r="J225" s="59" t="s">
        <v>3393</v>
      </c>
      <c r="K225" s="59"/>
      <c r="L225" s="60"/>
    </row>
    <row r="226" spans="1:12" ht="32" x14ac:dyDescent="0.2">
      <c r="A226" s="54" t="s">
        <v>1143</v>
      </c>
      <c r="B226" s="55" t="s">
        <v>41</v>
      </c>
      <c r="C226" s="55" t="s">
        <v>3375</v>
      </c>
      <c r="D226" s="55"/>
      <c r="E226" s="55" t="s">
        <v>1144</v>
      </c>
      <c r="F226" s="61" t="s">
        <v>43</v>
      </c>
      <c r="G226" s="55"/>
      <c r="H226" s="55"/>
      <c r="I226" s="55" t="s">
        <v>3393</v>
      </c>
      <c r="J226" s="55" t="s">
        <v>3393</v>
      </c>
      <c r="K226" s="55"/>
      <c r="L226" s="57"/>
    </row>
    <row r="227" spans="1:12" ht="16" x14ac:dyDescent="0.2">
      <c r="A227" s="58" t="s">
        <v>1212</v>
      </c>
      <c r="B227" s="59" t="s">
        <v>8</v>
      </c>
      <c r="C227" s="59" t="s">
        <v>3375</v>
      </c>
      <c r="D227" s="59"/>
      <c r="E227" s="59" t="s">
        <v>1213</v>
      </c>
      <c r="F227" s="61" t="s">
        <v>43</v>
      </c>
      <c r="G227" s="59"/>
      <c r="H227" s="59"/>
      <c r="I227" s="59" t="s">
        <v>3393</v>
      </c>
      <c r="J227" s="59" t="s">
        <v>3393</v>
      </c>
      <c r="K227" s="59"/>
      <c r="L227" s="60"/>
    </row>
    <row r="228" spans="1:12" ht="32" x14ac:dyDescent="0.2">
      <c r="A228" s="54" t="s">
        <v>1224</v>
      </c>
      <c r="B228" s="55" t="s">
        <v>8</v>
      </c>
      <c r="C228" s="55" t="s">
        <v>3375</v>
      </c>
      <c r="D228" s="55"/>
      <c r="E228" s="55" t="s">
        <v>1225</v>
      </c>
      <c r="F228" s="61" t="s">
        <v>43</v>
      </c>
      <c r="G228" s="55"/>
      <c r="H228" s="55"/>
      <c r="I228" s="55" t="s">
        <v>3394</v>
      </c>
      <c r="J228" s="55" t="s">
        <v>3393</v>
      </c>
      <c r="K228" s="55"/>
      <c r="L228" s="57"/>
    </row>
    <row r="229" spans="1:12" ht="32" x14ac:dyDescent="0.2">
      <c r="A229" s="58" t="s">
        <v>1230</v>
      </c>
      <c r="B229" s="59" t="s">
        <v>8</v>
      </c>
      <c r="C229" s="59" t="s">
        <v>3375</v>
      </c>
      <c r="D229" s="59"/>
      <c r="E229" s="59" t="s">
        <v>1231</v>
      </c>
      <c r="F229" s="61" t="s">
        <v>43</v>
      </c>
      <c r="G229" s="59"/>
      <c r="H229" s="59"/>
      <c r="I229" s="59" t="s">
        <v>3394</v>
      </c>
      <c r="J229" s="59" t="s">
        <v>3393</v>
      </c>
      <c r="K229" s="59"/>
      <c r="L229" s="60"/>
    </row>
  </sheetData>
  <autoFilter ref="A1:L229" xr:uid="{FAB5B161-B52B-418D-836D-0EB9DECFB535}">
    <filterColumn colId="5">
      <filters>
        <filter val="O&amp;M"/>
      </filters>
    </filterColumn>
    <sortState xmlns:xlrd2="http://schemas.microsoft.com/office/spreadsheetml/2017/richdata2" ref="A25:L229">
      <sortCondition ref="C1:C229"/>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7596-0035-42E4-879A-14E90C2429C9}">
  <sheetPr filterMode="1"/>
  <dimension ref="A1:L103"/>
  <sheetViews>
    <sheetView topLeftCell="A2" zoomScale="80" zoomScaleNormal="80" workbookViewId="0">
      <selection activeCell="A23" sqref="A1:L103"/>
    </sheetView>
  </sheetViews>
  <sheetFormatPr baseColWidth="10" defaultRowHeight="15" x14ac:dyDescent="0.2"/>
  <cols>
    <col min="2" max="2" width="23.33203125" customWidth="1"/>
    <col min="3" max="3" width="16.5" customWidth="1"/>
    <col min="4" max="4" width="21.83203125" customWidth="1"/>
    <col min="5" max="5" width="46.1640625" style="26" customWidth="1"/>
    <col min="6" max="6" width="21.33203125" customWidth="1"/>
    <col min="7" max="7" width="28" customWidth="1"/>
    <col min="9" max="9" width="13.1640625" customWidth="1"/>
    <col min="11" max="11" width="16.6640625" style="21" customWidth="1"/>
    <col min="12" max="12" width="21" style="21" customWidth="1"/>
  </cols>
  <sheetData>
    <row r="1" spans="1:12" x14ac:dyDescent="0.2">
      <c r="A1" s="97" t="s">
        <v>0</v>
      </c>
      <c r="B1" s="97" t="s">
        <v>1</v>
      </c>
      <c r="C1" s="97" t="s">
        <v>3374</v>
      </c>
      <c r="D1" s="98" t="s">
        <v>5</v>
      </c>
      <c r="E1" s="96" t="s">
        <v>2</v>
      </c>
      <c r="F1" s="99" t="s">
        <v>4</v>
      </c>
      <c r="G1" s="97" t="s">
        <v>3</v>
      </c>
      <c r="H1" s="97" t="s">
        <v>6</v>
      </c>
      <c r="I1" s="97" t="s">
        <v>3371</v>
      </c>
      <c r="J1" s="97" t="s">
        <v>3370</v>
      </c>
      <c r="K1" s="102" t="s">
        <v>3473</v>
      </c>
      <c r="L1" s="103" t="s">
        <v>3474</v>
      </c>
    </row>
    <row r="2" spans="1:12" x14ac:dyDescent="0.2">
      <c r="A2" s="100" t="s">
        <v>2834</v>
      </c>
      <c r="B2" s="100" t="s">
        <v>1291</v>
      </c>
      <c r="C2" s="94" t="s">
        <v>3382</v>
      </c>
      <c r="D2" s="100" t="s">
        <v>2835</v>
      </c>
      <c r="E2" s="95" t="s">
        <v>2836</v>
      </c>
      <c r="F2" s="101" t="s">
        <v>1289</v>
      </c>
      <c r="G2" s="101" t="s">
        <v>3463</v>
      </c>
      <c r="H2" s="100"/>
      <c r="I2" s="100" t="s">
        <v>11</v>
      </c>
      <c r="J2" s="100" t="s">
        <v>3393</v>
      </c>
      <c r="K2" s="104"/>
      <c r="L2" s="104"/>
    </row>
    <row r="3" spans="1:12" ht="45" x14ac:dyDescent="0.2">
      <c r="A3" s="100" t="s">
        <v>2745</v>
      </c>
      <c r="B3" s="100" t="s">
        <v>1291</v>
      </c>
      <c r="C3" s="94" t="s">
        <v>3382</v>
      </c>
      <c r="D3" s="100" t="s">
        <v>2746</v>
      </c>
      <c r="E3" s="95" t="s">
        <v>2747</v>
      </c>
      <c r="F3" s="101" t="s">
        <v>1289</v>
      </c>
      <c r="G3" s="101" t="s">
        <v>3463</v>
      </c>
      <c r="H3" s="100"/>
      <c r="I3" s="100" t="s">
        <v>11</v>
      </c>
      <c r="J3" s="100" t="s">
        <v>3393</v>
      </c>
      <c r="K3" s="104"/>
      <c r="L3" s="104"/>
    </row>
    <row r="4" spans="1:12" ht="30" x14ac:dyDescent="0.2">
      <c r="A4" s="100" t="s">
        <v>1654</v>
      </c>
      <c r="B4" s="100" t="s">
        <v>1371</v>
      </c>
      <c r="C4" s="94" t="s">
        <v>3382</v>
      </c>
      <c r="D4" s="100" t="s">
        <v>1655</v>
      </c>
      <c r="E4" s="95" t="s">
        <v>1656</v>
      </c>
      <c r="F4" s="101" t="s">
        <v>1289</v>
      </c>
      <c r="G4" s="101"/>
      <c r="H4" s="100"/>
      <c r="I4" s="100" t="s">
        <v>11</v>
      </c>
      <c r="J4" s="100" t="s">
        <v>3393</v>
      </c>
      <c r="K4" s="104"/>
      <c r="L4" s="104"/>
    </row>
    <row r="5" spans="1:12" ht="30" x14ac:dyDescent="0.2">
      <c r="A5" s="100" t="s">
        <v>2158</v>
      </c>
      <c r="B5" s="100" t="s">
        <v>41</v>
      </c>
      <c r="C5" s="94" t="s">
        <v>3382</v>
      </c>
      <c r="D5" s="100" t="s">
        <v>2159</v>
      </c>
      <c r="E5" s="95" t="s">
        <v>2160</v>
      </c>
      <c r="F5" s="101" t="s">
        <v>1289</v>
      </c>
      <c r="G5" s="101" t="s">
        <v>3463</v>
      </c>
      <c r="H5" s="100"/>
      <c r="I5" s="100" t="s">
        <v>11</v>
      </c>
      <c r="J5" s="100" t="s">
        <v>3393</v>
      </c>
      <c r="K5" s="104"/>
      <c r="L5" s="104"/>
    </row>
    <row r="6" spans="1:12" x14ac:dyDescent="0.2">
      <c r="A6" s="100" t="s">
        <v>2202</v>
      </c>
      <c r="B6" s="100" t="s">
        <v>41</v>
      </c>
      <c r="C6" s="94" t="s">
        <v>3383</v>
      </c>
      <c r="D6" s="100" t="s">
        <v>2203</v>
      </c>
      <c r="E6" s="95" t="s">
        <v>2204</v>
      </c>
      <c r="F6" s="101" t="s">
        <v>1289</v>
      </c>
      <c r="G6" s="101" t="s">
        <v>3463</v>
      </c>
      <c r="H6" s="100"/>
      <c r="I6" s="100" t="s">
        <v>11</v>
      </c>
      <c r="J6" s="100" t="s">
        <v>3393</v>
      </c>
      <c r="K6" s="104"/>
      <c r="L6" s="104"/>
    </row>
    <row r="7" spans="1:12" x14ac:dyDescent="0.2">
      <c r="A7" s="100" t="s">
        <v>2728</v>
      </c>
      <c r="B7" s="100" t="s">
        <v>8</v>
      </c>
      <c r="C7" s="94" t="s">
        <v>3383</v>
      </c>
      <c r="D7" s="100" t="s">
        <v>2729</v>
      </c>
      <c r="E7" s="95" t="s">
        <v>2730</v>
      </c>
      <c r="F7" s="101" t="s">
        <v>1289</v>
      </c>
      <c r="G7" s="101" t="s">
        <v>2731</v>
      </c>
      <c r="H7" s="100"/>
      <c r="I7" s="100" t="s">
        <v>1369</v>
      </c>
      <c r="J7" s="100" t="s">
        <v>3393</v>
      </c>
      <c r="K7" s="105">
        <v>46295</v>
      </c>
      <c r="L7" s="104"/>
    </row>
    <row r="8" spans="1:12" ht="45" hidden="1" x14ac:dyDescent="0.2">
      <c r="A8" s="100" t="s">
        <v>1920</v>
      </c>
      <c r="B8" s="100" t="s">
        <v>8</v>
      </c>
      <c r="C8" s="94" t="s">
        <v>3383</v>
      </c>
      <c r="D8" s="100" t="s">
        <v>1921</v>
      </c>
      <c r="E8" s="95" t="s">
        <v>1922</v>
      </c>
      <c r="F8" s="101" t="s">
        <v>1293</v>
      </c>
      <c r="G8" s="101"/>
      <c r="H8" s="100"/>
      <c r="I8" s="100" t="s">
        <v>11</v>
      </c>
      <c r="J8" s="100" t="s">
        <v>3393</v>
      </c>
      <c r="K8" s="104"/>
      <c r="L8" s="104"/>
    </row>
    <row r="9" spans="1:12" ht="30" hidden="1" x14ac:dyDescent="0.2">
      <c r="A9" s="100" t="s">
        <v>2868</v>
      </c>
      <c r="B9" s="100" t="s">
        <v>8</v>
      </c>
      <c r="C9" s="94" t="s">
        <v>3383</v>
      </c>
      <c r="D9" s="100" t="s">
        <v>2869</v>
      </c>
      <c r="E9" s="95" t="s">
        <v>2870</v>
      </c>
      <c r="F9" s="101" t="s">
        <v>1293</v>
      </c>
      <c r="G9" s="101"/>
      <c r="H9" s="100"/>
      <c r="I9" s="100" t="s">
        <v>11</v>
      </c>
      <c r="J9" s="100" t="s">
        <v>3393</v>
      </c>
      <c r="K9" s="104"/>
      <c r="L9" s="104"/>
    </row>
    <row r="10" spans="1:12" ht="30" hidden="1" x14ac:dyDescent="0.2">
      <c r="A10" s="100" t="s">
        <v>1726</v>
      </c>
      <c r="B10" s="100" t="s">
        <v>8</v>
      </c>
      <c r="C10" s="94" t="s">
        <v>3381</v>
      </c>
      <c r="D10" s="100" t="s">
        <v>1727</v>
      </c>
      <c r="E10" s="95" t="s">
        <v>1728</v>
      </c>
      <c r="F10" s="101" t="s">
        <v>1293</v>
      </c>
      <c r="G10" s="101"/>
      <c r="H10" s="100"/>
      <c r="I10" s="100" t="s">
        <v>11</v>
      </c>
      <c r="J10" s="100" t="s">
        <v>3393</v>
      </c>
      <c r="K10" s="104"/>
      <c r="L10" s="104"/>
    </row>
    <row r="11" spans="1:12" ht="30" x14ac:dyDescent="0.2">
      <c r="A11" s="100" t="s">
        <v>2168</v>
      </c>
      <c r="B11" s="100" t="s">
        <v>41</v>
      </c>
      <c r="C11" s="94" t="s">
        <v>3381</v>
      </c>
      <c r="D11" s="100" t="s">
        <v>2169</v>
      </c>
      <c r="E11" s="95" t="s">
        <v>2170</v>
      </c>
      <c r="F11" s="101" t="s">
        <v>1289</v>
      </c>
      <c r="G11" s="101"/>
      <c r="H11" s="100"/>
      <c r="I11" s="100" t="s">
        <v>11</v>
      </c>
      <c r="J11" s="100" t="s">
        <v>3393</v>
      </c>
      <c r="K11" s="104"/>
      <c r="L11" s="104"/>
    </row>
    <row r="12" spans="1:12" hidden="1" x14ac:dyDescent="0.2">
      <c r="A12" s="100" t="s">
        <v>2192</v>
      </c>
      <c r="B12" s="100" t="s">
        <v>41</v>
      </c>
      <c r="C12" s="94" t="s">
        <v>3381</v>
      </c>
      <c r="D12" s="100" t="s">
        <v>2193</v>
      </c>
      <c r="E12" s="95" t="s">
        <v>2194</v>
      </c>
      <c r="F12" s="101" t="s">
        <v>1290</v>
      </c>
      <c r="G12" s="101" t="s">
        <v>2195</v>
      </c>
      <c r="H12" s="100"/>
      <c r="I12" s="100" t="s">
        <v>1369</v>
      </c>
      <c r="J12" s="100" t="s">
        <v>3393</v>
      </c>
      <c r="K12" s="104"/>
      <c r="L12" s="104"/>
    </row>
    <row r="13" spans="1:12" ht="45" hidden="1" x14ac:dyDescent="0.2">
      <c r="A13" s="100" t="s">
        <v>2262</v>
      </c>
      <c r="B13" s="100" t="s">
        <v>8</v>
      </c>
      <c r="C13" s="94" t="s">
        <v>3381</v>
      </c>
      <c r="D13" s="100" t="s">
        <v>2263</v>
      </c>
      <c r="E13" s="95" t="s">
        <v>2264</v>
      </c>
      <c r="F13" s="101" t="s">
        <v>1293</v>
      </c>
      <c r="G13" s="101"/>
      <c r="H13" s="100"/>
      <c r="I13" s="100" t="s">
        <v>11</v>
      </c>
      <c r="J13" s="100" t="s">
        <v>3393</v>
      </c>
      <c r="K13" s="104"/>
      <c r="L13" s="104"/>
    </row>
    <row r="14" spans="1:12" x14ac:dyDescent="0.2">
      <c r="A14" s="100" t="s">
        <v>2021</v>
      </c>
      <c r="B14" s="100" t="s">
        <v>929</v>
      </c>
      <c r="C14" s="94" t="s">
        <v>3390</v>
      </c>
      <c r="D14" s="100" t="s">
        <v>2022</v>
      </c>
      <c r="E14" s="95" t="s">
        <v>1288</v>
      </c>
      <c r="F14" s="101" t="s">
        <v>1289</v>
      </c>
      <c r="G14" s="101"/>
      <c r="H14" s="100"/>
      <c r="I14" s="100" t="s">
        <v>1369</v>
      </c>
      <c r="J14" s="100" t="s">
        <v>3393</v>
      </c>
      <c r="K14" s="104"/>
      <c r="L14" s="104"/>
    </row>
    <row r="15" spans="1:12" hidden="1" x14ac:dyDescent="0.2">
      <c r="A15" s="100" t="s">
        <v>1690</v>
      </c>
      <c r="B15" s="100" t="s">
        <v>8</v>
      </c>
      <c r="C15" s="94" t="s">
        <v>3384</v>
      </c>
      <c r="D15" s="100" t="s">
        <v>1691</v>
      </c>
      <c r="E15" s="95" t="s">
        <v>1692</v>
      </c>
      <c r="F15" s="101" t="s">
        <v>1290</v>
      </c>
      <c r="G15" s="101" t="s">
        <v>3464</v>
      </c>
      <c r="H15" s="100"/>
      <c r="I15" s="100" t="s">
        <v>11</v>
      </c>
      <c r="J15" s="100" t="s">
        <v>3393</v>
      </c>
      <c r="K15" s="104"/>
      <c r="L15" s="104"/>
    </row>
    <row r="16" spans="1:12" hidden="1" x14ac:dyDescent="0.2">
      <c r="A16" s="100" t="s">
        <v>1585</v>
      </c>
      <c r="B16" s="100" t="s">
        <v>8</v>
      </c>
      <c r="C16" s="94" t="s">
        <v>3384</v>
      </c>
      <c r="D16" s="100" t="s">
        <v>1586</v>
      </c>
      <c r="E16" s="95" t="s">
        <v>1587</v>
      </c>
      <c r="F16" s="101" t="s">
        <v>1290</v>
      </c>
      <c r="G16" s="101"/>
      <c r="H16" s="100"/>
      <c r="I16" s="100" t="s">
        <v>11</v>
      </c>
      <c r="J16" s="100" t="s">
        <v>3393</v>
      </c>
      <c r="K16" s="104"/>
      <c r="L16" s="104"/>
    </row>
    <row r="17" spans="1:12" hidden="1" x14ac:dyDescent="0.2">
      <c r="A17" s="100" t="s">
        <v>2431</v>
      </c>
      <c r="B17" s="100" t="s">
        <v>1291</v>
      </c>
      <c r="C17" s="94" t="s">
        <v>3384</v>
      </c>
      <c r="D17" s="100" t="s">
        <v>2432</v>
      </c>
      <c r="E17" s="95" t="s">
        <v>2433</v>
      </c>
      <c r="F17" s="101" t="s">
        <v>1290</v>
      </c>
      <c r="G17" s="101" t="s">
        <v>3463</v>
      </c>
      <c r="H17" s="100"/>
      <c r="I17" s="100" t="s">
        <v>11</v>
      </c>
      <c r="J17" s="100" t="s">
        <v>3393</v>
      </c>
      <c r="K17" s="104"/>
      <c r="L17" s="104"/>
    </row>
    <row r="18" spans="1:12" ht="30" hidden="1" x14ac:dyDescent="0.2">
      <c r="A18" s="100" t="s">
        <v>1817</v>
      </c>
      <c r="B18" s="100" t="s">
        <v>8</v>
      </c>
      <c r="C18" s="94" t="s">
        <v>3384</v>
      </c>
      <c r="D18" s="100" t="s">
        <v>1818</v>
      </c>
      <c r="E18" s="95" t="s">
        <v>1819</v>
      </c>
      <c r="F18" s="101" t="s">
        <v>1290</v>
      </c>
      <c r="G18" s="101" t="s">
        <v>3463</v>
      </c>
      <c r="H18" s="100"/>
      <c r="I18" s="100" t="s">
        <v>11</v>
      </c>
      <c r="J18" s="100" t="s">
        <v>3393</v>
      </c>
      <c r="K18" s="104"/>
      <c r="L18" s="104"/>
    </row>
    <row r="19" spans="1:12" hidden="1" x14ac:dyDescent="0.2">
      <c r="A19" s="100" t="s">
        <v>2580</v>
      </c>
      <c r="B19" s="100" t="s">
        <v>8</v>
      </c>
      <c r="C19" s="94" t="s">
        <v>3384</v>
      </c>
      <c r="D19" s="100" t="s">
        <v>2581</v>
      </c>
      <c r="E19" s="95" t="s">
        <v>2582</v>
      </c>
      <c r="F19" s="101" t="s">
        <v>1290</v>
      </c>
      <c r="G19" s="101" t="s">
        <v>3463</v>
      </c>
      <c r="H19" s="100"/>
      <c r="I19" s="100" t="s">
        <v>11</v>
      </c>
      <c r="J19" s="100" t="s">
        <v>3393</v>
      </c>
      <c r="K19" s="104"/>
      <c r="L19" s="104"/>
    </row>
    <row r="20" spans="1:12" ht="30" hidden="1" x14ac:dyDescent="0.2">
      <c r="A20" s="100" t="s">
        <v>1684</v>
      </c>
      <c r="B20" s="100" t="s">
        <v>8</v>
      </c>
      <c r="C20" s="94" t="s">
        <v>3384</v>
      </c>
      <c r="D20" s="100" t="s">
        <v>1685</v>
      </c>
      <c r="E20" s="95" t="s">
        <v>1686</v>
      </c>
      <c r="F20" s="101" t="s">
        <v>1290</v>
      </c>
      <c r="G20" s="101"/>
      <c r="H20" s="100"/>
      <c r="I20" s="100" t="s">
        <v>11</v>
      </c>
      <c r="J20" s="100" t="s">
        <v>3393</v>
      </c>
      <c r="K20" s="104"/>
      <c r="L20" s="104"/>
    </row>
    <row r="21" spans="1:12" ht="30" hidden="1" x14ac:dyDescent="0.2">
      <c r="A21" s="100" t="s">
        <v>2687</v>
      </c>
      <c r="B21" s="100" t="s">
        <v>1266</v>
      </c>
      <c r="C21" s="94" t="s">
        <v>3385</v>
      </c>
      <c r="D21" s="100" t="s">
        <v>2688</v>
      </c>
      <c r="E21" s="95" t="s">
        <v>2689</v>
      </c>
      <c r="F21" s="101" t="s">
        <v>1290</v>
      </c>
      <c r="G21" s="101"/>
      <c r="H21" s="100"/>
      <c r="I21" s="100" t="s">
        <v>11</v>
      </c>
      <c r="J21" s="100" t="s">
        <v>3393</v>
      </c>
      <c r="K21" s="104"/>
      <c r="L21" s="104"/>
    </row>
    <row r="22" spans="1:12" hidden="1" x14ac:dyDescent="0.2">
      <c r="A22" s="100" t="s">
        <v>1673</v>
      </c>
      <c r="B22" s="100" t="s">
        <v>8</v>
      </c>
      <c r="C22" s="94" t="s">
        <v>3385</v>
      </c>
      <c r="D22" s="100" t="s">
        <v>1674</v>
      </c>
      <c r="E22" s="95" t="s">
        <v>1675</v>
      </c>
      <c r="F22" s="101" t="s">
        <v>1290</v>
      </c>
      <c r="G22" s="101" t="s">
        <v>3464</v>
      </c>
      <c r="H22" s="100"/>
      <c r="I22" s="100" t="s">
        <v>11</v>
      </c>
      <c r="J22" s="100" t="s">
        <v>3393</v>
      </c>
      <c r="K22" s="104"/>
      <c r="L22" s="104"/>
    </row>
    <row r="23" spans="1:12" x14ac:dyDescent="0.2">
      <c r="A23" s="100" t="s">
        <v>1699</v>
      </c>
      <c r="B23" s="100" t="s">
        <v>41</v>
      </c>
      <c r="C23" s="94" t="s">
        <v>3385</v>
      </c>
      <c r="D23" s="100" t="s">
        <v>1700</v>
      </c>
      <c r="E23" s="95" t="s">
        <v>1701</v>
      </c>
      <c r="F23" s="101" t="s">
        <v>1289</v>
      </c>
      <c r="G23" s="101" t="s">
        <v>3458</v>
      </c>
      <c r="H23" s="100"/>
      <c r="I23" s="100" t="s">
        <v>11</v>
      </c>
      <c r="J23" s="100" t="s">
        <v>3393</v>
      </c>
      <c r="K23" s="104"/>
      <c r="L23" s="104"/>
    </row>
    <row r="24" spans="1:12" ht="30" x14ac:dyDescent="0.2">
      <c r="A24" s="100" t="s">
        <v>2714</v>
      </c>
      <c r="B24" s="100" t="s">
        <v>8</v>
      </c>
      <c r="C24" s="94" t="s">
        <v>3385</v>
      </c>
      <c r="D24" s="100" t="s">
        <v>2715</v>
      </c>
      <c r="E24" s="95" t="s">
        <v>2716</v>
      </c>
      <c r="F24" s="101" t="s">
        <v>1289</v>
      </c>
      <c r="G24" s="101" t="s">
        <v>3463</v>
      </c>
      <c r="H24" s="100"/>
      <c r="I24" s="100" t="s">
        <v>11</v>
      </c>
      <c r="J24" s="100" t="s">
        <v>3393</v>
      </c>
      <c r="K24" s="104"/>
      <c r="L24" s="104"/>
    </row>
    <row r="25" spans="1:12" ht="30" x14ac:dyDescent="0.2">
      <c r="A25" s="100" t="s">
        <v>2807</v>
      </c>
      <c r="B25" s="100" t="s">
        <v>41</v>
      </c>
      <c r="C25" s="94" t="s">
        <v>3385</v>
      </c>
      <c r="D25" s="100" t="s">
        <v>2808</v>
      </c>
      <c r="E25" s="95" t="s">
        <v>2809</v>
      </c>
      <c r="F25" s="101" t="s">
        <v>1289</v>
      </c>
      <c r="G25" s="101"/>
      <c r="H25" s="100"/>
      <c r="I25" s="100" t="s">
        <v>11</v>
      </c>
      <c r="J25" s="100" t="s">
        <v>3393</v>
      </c>
      <c r="K25" s="104"/>
      <c r="L25" s="104"/>
    </row>
    <row r="26" spans="1:12" ht="30" hidden="1" x14ac:dyDescent="0.2">
      <c r="A26" s="100" t="s">
        <v>2638</v>
      </c>
      <c r="B26" s="100" t="s">
        <v>8</v>
      </c>
      <c r="C26" s="94" t="s">
        <v>3385</v>
      </c>
      <c r="D26" s="100" t="s">
        <v>2639</v>
      </c>
      <c r="E26" s="95" t="s">
        <v>2640</v>
      </c>
      <c r="F26" s="101" t="s">
        <v>1293</v>
      </c>
      <c r="G26" s="101"/>
      <c r="H26" s="100"/>
      <c r="I26" s="100" t="s">
        <v>11</v>
      </c>
      <c r="J26" s="100" t="s">
        <v>3393</v>
      </c>
      <c r="K26" s="104"/>
      <c r="L26" s="104"/>
    </row>
    <row r="27" spans="1:12" x14ac:dyDescent="0.2">
      <c r="A27" s="100" t="s">
        <v>2630</v>
      </c>
      <c r="B27" s="100" t="s">
        <v>8</v>
      </c>
      <c r="C27" s="94" t="s">
        <v>3375</v>
      </c>
      <c r="D27" s="100" t="s">
        <v>2631</v>
      </c>
      <c r="E27" s="95" t="s">
        <v>2632</v>
      </c>
      <c r="F27" s="101" t="s">
        <v>1289</v>
      </c>
      <c r="G27" s="101" t="s">
        <v>3463</v>
      </c>
      <c r="H27" s="100"/>
      <c r="I27" s="100" t="s">
        <v>11</v>
      </c>
      <c r="J27" s="100" t="s">
        <v>3393</v>
      </c>
      <c r="K27" s="104"/>
      <c r="L27" s="104"/>
    </row>
    <row r="28" spans="1:12" x14ac:dyDescent="0.2">
      <c r="A28" s="100" t="s">
        <v>1325</v>
      </c>
      <c r="B28" s="100" t="s">
        <v>41</v>
      </c>
      <c r="C28" s="94" t="s">
        <v>3375</v>
      </c>
      <c r="D28" s="100" t="s">
        <v>1326</v>
      </c>
      <c r="E28" s="95" t="s">
        <v>1327</v>
      </c>
      <c r="F28" s="101" t="s">
        <v>1289</v>
      </c>
      <c r="G28" s="101" t="s">
        <v>3459</v>
      </c>
      <c r="H28" s="100"/>
      <c r="I28" s="100" t="s">
        <v>11</v>
      </c>
      <c r="J28" s="100" t="s">
        <v>3393</v>
      </c>
      <c r="K28" s="104"/>
      <c r="L28" s="104"/>
    </row>
    <row r="29" spans="1:12" x14ac:dyDescent="0.2">
      <c r="A29" s="100" t="s">
        <v>1322</v>
      </c>
      <c r="B29" s="100" t="s">
        <v>41</v>
      </c>
      <c r="C29" s="94" t="s">
        <v>3375</v>
      </c>
      <c r="D29" s="100" t="s">
        <v>1323</v>
      </c>
      <c r="E29" s="95" t="s">
        <v>1324</v>
      </c>
      <c r="F29" s="101" t="s">
        <v>1289</v>
      </c>
      <c r="G29" s="101" t="s">
        <v>3458</v>
      </c>
      <c r="H29" s="100"/>
      <c r="I29" s="100" t="s">
        <v>11</v>
      </c>
      <c r="J29" s="100" t="s">
        <v>3393</v>
      </c>
      <c r="K29" s="104"/>
      <c r="L29" s="104"/>
    </row>
    <row r="30" spans="1:12" ht="45" x14ac:dyDescent="0.2">
      <c r="A30" s="100" t="s">
        <v>2076</v>
      </c>
      <c r="B30" s="100" t="s">
        <v>8</v>
      </c>
      <c r="C30" s="94" t="s">
        <v>3375</v>
      </c>
      <c r="D30" s="100" t="s">
        <v>2077</v>
      </c>
      <c r="E30" s="95" t="s">
        <v>2078</v>
      </c>
      <c r="F30" s="101" t="s">
        <v>1289</v>
      </c>
      <c r="G30" s="101" t="s">
        <v>3463</v>
      </c>
      <c r="H30" s="100"/>
      <c r="I30" s="100" t="s">
        <v>11</v>
      </c>
      <c r="J30" s="100" t="s">
        <v>3393</v>
      </c>
      <c r="K30" s="104"/>
      <c r="L30" s="104"/>
    </row>
    <row r="31" spans="1:12" x14ac:dyDescent="0.2">
      <c r="A31" s="100" t="s">
        <v>1328</v>
      </c>
      <c r="B31" s="100" t="s">
        <v>41</v>
      </c>
      <c r="C31" s="94" t="s">
        <v>3375</v>
      </c>
      <c r="D31" s="100" t="s">
        <v>1329</v>
      </c>
      <c r="E31" s="95" t="s">
        <v>1330</v>
      </c>
      <c r="F31" s="101" t="s">
        <v>1289</v>
      </c>
      <c r="G31" s="101" t="s">
        <v>3458</v>
      </c>
      <c r="H31" s="100"/>
      <c r="I31" s="100" t="s">
        <v>11</v>
      </c>
      <c r="J31" s="100" t="s">
        <v>3393</v>
      </c>
      <c r="K31" s="104"/>
      <c r="L31" s="104"/>
    </row>
    <row r="32" spans="1:12" x14ac:dyDescent="0.2">
      <c r="A32" s="100" t="s">
        <v>1456</v>
      </c>
      <c r="B32" s="100" t="s">
        <v>41</v>
      </c>
      <c r="C32" s="94" t="s">
        <v>3375</v>
      </c>
      <c r="D32" s="100" t="s">
        <v>1457</v>
      </c>
      <c r="E32" s="95" t="s">
        <v>1458</v>
      </c>
      <c r="F32" s="101" t="s">
        <v>1289</v>
      </c>
      <c r="G32" s="101"/>
      <c r="H32" s="100"/>
      <c r="I32" s="100" t="s">
        <v>11</v>
      </c>
      <c r="J32" s="100" t="s">
        <v>3393</v>
      </c>
      <c r="K32" s="104"/>
      <c r="L32" s="104"/>
    </row>
    <row r="33" spans="1:12" x14ac:dyDescent="0.2">
      <c r="A33" s="100" t="s">
        <v>1317</v>
      </c>
      <c r="B33" s="100" t="s">
        <v>41</v>
      </c>
      <c r="C33" s="94" t="s">
        <v>3375</v>
      </c>
      <c r="D33" s="100" t="s">
        <v>1318</v>
      </c>
      <c r="E33" s="95" t="s">
        <v>1319</v>
      </c>
      <c r="F33" s="101" t="s">
        <v>1289</v>
      </c>
      <c r="G33" s="101"/>
      <c r="H33" s="100"/>
      <c r="I33" s="100" t="s">
        <v>11</v>
      </c>
      <c r="J33" s="100" t="s">
        <v>3393</v>
      </c>
      <c r="K33" s="104"/>
      <c r="L33" s="104"/>
    </row>
    <row r="34" spans="1:12" ht="30" x14ac:dyDescent="0.2">
      <c r="A34" s="100" t="s">
        <v>2070</v>
      </c>
      <c r="B34" s="100" t="s">
        <v>41</v>
      </c>
      <c r="C34" s="94" t="s">
        <v>3375</v>
      </c>
      <c r="D34" s="100" t="s">
        <v>2071</v>
      </c>
      <c r="E34" s="95" t="s">
        <v>2072</v>
      </c>
      <c r="F34" s="101" t="s">
        <v>1289</v>
      </c>
      <c r="G34" s="101" t="s">
        <v>3463</v>
      </c>
      <c r="H34" s="100"/>
      <c r="I34" s="100" t="s">
        <v>11</v>
      </c>
      <c r="J34" s="100" t="s">
        <v>3393</v>
      </c>
      <c r="K34" s="104"/>
      <c r="L34" s="104"/>
    </row>
    <row r="35" spans="1:12" hidden="1" x14ac:dyDescent="0.2">
      <c r="A35" s="100" t="s">
        <v>2064</v>
      </c>
      <c r="B35" s="100" t="s">
        <v>1297</v>
      </c>
      <c r="C35" s="94" t="s">
        <v>3375</v>
      </c>
      <c r="D35" s="100" t="s">
        <v>2065</v>
      </c>
      <c r="E35" s="95" t="s">
        <v>2066</v>
      </c>
      <c r="F35" s="101" t="s">
        <v>1290</v>
      </c>
      <c r="G35" s="101"/>
      <c r="H35" s="100"/>
      <c r="I35" s="100" t="s">
        <v>11</v>
      </c>
      <c r="J35" s="100" t="s">
        <v>3393</v>
      </c>
      <c r="K35" s="104"/>
      <c r="L35" s="104"/>
    </row>
    <row r="36" spans="1:12" ht="30" x14ac:dyDescent="0.2">
      <c r="A36" s="100" t="s">
        <v>2479</v>
      </c>
      <c r="B36" s="100" t="s">
        <v>1266</v>
      </c>
      <c r="C36" s="94" t="s">
        <v>3375</v>
      </c>
      <c r="D36" s="100" t="s">
        <v>2480</v>
      </c>
      <c r="E36" s="95" t="s">
        <v>2481</v>
      </c>
      <c r="F36" s="101" t="s">
        <v>1289</v>
      </c>
      <c r="G36" s="101" t="s">
        <v>3463</v>
      </c>
      <c r="H36" s="100"/>
      <c r="I36" s="100" t="s">
        <v>11</v>
      </c>
      <c r="J36" s="100" t="s">
        <v>3393</v>
      </c>
      <c r="K36" s="104"/>
      <c r="L36" s="104"/>
    </row>
    <row r="37" spans="1:12" ht="30" x14ac:dyDescent="0.2">
      <c r="A37" s="100" t="s">
        <v>1346</v>
      </c>
      <c r="B37" s="100" t="s">
        <v>1266</v>
      </c>
      <c r="C37" s="94" t="s">
        <v>3375</v>
      </c>
      <c r="D37" s="100" t="s">
        <v>1347</v>
      </c>
      <c r="E37" s="95" t="s">
        <v>1348</v>
      </c>
      <c r="F37" s="101" t="s">
        <v>1289</v>
      </c>
      <c r="G37" s="101"/>
      <c r="H37" s="100"/>
      <c r="I37" s="100" t="s">
        <v>11</v>
      </c>
      <c r="J37" s="100" t="s">
        <v>3393</v>
      </c>
      <c r="K37" s="104"/>
      <c r="L37" s="104"/>
    </row>
    <row r="38" spans="1:12" ht="75" hidden="1" x14ac:dyDescent="0.2">
      <c r="A38" s="100" t="s">
        <v>1340</v>
      </c>
      <c r="B38" s="100" t="s">
        <v>8</v>
      </c>
      <c r="C38" s="94" t="s">
        <v>3375</v>
      </c>
      <c r="D38" s="100" t="s">
        <v>1341</v>
      </c>
      <c r="E38" s="95" t="s">
        <v>1342</v>
      </c>
      <c r="F38" s="101" t="s">
        <v>1293</v>
      </c>
      <c r="G38" s="101"/>
      <c r="H38" s="100"/>
      <c r="I38" s="100" t="s">
        <v>11</v>
      </c>
      <c r="J38" s="100" t="s">
        <v>3393</v>
      </c>
      <c r="K38" s="104"/>
      <c r="L38" s="104"/>
    </row>
    <row r="39" spans="1:12" ht="30" hidden="1" x14ac:dyDescent="0.2">
      <c r="A39" s="100" t="s">
        <v>2024</v>
      </c>
      <c r="B39" s="100" t="s">
        <v>8</v>
      </c>
      <c r="C39" s="94" t="s">
        <v>3375</v>
      </c>
      <c r="D39" s="100" t="s">
        <v>2025</v>
      </c>
      <c r="E39" s="95" t="s">
        <v>2026</v>
      </c>
      <c r="F39" s="101" t="s">
        <v>1293</v>
      </c>
      <c r="G39" s="101"/>
      <c r="H39" s="100"/>
      <c r="I39" s="100" t="s">
        <v>11</v>
      </c>
      <c r="J39" s="100" t="s">
        <v>3393</v>
      </c>
      <c r="K39" s="104"/>
      <c r="L39" s="104"/>
    </row>
    <row r="40" spans="1:12" hidden="1" x14ac:dyDescent="0.2">
      <c r="A40" s="100" t="s">
        <v>1387</v>
      </c>
      <c r="B40" s="100" t="s">
        <v>8</v>
      </c>
      <c r="C40" s="94" t="s">
        <v>3375</v>
      </c>
      <c r="D40" s="100" t="s">
        <v>1388</v>
      </c>
      <c r="E40" s="95" t="s">
        <v>1389</v>
      </c>
      <c r="F40" s="101" t="s">
        <v>1293</v>
      </c>
      <c r="G40" s="101"/>
      <c r="H40" s="100"/>
      <c r="I40" s="100" t="s">
        <v>11</v>
      </c>
      <c r="J40" s="100" t="s">
        <v>3393</v>
      </c>
      <c r="K40" s="104"/>
      <c r="L40" s="104"/>
    </row>
    <row r="41" spans="1:12" ht="45" hidden="1" x14ac:dyDescent="0.2">
      <c r="A41" s="100" t="s">
        <v>1337</v>
      </c>
      <c r="B41" s="100" t="s">
        <v>8</v>
      </c>
      <c r="C41" s="94" t="s">
        <v>3375</v>
      </c>
      <c r="D41" s="100" t="s">
        <v>1338</v>
      </c>
      <c r="E41" s="95" t="s">
        <v>1339</v>
      </c>
      <c r="F41" s="101" t="s">
        <v>1293</v>
      </c>
      <c r="G41" s="101"/>
      <c r="H41" s="100"/>
      <c r="I41" s="100" t="s">
        <v>11</v>
      </c>
      <c r="J41" s="100" t="s">
        <v>3393</v>
      </c>
      <c r="K41" s="104"/>
      <c r="L41" s="104"/>
    </row>
    <row r="42" spans="1:12" ht="30" hidden="1" x14ac:dyDescent="0.2">
      <c r="A42" s="100" t="s">
        <v>1381</v>
      </c>
      <c r="B42" s="100" t="s">
        <v>8</v>
      </c>
      <c r="C42" s="94" t="s">
        <v>3375</v>
      </c>
      <c r="D42" s="100" t="s">
        <v>1382</v>
      </c>
      <c r="E42" s="95" t="s">
        <v>1383</v>
      </c>
      <c r="F42" s="101" t="s">
        <v>1293</v>
      </c>
      <c r="G42" s="101"/>
      <c r="H42" s="100"/>
      <c r="I42" s="100" t="s">
        <v>11</v>
      </c>
      <c r="J42" s="100" t="s">
        <v>3393</v>
      </c>
      <c r="K42" s="104"/>
      <c r="L42" s="104"/>
    </row>
    <row r="43" spans="1:12" hidden="1" x14ac:dyDescent="0.2">
      <c r="A43" s="100" t="s">
        <v>1355</v>
      </c>
      <c r="B43" s="100" t="s">
        <v>1295</v>
      </c>
      <c r="C43" s="94" t="s">
        <v>3384</v>
      </c>
      <c r="D43" s="100" t="s">
        <v>1356</v>
      </c>
      <c r="E43" s="95" t="s">
        <v>1336</v>
      </c>
      <c r="F43" s="101" t="s">
        <v>1293</v>
      </c>
      <c r="G43" s="101"/>
      <c r="H43" s="100"/>
      <c r="I43" s="100" t="s">
        <v>11</v>
      </c>
      <c r="J43" s="100" t="s">
        <v>3393</v>
      </c>
      <c r="K43" s="104"/>
      <c r="L43" s="104"/>
    </row>
    <row r="44" spans="1:12" x14ac:dyDescent="0.2">
      <c r="A44" s="100" t="s">
        <v>1352</v>
      </c>
      <c r="B44" s="100" t="s">
        <v>1295</v>
      </c>
      <c r="C44" s="94" t="s">
        <v>3384</v>
      </c>
      <c r="D44" s="100" t="s">
        <v>1353</v>
      </c>
      <c r="E44" s="95" t="s">
        <v>1354</v>
      </c>
      <c r="F44" s="101" t="s">
        <v>1289</v>
      </c>
      <c r="G44" s="101" t="s">
        <v>3463</v>
      </c>
      <c r="H44" s="100"/>
      <c r="I44" s="100" t="s">
        <v>11</v>
      </c>
      <c r="J44" s="100" t="s">
        <v>3393</v>
      </c>
      <c r="K44" s="104"/>
      <c r="L44" s="104"/>
    </row>
    <row r="45" spans="1:12" hidden="1" x14ac:dyDescent="0.2">
      <c r="A45" s="100" t="s">
        <v>1334</v>
      </c>
      <c r="B45" s="100" t="s">
        <v>1295</v>
      </c>
      <c r="C45" s="94" t="s">
        <v>3390</v>
      </c>
      <c r="D45" s="100" t="s">
        <v>1335</v>
      </c>
      <c r="E45" s="95" t="s">
        <v>1336</v>
      </c>
      <c r="F45" s="101" t="s">
        <v>1293</v>
      </c>
      <c r="G45" s="101"/>
      <c r="H45" s="100"/>
      <c r="I45" s="100" t="s">
        <v>11</v>
      </c>
      <c r="J45" s="100" t="s">
        <v>3393</v>
      </c>
      <c r="K45" s="104"/>
      <c r="L45" s="104"/>
    </row>
    <row r="46" spans="1:12" ht="30" hidden="1" x14ac:dyDescent="0.2">
      <c r="A46" s="100" t="s">
        <v>2977</v>
      </c>
      <c r="B46" s="100" t="s">
        <v>290</v>
      </c>
      <c r="C46" s="94" t="s">
        <v>3384</v>
      </c>
      <c r="D46" s="100" t="s">
        <v>2978</v>
      </c>
      <c r="E46" s="95" t="s">
        <v>2979</v>
      </c>
      <c r="F46" s="101" t="s">
        <v>291</v>
      </c>
      <c r="G46" s="101" t="s">
        <v>3463</v>
      </c>
      <c r="H46" s="100"/>
      <c r="I46" s="100" t="s">
        <v>11</v>
      </c>
      <c r="J46" s="100" t="s">
        <v>3393</v>
      </c>
      <c r="K46" s="104"/>
      <c r="L46" s="104"/>
    </row>
    <row r="47" spans="1:12" ht="30" hidden="1" x14ac:dyDescent="0.2">
      <c r="A47" s="100" t="s">
        <v>2980</v>
      </c>
      <c r="B47" s="100" t="s">
        <v>290</v>
      </c>
      <c r="C47" s="94" t="s">
        <v>3384</v>
      </c>
      <c r="D47" s="100" t="s">
        <v>2981</v>
      </c>
      <c r="E47" s="95" t="s">
        <v>2982</v>
      </c>
      <c r="F47" s="101" t="s">
        <v>291</v>
      </c>
      <c r="G47" s="101" t="s">
        <v>3463</v>
      </c>
      <c r="H47" s="100"/>
      <c r="I47" s="100" t="s">
        <v>11</v>
      </c>
      <c r="J47" s="100" t="s">
        <v>3393</v>
      </c>
      <c r="K47" s="104"/>
      <c r="L47" s="104"/>
    </row>
    <row r="48" spans="1:12" hidden="1" x14ac:dyDescent="0.2">
      <c r="A48" s="100" t="s">
        <v>879</v>
      </c>
      <c r="B48" s="100" t="s">
        <v>8</v>
      </c>
      <c r="C48" s="94" t="s">
        <v>3376</v>
      </c>
      <c r="D48" s="100"/>
      <c r="E48" s="95" t="s">
        <v>880</v>
      </c>
      <c r="F48" s="101" t="s">
        <v>108</v>
      </c>
      <c r="G48" s="101" t="s">
        <v>3459</v>
      </c>
      <c r="H48" s="100"/>
      <c r="I48" s="100" t="s">
        <v>11</v>
      </c>
      <c r="J48" s="100" t="s">
        <v>3393</v>
      </c>
      <c r="K48" s="104"/>
      <c r="L48" s="104"/>
    </row>
    <row r="49" spans="1:12" ht="30" hidden="1" x14ac:dyDescent="0.2">
      <c r="A49" s="100" t="s">
        <v>897</v>
      </c>
      <c r="B49" s="100" t="s">
        <v>8</v>
      </c>
      <c r="C49" s="94" t="s">
        <v>3376</v>
      </c>
      <c r="D49" s="100"/>
      <c r="E49" s="95" t="s">
        <v>898</v>
      </c>
      <c r="F49" s="101" t="s">
        <v>108</v>
      </c>
      <c r="G49" s="101" t="s">
        <v>3458</v>
      </c>
      <c r="H49" s="100"/>
      <c r="I49" s="100" t="s">
        <v>11</v>
      </c>
      <c r="J49" s="100" t="s">
        <v>3393</v>
      </c>
      <c r="K49" s="104"/>
      <c r="L49" s="104"/>
    </row>
    <row r="50" spans="1:12" ht="30" hidden="1" x14ac:dyDescent="0.2">
      <c r="A50" s="100" t="s">
        <v>901</v>
      </c>
      <c r="B50" s="100" t="s">
        <v>8</v>
      </c>
      <c r="C50" s="94" t="s">
        <v>3376</v>
      </c>
      <c r="D50" s="100"/>
      <c r="E50" s="95" t="s">
        <v>902</v>
      </c>
      <c r="F50" s="101" t="s">
        <v>86</v>
      </c>
      <c r="G50" s="101" t="s">
        <v>3458</v>
      </c>
      <c r="H50" s="100"/>
      <c r="I50" s="100" t="s">
        <v>11</v>
      </c>
      <c r="J50" s="100" t="s">
        <v>3393</v>
      </c>
      <c r="K50" s="104"/>
      <c r="L50" s="104"/>
    </row>
    <row r="51" spans="1:12" hidden="1" x14ac:dyDescent="0.2">
      <c r="A51" s="100" t="s">
        <v>496</v>
      </c>
      <c r="B51" s="100" t="s">
        <v>8</v>
      </c>
      <c r="C51" s="94" t="s">
        <v>3376</v>
      </c>
      <c r="D51" s="100"/>
      <c r="E51" s="95" t="s">
        <v>497</v>
      </c>
      <c r="F51" s="101" t="s">
        <v>108</v>
      </c>
      <c r="G51" s="101" t="s">
        <v>3458</v>
      </c>
      <c r="H51" s="100"/>
      <c r="I51" s="100" t="s">
        <v>11</v>
      </c>
      <c r="J51" s="100" t="s">
        <v>3393</v>
      </c>
      <c r="K51" s="104"/>
      <c r="L51" s="104"/>
    </row>
    <row r="52" spans="1:12" hidden="1" x14ac:dyDescent="0.2">
      <c r="A52" s="100" t="s">
        <v>629</v>
      </c>
      <c r="B52" s="100" t="s">
        <v>8</v>
      </c>
      <c r="C52" s="94" t="s">
        <v>3377</v>
      </c>
      <c r="D52" s="100"/>
      <c r="E52" s="95" t="s">
        <v>630</v>
      </c>
      <c r="F52" s="101" t="s">
        <v>108</v>
      </c>
      <c r="G52" s="101" t="s">
        <v>3459</v>
      </c>
      <c r="H52" s="100"/>
      <c r="I52" s="100" t="s">
        <v>11</v>
      </c>
      <c r="J52" s="100" t="s">
        <v>3393</v>
      </c>
      <c r="K52" s="104"/>
      <c r="L52" s="104"/>
    </row>
    <row r="53" spans="1:12" hidden="1" x14ac:dyDescent="0.2">
      <c r="A53" s="100" t="s">
        <v>631</v>
      </c>
      <c r="B53" s="100" t="s">
        <v>8</v>
      </c>
      <c r="C53" s="94" t="s">
        <v>3377</v>
      </c>
      <c r="D53" s="100"/>
      <c r="E53" s="95" t="s">
        <v>632</v>
      </c>
      <c r="F53" s="101" t="s">
        <v>108</v>
      </c>
      <c r="G53" s="101" t="s">
        <v>3459</v>
      </c>
      <c r="H53" s="100"/>
      <c r="I53" s="100" t="s">
        <v>11</v>
      </c>
      <c r="J53" s="100" t="s">
        <v>3393</v>
      </c>
      <c r="K53" s="104"/>
      <c r="L53" s="104"/>
    </row>
    <row r="54" spans="1:12" ht="30" x14ac:dyDescent="0.2">
      <c r="A54" s="100" t="s">
        <v>651</v>
      </c>
      <c r="B54" s="100" t="s">
        <v>8</v>
      </c>
      <c r="C54" s="94" t="s">
        <v>3377</v>
      </c>
      <c r="D54" s="100"/>
      <c r="E54" s="95" t="s">
        <v>652</v>
      </c>
      <c r="F54" s="101" t="s">
        <v>113</v>
      </c>
      <c r="G54" s="101" t="s">
        <v>3463</v>
      </c>
      <c r="H54" s="100"/>
      <c r="I54" s="100" t="s">
        <v>11</v>
      </c>
      <c r="J54" s="100" t="s">
        <v>3393</v>
      </c>
      <c r="K54" s="104"/>
      <c r="L54" s="104"/>
    </row>
    <row r="55" spans="1:12" x14ac:dyDescent="0.2">
      <c r="A55" s="100" t="s">
        <v>653</v>
      </c>
      <c r="B55" s="100" t="s">
        <v>8</v>
      </c>
      <c r="C55" s="94" t="s">
        <v>3377</v>
      </c>
      <c r="D55" s="100"/>
      <c r="E55" s="95" t="s">
        <v>654</v>
      </c>
      <c r="F55" s="101" t="s">
        <v>113</v>
      </c>
      <c r="G55" s="101" t="s">
        <v>3463</v>
      </c>
      <c r="H55" s="100"/>
      <c r="I55" s="100" t="s">
        <v>11</v>
      </c>
      <c r="J55" s="100" t="s">
        <v>3393</v>
      </c>
      <c r="K55" s="104"/>
      <c r="L55" s="104"/>
    </row>
    <row r="56" spans="1:12" hidden="1" x14ac:dyDescent="0.2">
      <c r="A56" s="100" t="s">
        <v>665</v>
      </c>
      <c r="B56" s="100" t="s">
        <v>8</v>
      </c>
      <c r="C56" s="94" t="s">
        <v>3377</v>
      </c>
      <c r="D56" s="100"/>
      <c r="E56" s="95" t="s">
        <v>666</v>
      </c>
      <c r="F56" s="101" t="s">
        <v>108</v>
      </c>
      <c r="G56" s="101" t="s">
        <v>3463</v>
      </c>
      <c r="H56" s="100"/>
      <c r="I56" s="100" t="s">
        <v>11</v>
      </c>
      <c r="J56" s="100" t="s">
        <v>3393</v>
      </c>
      <c r="K56" s="104"/>
      <c r="L56" s="104"/>
    </row>
    <row r="57" spans="1:12" ht="30" hidden="1" x14ac:dyDescent="0.2">
      <c r="A57" s="100" t="s">
        <v>679</v>
      </c>
      <c r="B57" s="100" t="s">
        <v>8</v>
      </c>
      <c r="C57" s="94" t="s">
        <v>3377</v>
      </c>
      <c r="D57" s="100"/>
      <c r="E57" s="95" t="s">
        <v>680</v>
      </c>
      <c r="F57" s="101" t="s">
        <v>86</v>
      </c>
      <c r="G57" s="101"/>
      <c r="H57" s="100"/>
      <c r="I57" s="100" t="s">
        <v>11</v>
      </c>
      <c r="J57" s="100" t="s">
        <v>3393</v>
      </c>
      <c r="K57" s="104"/>
      <c r="L57" s="104"/>
    </row>
    <row r="58" spans="1:12" ht="45" x14ac:dyDescent="0.2">
      <c r="A58" s="100" t="s">
        <v>700</v>
      </c>
      <c r="B58" s="100" t="s">
        <v>8</v>
      </c>
      <c r="C58" s="94" t="s">
        <v>3378</v>
      </c>
      <c r="D58" s="100"/>
      <c r="E58" s="95" t="s">
        <v>701</v>
      </c>
      <c r="F58" s="101" t="s">
        <v>113</v>
      </c>
      <c r="G58" s="101" t="s">
        <v>3463</v>
      </c>
      <c r="H58" s="100"/>
      <c r="I58" s="100" t="s">
        <v>11</v>
      </c>
      <c r="J58" s="100" t="s">
        <v>3393</v>
      </c>
      <c r="K58" s="104"/>
      <c r="L58" s="104"/>
    </row>
    <row r="59" spans="1:12" ht="30" hidden="1" x14ac:dyDescent="0.2">
      <c r="A59" s="100" t="s">
        <v>702</v>
      </c>
      <c r="B59" s="100" t="s">
        <v>8</v>
      </c>
      <c r="C59" s="94" t="s">
        <v>3378</v>
      </c>
      <c r="D59" s="100"/>
      <c r="E59" s="95" t="s">
        <v>703</v>
      </c>
      <c r="F59" s="101" t="s">
        <v>108</v>
      </c>
      <c r="G59" s="101" t="s">
        <v>3458</v>
      </c>
      <c r="H59" s="100"/>
      <c r="I59" s="100" t="s">
        <v>11</v>
      </c>
      <c r="J59" s="100" t="s">
        <v>3393</v>
      </c>
      <c r="K59" s="104"/>
      <c r="L59" s="104"/>
    </row>
    <row r="60" spans="1:12" ht="30" hidden="1" x14ac:dyDescent="0.2">
      <c r="A60" s="100" t="s">
        <v>704</v>
      </c>
      <c r="B60" s="100" t="s">
        <v>8</v>
      </c>
      <c r="C60" s="94" t="s">
        <v>3378</v>
      </c>
      <c r="D60" s="100"/>
      <c r="E60" s="95" t="s">
        <v>705</v>
      </c>
      <c r="F60" s="101" t="s">
        <v>108</v>
      </c>
      <c r="G60" s="101" t="s">
        <v>3458</v>
      </c>
      <c r="H60" s="100"/>
      <c r="I60" s="100" t="s">
        <v>11</v>
      </c>
      <c r="J60" s="100" t="s">
        <v>3393</v>
      </c>
      <c r="K60" s="104"/>
      <c r="L60" s="104"/>
    </row>
    <row r="61" spans="1:12" ht="30" hidden="1" x14ac:dyDescent="0.2">
      <c r="A61" s="100" t="s">
        <v>706</v>
      </c>
      <c r="B61" s="100" t="s">
        <v>8</v>
      </c>
      <c r="C61" s="94" t="s">
        <v>3378</v>
      </c>
      <c r="D61" s="100"/>
      <c r="E61" s="95" t="s">
        <v>707</v>
      </c>
      <c r="F61" s="101" t="s">
        <v>108</v>
      </c>
      <c r="G61" s="101" t="s">
        <v>3458</v>
      </c>
      <c r="H61" s="100"/>
      <c r="I61" s="100" t="s">
        <v>11</v>
      </c>
      <c r="J61" s="100" t="s">
        <v>3393</v>
      </c>
      <c r="K61" s="104"/>
      <c r="L61" s="104"/>
    </row>
    <row r="62" spans="1:12" ht="30" x14ac:dyDescent="0.2">
      <c r="A62" s="100" t="s">
        <v>724</v>
      </c>
      <c r="B62" s="100" t="s">
        <v>8</v>
      </c>
      <c r="C62" s="94" t="s">
        <v>3378</v>
      </c>
      <c r="D62" s="100"/>
      <c r="E62" s="95" t="s">
        <v>725</v>
      </c>
      <c r="F62" s="101" t="s">
        <v>113</v>
      </c>
      <c r="G62" s="101"/>
      <c r="H62" s="100"/>
      <c r="I62" s="100" t="s">
        <v>11</v>
      </c>
      <c r="J62" s="100" t="s">
        <v>3393</v>
      </c>
      <c r="K62" s="104"/>
      <c r="L62" s="104"/>
    </row>
    <row r="63" spans="1:12" hidden="1" x14ac:dyDescent="0.2">
      <c r="A63" s="100" t="s">
        <v>730</v>
      </c>
      <c r="B63" s="100" t="s">
        <v>8</v>
      </c>
      <c r="C63" s="94" t="s">
        <v>3378</v>
      </c>
      <c r="D63" s="100"/>
      <c r="E63" s="95" t="s">
        <v>731</v>
      </c>
      <c r="F63" s="101" t="s">
        <v>108</v>
      </c>
      <c r="G63" s="101" t="s">
        <v>3458</v>
      </c>
      <c r="H63" s="100"/>
      <c r="I63" s="100" t="s">
        <v>11</v>
      </c>
      <c r="J63" s="100" t="s">
        <v>3393</v>
      </c>
      <c r="K63" s="104"/>
      <c r="L63" s="104"/>
    </row>
    <row r="64" spans="1:12" ht="30" x14ac:dyDescent="0.2">
      <c r="A64" s="100" t="s">
        <v>732</v>
      </c>
      <c r="B64" s="100" t="s">
        <v>8</v>
      </c>
      <c r="C64" s="94" t="s">
        <v>3378</v>
      </c>
      <c r="D64" s="100"/>
      <c r="E64" s="95" t="s">
        <v>733</v>
      </c>
      <c r="F64" s="101" t="s">
        <v>113</v>
      </c>
      <c r="G64" s="101"/>
      <c r="H64" s="100"/>
      <c r="I64" s="100" t="s">
        <v>11</v>
      </c>
      <c r="J64" s="100" t="s">
        <v>3393</v>
      </c>
      <c r="K64" s="104"/>
      <c r="L64" s="104"/>
    </row>
    <row r="65" spans="1:12" ht="30" x14ac:dyDescent="0.2">
      <c r="A65" s="100" t="s">
        <v>738</v>
      </c>
      <c r="B65" s="100" t="s">
        <v>8</v>
      </c>
      <c r="C65" s="94" t="s">
        <v>3378</v>
      </c>
      <c r="D65" s="100"/>
      <c r="E65" s="95" t="s">
        <v>739</v>
      </c>
      <c r="F65" s="101" t="s">
        <v>113</v>
      </c>
      <c r="G65" s="101"/>
      <c r="H65" s="100"/>
      <c r="I65" s="100" t="s">
        <v>11</v>
      </c>
      <c r="J65" s="100" t="s">
        <v>3393</v>
      </c>
      <c r="K65" s="104"/>
      <c r="L65" s="104"/>
    </row>
    <row r="66" spans="1:12" x14ac:dyDescent="0.2">
      <c r="A66" s="100" t="s">
        <v>762</v>
      </c>
      <c r="B66" s="100" t="s">
        <v>8</v>
      </c>
      <c r="C66" s="94" t="s">
        <v>3378</v>
      </c>
      <c r="D66" s="100"/>
      <c r="E66" s="95" t="s">
        <v>763</v>
      </c>
      <c r="F66" s="101" t="s">
        <v>113</v>
      </c>
      <c r="G66" s="101" t="s">
        <v>3463</v>
      </c>
      <c r="H66" s="100"/>
      <c r="I66" s="100" t="s">
        <v>11</v>
      </c>
      <c r="J66" s="100" t="s">
        <v>3393</v>
      </c>
      <c r="K66" s="104"/>
      <c r="L66" s="104"/>
    </row>
    <row r="67" spans="1:12" x14ac:dyDescent="0.2">
      <c r="A67" s="100" t="s">
        <v>774</v>
      </c>
      <c r="B67" s="100" t="s">
        <v>8</v>
      </c>
      <c r="C67" s="94" t="s">
        <v>3378</v>
      </c>
      <c r="D67" s="100"/>
      <c r="E67" s="95" t="s">
        <v>775</v>
      </c>
      <c r="F67" s="101" t="s">
        <v>113</v>
      </c>
      <c r="G67" s="101"/>
      <c r="H67" s="100"/>
      <c r="I67" s="100" t="s">
        <v>11</v>
      </c>
      <c r="J67" s="100" t="s">
        <v>3393</v>
      </c>
      <c r="K67" s="104"/>
      <c r="L67" s="104"/>
    </row>
    <row r="68" spans="1:12" ht="30" hidden="1" x14ac:dyDescent="0.2">
      <c r="A68" s="100" t="s">
        <v>811</v>
      </c>
      <c r="B68" s="100" t="s">
        <v>8</v>
      </c>
      <c r="C68" s="94" t="s">
        <v>3379</v>
      </c>
      <c r="D68" s="100"/>
      <c r="E68" s="95" t="s">
        <v>812</v>
      </c>
      <c r="F68" s="101" t="s">
        <v>108</v>
      </c>
      <c r="G68" s="101" t="s">
        <v>3458</v>
      </c>
      <c r="H68" s="100"/>
      <c r="I68" s="100" t="s">
        <v>11</v>
      </c>
      <c r="J68" s="100" t="s">
        <v>3393</v>
      </c>
      <c r="K68" s="104"/>
      <c r="L68" s="104"/>
    </row>
    <row r="69" spans="1:12" ht="30" hidden="1" x14ac:dyDescent="0.2">
      <c r="A69" s="100" t="s">
        <v>815</v>
      </c>
      <c r="B69" s="100" t="s">
        <v>8</v>
      </c>
      <c r="C69" s="94" t="s">
        <v>3379</v>
      </c>
      <c r="D69" s="100"/>
      <c r="E69" s="95" t="s">
        <v>816</v>
      </c>
      <c r="F69" s="101" t="s">
        <v>86</v>
      </c>
      <c r="G69" s="101" t="s">
        <v>3459</v>
      </c>
      <c r="H69" s="100"/>
      <c r="I69" s="100" t="s">
        <v>11</v>
      </c>
      <c r="J69" s="100" t="s">
        <v>3393</v>
      </c>
      <c r="K69" s="104"/>
      <c r="L69" s="104"/>
    </row>
    <row r="70" spans="1:12" ht="30" hidden="1" x14ac:dyDescent="0.2">
      <c r="A70" s="100" t="s">
        <v>823</v>
      </c>
      <c r="B70" s="100" t="s">
        <v>8</v>
      </c>
      <c r="C70" s="94" t="s">
        <v>3379</v>
      </c>
      <c r="D70" s="100"/>
      <c r="E70" s="95" t="s">
        <v>824</v>
      </c>
      <c r="F70" s="101" t="s">
        <v>108</v>
      </c>
      <c r="G70" s="101" t="s">
        <v>3458</v>
      </c>
      <c r="H70" s="100"/>
      <c r="I70" s="100" t="s">
        <v>11</v>
      </c>
      <c r="J70" s="100" t="s">
        <v>3393</v>
      </c>
      <c r="K70" s="104"/>
      <c r="L70" s="104"/>
    </row>
    <row r="71" spans="1:12" ht="30" x14ac:dyDescent="0.2">
      <c r="A71" s="100" t="s">
        <v>865</v>
      </c>
      <c r="B71" s="100" t="s">
        <v>8</v>
      </c>
      <c r="C71" s="94" t="s">
        <v>3379</v>
      </c>
      <c r="D71" s="100"/>
      <c r="E71" s="95" t="s">
        <v>866</v>
      </c>
      <c r="F71" s="101" t="s">
        <v>113</v>
      </c>
      <c r="G71" s="101" t="s">
        <v>3463</v>
      </c>
      <c r="H71" s="100"/>
      <c r="I71" s="100" t="s">
        <v>11</v>
      </c>
      <c r="J71" s="100" t="s">
        <v>3393</v>
      </c>
      <c r="K71" s="104"/>
      <c r="L71" s="104"/>
    </row>
    <row r="72" spans="1:12" ht="120" x14ac:dyDescent="0.2">
      <c r="A72" s="100" t="s">
        <v>875</v>
      </c>
      <c r="B72" s="100" t="s">
        <v>8</v>
      </c>
      <c r="C72" s="94" t="s">
        <v>3379</v>
      </c>
      <c r="D72" s="100"/>
      <c r="E72" s="95" t="s">
        <v>876</v>
      </c>
      <c r="F72" s="101" t="s">
        <v>113</v>
      </c>
      <c r="G72" s="101" t="s">
        <v>3463</v>
      </c>
      <c r="H72" s="100"/>
      <c r="I72" s="100" t="s">
        <v>11</v>
      </c>
      <c r="J72" s="100" t="s">
        <v>3393</v>
      </c>
      <c r="K72" s="104"/>
      <c r="L72" s="104"/>
    </row>
    <row r="73" spans="1:12" ht="30" hidden="1" x14ac:dyDescent="0.2">
      <c r="A73" s="100" t="s">
        <v>927</v>
      </c>
      <c r="B73" s="100" t="s">
        <v>8</v>
      </c>
      <c r="C73" s="94" t="s">
        <v>3379</v>
      </c>
      <c r="D73" s="100"/>
      <c r="E73" s="95" t="s">
        <v>928</v>
      </c>
      <c r="F73" s="101" t="s">
        <v>86</v>
      </c>
      <c r="G73" s="101"/>
      <c r="H73" s="100"/>
      <c r="I73" s="100" t="s">
        <v>11</v>
      </c>
      <c r="J73" s="100" t="s">
        <v>3393</v>
      </c>
      <c r="K73" s="104"/>
      <c r="L73" s="104"/>
    </row>
    <row r="74" spans="1:12" ht="30" x14ac:dyDescent="0.2">
      <c r="A74" s="100" t="s">
        <v>520</v>
      </c>
      <c r="B74" s="100" t="s">
        <v>8</v>
      </c>
      <c r="C74" s="94" t="s">
        <v>3379</v>
      </c>
      <c r="D74" s="100"/>
      <c r="E74" s="95" t="s">
        <v>521</v>
      </c>
      <c r="F74" s="101" t="s">
        <v>113</v>
      </c>
      <c r="G74" s="101" t="s">
        <v>3463</v>
      </c>
      <c r="H74" s="100"/>
      <c r="I74" s="100" t="s">
        <v>11</v>
      </c>
      <c r="J74" s="100" t="s">
        <v>3393</v>
      </c>
      <c r="K74" s="104"/>
      <c r="L74" s="104"/>
    </row>
    <row r="75" spans="1:12" ht="30" x14ac:dyDescent="0.2">
      <c r="A75" s="100" t="s">
        <v>522</v>
      </c>
      <c r="B75" s="100" t="s">
        <v>8</v>
      </c>
      <c r="C75" s="94" t="s">
        <v>3379</v>
      </c>
      <c r="D75" s="100"/>
      <c r="E75" s="95" t="s">
        <v>523</v>
      </c>
      <c r="F75" s="101" t="s">
        <v>113</v>
      </c>
      <c r="G75" s="101" t="s">
        <v>3464</v>
      </c>
      <c r="H75" s="100"/>
      <c r="I75" s="100" t="s">
        <v>11</v>
      </c>
      <c r="J75" s="100" t="s">
        <v>3393</v>
      </c>
      <c r="K75" s="104"/>
      <c r="L75" s="104"/>
    </row>
    <row r="76" spans="1:12" ht="30" x14ac:dyDescent="0.2">
      <c r="A76" s="100" t="s">
        <v>466</v>
      </c>
      <c r="B76" s="100" t="s">
        <v>8</v>
      </c>
      <c r="C76" s="94" t="s">
        <v>3387</v>
      </c>
      <c r="D76" s="100"/>
      <c r="E76" s="95" t="s">
        <v>467</v>
      </c>
      <c r="F76" s="101" t="s">
        <v>113</v>
      </c>
      <c r="G76" s="101" t="s">
        <v>3463</v>
      </c>
      <c r="H76" s="100"/>
      <c r="I76" s="100" t="s">
        <v>11</v>
      </c>
      <c r="J76" s="100" t="s">
        <v>3393</v>
      </c>
      <c r="K76" s="104"/>
      <c r="L76" s="104"/>
    </row>
    <row r="77" spans="1:12" ht="45" hidden="1" x14ac:dyDescent="0.2">
      <c r="A77" s="100" t="s">
        <v>468</v>
      </c>
      <c r="B77" s="100" t="s">
        <v>8</v>
      </c>
      <c r="C77" s="94" t="s">
        <v>3387</v>
      </c>
      <c r="D77" s="100"/>
      <c r="E77" s="95" t="s">
        <v>469</v>
      </c>
      <c r="F77" s="101" t="s">
        <v>128</v>
      </c>
      <c r="G77" s="101"/>
      <c r="H77" s="100"/>
      <c r="I77" s="100" t="s">
        <v>11</v>
      </c>
      <c r="J77" s="100" t="s">
        <v>3393</v>
      </c>
      <c r="K77" s="104"/>
      <c r="L77" s="104"/>
    </row>
    <row r="78" spans="1:12" ht="30" hidden="1" x14ac:dyDescent="0.2">
      <c r="A78" s="100" t="s">
        <v>170</v>
      </c>
      <c r="B78" s="100" t="s">
        <v>8</v>
      </c>
      <c r="C78" s="94" t="s">
        <v>3387</v>
      </c>
      <c r="D78" s="100"/>
      <c r="E78" s="95" t="s">
        <v>171</v>
      </c>
      <c r="F78" s="101" t="s">
        <v>43</v>
      </c>
      <c r="G78" s="101" t="s">
        <v>3459</v>
      </c>
      <c r="H78" s="100"/>
      <c r="I78" s="100" t="s">
        <v>11</v>
      </c>
      <c r="J78" s="100" t="s">
        <v>3393</v>
      </c>
      <c r="K78" s="104"/>
      <c r="L78" s="104"/>
    </row>
    <row r="79" spans="1:12" ht="30" x14ac:dyDescent="0.2">
      <c r="A79" s="100" t="s">
        <v>245</v>
      </c>
      <c r="B79" s="100" t="s">
        <v>8</v>
      </c>
      <c r="C79" s="94" t="s">
        <v>3388</v>
      </c>
      <c r="D79" s="100"/>
      <c r="E79" s="95" t="s">
        <v>246</v>
      </c>
      <c r="F79" s="101" t="s">
        <v>113</v>
      </c>
      <c r="G79" s="101" t="s">
        <v>3463</v>
      </c>
      <c r="H79" s="100"/>
      <c r="I79" s="100" t="s">
        <v>11</v>
      </c>
      <c r="J79" s="100" t="s">
        <v>3393</v>
      </c>
      <c r="K79" s="104"/>
      <c r="L79" s="104"/>
    </row>
    <row r="80" spans="1:12" ht="30" hidden="1" x14ac:dyDescent="0.2">
      <c r="A80" s="100" t="s">
        <v>325</v>
      </c>
      <c r="B80" s="100" t="s">
        <v>8</v>
      </c>
      <c r="C80" s="94" t="s">
        <v>3388</v>
      </c>
      <c r="D80" s="100"/>
      <c r="E80" s="95" t="s">
        <v>326</v>
      </c>
      <c r="F80" s="101" t="s">
        <v>128</v>
      </c>
      <c r="G80" s="101"/>
      <c r="H80" s="100"/>
      <c r="I80" s="100" t="s">
        <v>11</v>
      </c>
      <c r="J80" s="100" t="s">
        <v>3393</v>
      </c>
      <c r="K80" s="104"/>
      <c r="L80" s="104"/>
    </row>
    <row r="81" spans="1:12" ht="30" hidden="1" x14ac:dyDescent="0.2">
      <c r="A81" s="100" t="s">
        <v>327</v>
      </c>
      <c r="B81" s="100" t="s">
        <v>8</v>
      </c>
      <c r="C81" s="94" t="s">
        <v>3388</v>
      </c>
      <c r="D81" s="100"/>
      <c r="E81" s="95" t="s">
        <v>328</v>
      </c>
      <c r="F81" s="101" t="s">
        <v>128</v>
      </c>
      <c r="G81" s="101"/>
      <c r="H81" s="100"/>
      <c r="I81" s="100" t="s">
        <v>11</v>
      </c>
      <c r="J81" s="100" t="s">
        <v>3393</v>
      </c>
      <c r="K81" s="104"/>
      <c r="L81" s="104"/>
    </row>
    <row r="82" spans="1:12" ht="30" hidden="1" x14ac:dyDescent="0.2">
      <c r="A82" s="100" t="s">
        <v>365</v>
      </c>
      <c r="B82" s="100" t="s">
        <v>8</v>
      </c>
      <c r="C82" s="94" t="s">
        <v>3389</v>
      </c>
      <c r="D82" s="100"/>
      <c r="E82" s="95" t="s">
        <v>366</v>
      </c>
      <c r="F82" s="101" t="s">
        <v>86</v>
      </c>
      <c r="G82" s="101" t="s">
        <v>3459</v>
      </c>
      <c r="H82" s="100"/>
      <c r="I82" s="100" t="s">
        <v>11</v>
      </c>
      <c r="J82" s="100" t="s">
        <v>3393</v>
      </c>
      <c r="K82" s="104"/>
      <c r="L82" s="104"/>
    </row>
    <row r="83" spans="1:12" x14ac:dyDescent="0.2">
      <c r="A83" s="100" t="s">
        <v>369</v>
      </c>
      <c r="B83" s="100" t="s">
        <v>8</v>
      </c>
      <c r="C83" s="94" t="s">
        <v>3389</v>
      </c>
      <c r="D83" s="100"/>
      <c r="E83" s="95" t="s">
        <v>370</v>
      </c>
      <c r="F83" s="101" t="s">
        <v>113</v>
      </c>
      <c r="G83" s="101"/>
      <c r="H83" s="100"/>
      <c r="I83" s="100" t="s">
        <v>11</v>
      </c>
      <c r="J83" s="100" t="s">
        <v>3393</v>
      </c>
      <c r="K83" s="104"/>
      <c r="L83" s="104"/>
    </row>
    <row r="84" spans="1:12" ht="30" x14ac:dyDescent="0.2">
      <c r="A84" s="100" t="s">
        <v>375</v>
      </c>
      <c r="B84" s="100" t="s">
        <v>8</v>
      </c>
      <c r="C84" s="94" t="s">
        <v>3389</v>
      </c>
      <c r="D84" s="100"/>
      <c r="E84" s="95" t="s">
        <v>376</v>
      </c>
      <c r="F84" s="101" t="s">
        <v>113</v>
      </c>
      <c r="G84" s="101"/>
      <c r="H84" s="100"/>
      <c r="I84" s="100" t="s">
        <v>11</v>
      </c>
      <c r="J84" s="100" t="s">
        <v>3393</v>
      </c>
      <c r="K84" s="104"/>
      <c r="L84" s="104"/>
    </row>
    <row r="85" spans="1:12" ht="135" hidden="1" x14ac:dyDescent="0.2">
      <c r="A85" s="100" t="s">
        <v>379</v>
      </c>
      <c r="B85" s="100" t="s">
        <v>8</v>
      </c>
      <c r="C85" s="94" t="s">
        <v>3389</v>
      </c>
      <c r="D85" s="100"/>
      <c r="E85" s="95" t="s">
        <v>380</v>
      </c>
      <c r="F85" s="101" t="s">
        <v>128</v>
      </c>
      <c r="G85" s="101"/>
      <c r="H85" s="100"/>
      <c r="I85" s="100" t="s">
        <v>11</v>
      </c>
      <c r="J85" s="100" t="s">
        <v>3393</v>
      </c>
      <c r="K85" s="104"/>
      <c r="L85" s="104"/>
    </row>
    <row r="86" spans="1:12" ht="30" x14ac:dyDescent="0.2">
      <c r="A86" s="100" t="s">
        <v>381</v>
      </c>
      <c r="B86" s="100" t="s">
        <v>8</v>
      </c>
      <c r="C86" s="94" t="s">
        <v>3389</v>
      </c>
      <c r="D86" s="100"/>
      <c r="E86" s="95" t="s">
        <v>382</v>
      </c>
      <c r="F86" s="101" t="s">
        <v>113</v>
      </c>
      <c r="G86" s="101"/>
      <c r="H86" s="100"/>
      <c r="I86" s="100" t="s">
        <v>11</v>
      </c>
      <c r="J86" s="100" t="s">
        <v>3393</v>
      </c>
      <c r="K86" s="104"/>
      <c r="L86" s="104"/>
    </row>
    <row r="87" spans="1:12" ht="45" x14ac:dyDescent="0.2">
      <c r="A87" s="100" t="s">
        <v>383</v>
      </c>
      <c r="B87" s="100" t="s">
        <v>8</v>
      </c>
      <c r="C87" s="94" t="s">
        <v>3389</v>
      </c>
      <c r="D87" s="100"/>
      <c r="E87" s="95" t="s">
        <v>384</v>
      </c>
      <c r="F87" s="101" t="s">
        <v>113</v>
      </c>
      <c r="G87" s="101"/>
      <c r="H87" s="100"/>
      <c r="I87" s="100" t="s">
        <v>11</v>
      </c>
      <c r="J87" s="100" t="s">
        <v>3393</v>
      </c>
      <c r="K87" s="104"/>
      <c r="L87" s="104"/>
    </row>
    <row r="88" spans="1:12" ht="30" hidden="1" x14ac:dyDescent="0.2">
      <c r="A88" s="100" t="s">
        <v>387</v>
      </c>
      <c r="B88" s="100" t="s">
        <v>8</v>
      </c>
      <c r="C88" s="94" t="s">
        <v>3389</v>
      </c>
      <c r="D88" s="100"/>
      <c r="E88" s="95" t="s">
        <v>388</v>
      </c>
      <c r="F88" s="101" t="s">
        <v>108</v>
      </c>
      <c r="G88" s="101" t="s">
        <v>3458</v>
      </c>
      <c r="H88" s="100"/>
      <c r="I88" s="100" t="s">
        <v>11</v>
      </c>
      <c r="J88" s="100" t="s">
        <v>3393</v>
      </c>
      <c r="K88" s="104"/>
      <c r="L88" s="104"/>
    </row>
    <row r="89" spans="1:12" hidden="1" x14ac:dyDescent="0.2">
      <c r="A89" s="100" t="s">
        <v>393</v>
      </c>
      <c r="B89" s="100" t="s">
        <v>8</v>
      </c>
      <c r="C89" s="94" t="s">
        <v>3389</v>
      </c>
      <c r="D89" s="100"/>
      <c r="E89" s="95" t="s">
        <v>394</v>
      </c>
      <c r="F89" s="101" t="s">
        <v>86</v>
      </c>
      <c r="G89" s="101"/>
      <c r="H89" s="100"/>
      <c r="I89" s="100" t="s">
        <v>11</v>
      </c>
      <c r="J89" s="100" t="s">
        <v>3393</v>
      </c>
      <c r="K89" s="104"/>
      <c r="L89" s="104"/>
    </row>
    <row r="90" spans="1:12" ht="75" hidden="1" x14ac:dyDescent="0.2">
      <c r="A90" s="100" t="s">
        <v>400</v>
      </c>
      <c r="B90" s="100" t="s">
        <v>8</v>
      </c>
      <c r="C90" s="94" t="s">
        <v>3389</v>
      </c>
      <c r="D90" s="100"/>
      <c r="E90" s="95" t="s">
        <v>401</v>
      </c>
      <c r="F90" s="101" t="s">
        <v>128</v>
      </c>
      <c r="G90" s="101"/>
      <c r="H90" s="100"/>
      <c r="I90" s="100" t="s">
        <v>11</v>
      </c>
      <c r="J90" s="100" t="s">
        <v>3393</v>
      </c>
      <c r="K90" s="104"/>
      <c r="L90" s="104"/>
    </row>
    <row r="91" spans="1:12" ht="60" hidden="1" x14ac:dyDescent="0.2">
      <c r="A91" s="100" t="s">
        <v>402</v>
      </c>
      <c r="B91" s="100" t="s">
        <v>8</v>
      </c>
      <c r="C91" s="94" t="s">
        <v>3389</v>
      </c>
      <c r="D91" s="100"/>
      <c r="E91" s="95" t="s">
        <v>403</v>
      </c>
      <c r="F91" s="101" t="s">
        <v>128</v>
      </c>
      <c r="G91" s="101"/>
      <c r="H91" s="100"/>
      <c r="I91" s="100" t="s">
        <v>11</v>
      </c>
      <c r="J91" s="100" t="s">
        <v>3393</v>
      </c>
      <c r="K91" s="104"/>
      <c r="L91" s="104"/>
    </row>
    <row r="92" spans="1:12" ht="169.75" hidden="1" customHeight="1" x14ac:dyDescent="0.2">
      <c r="A92" s="100" t="s">
        <v>410</v>
      </c>
      <c r="B92" s="100" t="s">
        <v>8</v>
      </c>
      <c r="C92" s="94" t="s">
        <v>3389</v>
      </c>
      <c r="D92" s="100"/>
      <c r="E92" s="95" t="s">
        <v>411</v>
      </c>
      <c r="F92" s="101" t="s">
        <v>128</v>
      </c>
      <c r="G92" s="101"/>
      <c r="H92" s="100"/>
      <c r="I92" s="100" t="s">
        <v>11</v>
      </c>
      <c r="J92" s="100" t="s">
        <v>3393</v>
      </c>
      <c r="K92" s="104"/>
      <c r="L92" s="104"/>
    </row>
    <row r="93" spans="1:12" ht="30" hidden="1" x14ac:dyDescent="0.2">
      <c r="A93" s="100" t="s">
        <v>414</v>
      </c>
      <c r="B93" s="100" t="s">
        <v>8</v>
      </c>
      <c r="C93" s="94" t="s">
        <v>3389</v>
      </c>
      <c r="D93" s="100"/>
      <c r="E93" s="95" t="s">
        <v>415</v>
      </c>
      <c r="F93" s="101" t="s">
        <v>128</v>
      </c>
      <c r="G93" s="101"/>
      <c r="H93" s="100"/>
      <c r="I93" s="100" t="s">
        <v>11</v>
      </c>
      <c r="J93" s="100" t="s">
        <v>3393</v>
      </c>
      <c r="K93" s="104"/>
      <c r="L93" s="104"/>
    </row>
    <row r="94" spans="1:12" ht="30" hidden="1" x14ac:dyDescent="0.2">
      <c r="A94" s="100" t="s">
        <v>416</v>
      </c>
      <c r="B94" s="100" t="s">
        <v>8</v>
      </c>
      <c r="C94" s="94" t="s">
        <v>3389</v>
      </c>
      <c r="D94" s="100"/>
      <c r="E94" s="95" t="s">
        <v>417</v>
      </c>
      <c r="F94" s="101" t="s">
        <v>128</v>
      </c>
      <c r="G94" s="101"/>
      <c r="H94" s="100"/>
      <c r="I94" s="100" t="s">
        <v>11</v>
      </c>
      <c r="J94" s="100" t="s">
        <v>3393</v>
      </c>
      <c r="K94" s="104"/>
      <c r="L94" s="104"/>
    </row>
    <row r="95" spans="1:12" ht="30" hidden="1" x14ac:dyDescent="0.2">
      <c r="A95" s="100" t="s">
        <v>418</v>
      </c>
      <c r="B95" s="100" t="s">
        <v>8</v>
      </c>
      <c r="C95" s="94" t="s">
        <v>3389</v>
      </c>
      <c r="D95" s="100"/>
      <c r="E95" s="95" t="s">
        <v>419</v>
      </c>
      <c r="F95" s="101" t="s">
        <v>128</v>
      </c>
      <c r="G95" s="101"/>
      <c r="H95" s="100"/>
      <c r="I95" s="100" t="s">
        <v>11</v>
      </c>
      <c r="J95" s="100" t="s">
        <v>3393</v>
      </c>
      <c r="K95" s="104"/>
      <c r="L95" s="104"/>
    </row>
    <row r="96" spans="1:12" ht="30" x14ac:dyDescent="0.2">
      <c r="A96" s="100" t="s">
        <v>114</v>
      </c>
      <c r="B96" s="100" t="s">
        <v>8</v>
      </c>
      <c r="C96" s="94" t="s">
        <v>3386</v>
      </c>
      <c r="D96" s="100"/>
      <c r="E96" s="95" t="s">
        <v>115</v>
      </c>
      <c r="F96" s="101" t="s">
        <v>113</v>
      </c>
      <c r="G96" s="101" t="s">
        <v>3463</v>
      </c>
      <c r="H96" s="100"/>
      <c r="I96" s="100" t="s">
        <v>11</v>
      </c>
      <c r="J96" s="100" t="s">
        <v>3393</v>
      </c>
      <c r="K96" s="104"/>
      <c r="L96" s="104"/>
    </row>
    <row r="97" spans="1:12" ht="30" x14ac:dyDescent="0.2">
      <c r="A97" s="100" t="s">
        <v>118</v>
      </c>
      <c r="B97" s="100" t="s">
        <v>8</v>
      </c>
      <c r="C97" s="94" t="s">
        <v>3386</v>
      </c>
      <c r="D97" s="100"/>
      <c r="E97" s="95" t="s">
        <v>119</v>
      </c>
      <c r="F97" s="101" t="s">
        <v>113</v>
      </c>
      <c r="G97" s="101"/>
      <c r="H97" s="100"/>
      <c r="I97" s="100" t="s">
        <v>11</v>
      </c>
      <c r="J97" s="100" t="s">
        <v>3393</v>
      </c>
      <c r="K97" s="104"/>
      <c r="L97" s="104"/>
    </row>
    <row r="98" spans="1:12" ht="30" hidden="1" x14ac:dyDescent="0.2">
      <c r="A98" s="100" t="s">
        <v>79</v>
      </c>
      <c r="B98" s="100" t="s">
        <v>8</v>
      </c>
      <c r="C98" s="94" t="s">
        <v>3374</v>
      </c>
      <c r="D98" s="100"/>
      <c r="E98" s="95" t="s">
        <v>80</v>
      </c>
      <c r="F98" s="101" t="s">
        <v>49</v>
      </c>
      <c r="G98" s="101"/>
      <c r="H98" s="100"/>
      <c r="I98" s="100" t="s">
        <v>11</v>
      </c>
      <c r="J98" s="100" t="s">
        <v>3393</v>
      </c>
      <c r="K98" s="104"/>
      <c r="L98" s="104"/>
    </row>
    <row r="99" spans="1:12" ht="30" hidden="1" x14ac:dyDescent="0.2">
      <c r="A99" s="100" t="s">
        <v>82</v>
      </c>
      <c r="B99" s="100" t="s">
        <v>8</v>
      </c>
      <c r="C99" s="94" t="s">
        <v>3374</v>
      </c>
      <c r="D99" s="100"/>
      <c r="E99" s="95" t="s">
        <v>83</v>
      </c>
      <c r="F99" s="101" t="s">
        <v>49</v>
      </c>
      <c r="G99" s="101"/>
      <c r="H99" s="100"/>
      <c r="I99" s="100" t="s">
        <v>11</v>
      </c>
      <c r="J99" s="100" t="s">
        <v>3393</v>
      </c>
      <c r="K99" s="104"/>
      <c r="L99" s="104"/>
    </row>
    <row r="100" spans="1:12" ht="30" hidden="1" x14ac:dyDescent="0.2">
      <c r="A100" s="100" t="s">
        <v>97</v>
      </c>
      <c r="B100" s="100" t="s">
        <v>8</v>
      </c>
      <c r="C100" s="94" t="s">
        <v>3382</v>
      </c>
      <c r="D100" s="100"/>
      <c r="E100" s="95" t="s">
        <v>3465</v>
      </c>
      <c r="F100" s="101" t="s">
        <v>86</v>
      </c>
      <c r="G100" s="101"/>
      <c r="H100" s="100"/>
      <c r="I100" s="100" t="s">
        <v>11</v>
      </c>
      <c r="J100" s="100" t="s">
        <v>3393</v>
      </c>
      <c r="K100" s="104"/>
      <c r="L100" s="104"/>
    </row>
    <row r="101" spans="1:12" ht="30" hidden="1" x14ac:dyDescent="0.2">
      <c r="A101" s="100" t="s">
        <v>99</v>
      </c>
      <c r="B101" s="100" t="s">
        <v>8</v>
      </c>
      <c r="C101" s="94" t="s">
        <v>3381</v>
      </c>
      <c r="D101" s="100"/>
      <c r="E101" s="95" t="s">
        <v>100</v>
      </c>
      <c r="F101" s="101" t="s">
        <v>86</v>
      </c>
      <c r="G101" s="101"/>
      <c r="H101" s="100"/>
      <c r="I101" s="100" t="s">
        <v>11</v>
      </c>
      <c r="J101" s="100" t="s">
        <v>3393</v>
      </c>
      <c r="K101" s="104"/>
      <c r="L101" s="104"/>
    </row>
    <row r="102" spans="1:12" ht="30" hidden="1" x14ac:dyDescent="0.2">
      <c r="A102" s="100" t="s">
        <v>1230</v>
      </c>
      <c r="B102" s="100" t="s">
        <v>8</v>
      </c>
      <c r="C102" s="94" t="s">
        <v>3375</v>
      </c>
      <c r="D102" s="100"/>
      <c r="E102" s="95" t="s">
        <v>1231</v>
      </c>
      <c r="F102" s="101" t="s">
        <v>43</v>
      </c>
      <c r="G102" s="101"/>
      <c r="H102" s="100"/>
      <c r="I102" s="100" t="s">
        <v>11</v>
      </c>
      <c r="J102" s="100" t="s">
        <v>3393</v>
      </c>
      <c r="K102" s="104"/>
      <c r="L102" s="104"/>
    </row>
    <row r="103" spans="1:12" ht="30" hidden="1" x14ac:dyDescent="0.2">
      <c r="A103" s="100" t="s">
        <v>1244</v>
      </c>
      <c r="B103" s="100" t="s">
        <v>8</v>
      </c>
      <c r="C103" s="94" t="s">
        <v>3374</v>
      </c>
      <c r="D103" s="100"/>
      <c r="E103" s="95" t="s">
        <v>1245</v>
      </c>
      <c r="F103" s="101" t="s">
        <v>43</v>
      </c>
      <c r="G103" s="101"/>
      <c r="H103" s="100"/>
      <c r="I103" s="100" t="s">
        <v>11</v>
      </c>
      <c r="J103" s="100" t="s">
        <v>3393</v>
      </c>
      <c r="K103" s="104"/>
      <c r="L103" s="104"/>
    </row>
  </sheetData>
  <autoFilter ref="A1:L103" xr:uid="{6FF47596-0035-42E4-879A-14E90C2429C9}">
    <filterColumn colId="5">
      <filters>
        <filter val="Civil Discipline"/>
        <filter val="Civil Specialist"/>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2:AV142"/>
  <sheetViews>
    <sheetView zoomScale="90" zoomScaleNormal="90" workbookViewId="0"/>
  </sheetViews>
  <sheetFormatPr baseColWidth="10" defaultRowHeight="15"/>
  <cols>
    <col min="1" max="1" width="3.6640625" customWidth="1"/>
    <col min="2" max="2" width="38.6640625" customWidth="1"/>
    <col min="3" max="48" width="13.6640625" customWidth="1"/>
  </cols>
  <sheetData>
    <row r="2">
      <c r="B2" s="158" t="s">
        <v>3497</v>
      </c>
    </row>
    <row r="3">
      <c r="B3" t="s">
        <v>3422</v>
      </c>
      <c r="C3" t="s">
        <v>3494</v>
      </c>
    </row>
    <row r="4">
      <c r="B4" t="s">
        <v>3395</v>
      </c>
      <c r="C4" t="s">
        <v>3396</v>
      </c>
      <c r="D4" t="s">
        <v>3397</v>
      </c>
      <c r="E4" t="s">
        <v>3398</v>
      </c>
      <c r="F4" t="s">
        <v>3399</v>
      </c>
      <c r="G4" t="s">
        <v>3421</v>
      </c>
      <c r="H4" t="s">
        <v>3400</v>
      </c>
    </row>
    <row r="5">
      <c r="B5" t="s">
        <v>3394</v>
      </c>
      <c r="C5">
        <v>166</v>
      </c>
      <c r="D5">
        <v>213</v>
      </c>
      <c r="E5">
        <v>315</v>
      </c>
      <c r="F5">
        <v>351</v>
      </c>
      <c r="G5">
        <v>51</v>
      </c>
      <c r="H5">
        <v>1096</v>
      </c>
    </row>
    <row r="6">
      <c r="B6" t="s">
        <v>3393</v>
      </c>
      <c r="C6">
        <v>88</v>
      </c>
      <c r="D6">
        <v>33</v>
      </c>
      <c r="E6">
        <v>16</v>
      </c>
      <c r="F6">
        <v>36</v>
      </c>
      <c r="G6">
        <v>20</v>
      </c>
      <c r="H6">
        <v>193</v>
      </c>
    </row>
    <row r="7">
      <c r="B7" t="s">
        <v>3402</v>
      </c>
      <c r="C7">
        <v>24</v>
      </c>
      <c r="D7">
        <v>15</v>
      </c>
      <c r="E7">
        <v>22</v>
      </c>
      <c r="F7">
        <v>6</v>
      </c>
      <c r="G7">
        <v>7</v>
      </c>
      <c r="H7">
        <v>74</v>
      </c>
    </row>
    <row r="8">
      <c r="B8" t="s">
        <v>3400</v>
      </c>
      <c r="C8">
        <v>278</v>
      </c>
      <c r="D8">
        <v>261</v>
      </c>
      <c r="E8">
        <v>353</v>
      </c>
      <c r="F8">
        <v>393</v>
      </c>
      <c r="G8">
        <v>78</v>
      </c>
      <c r="H8">
        <v>1363</v>
      </c>
    </row>
    <row r="19">
      <c r="B19" s="158" t="s">
        <v>3498</v>
      </c>
    </row>
    <row r="20">
      <c r="B20" t="s">
        <v>3422</v>
      </c>
      <c r="C20" t="s">
        <v>3395</v>
      </c>
    </row>
    <row r="21">
      <c r="B21" t="s">
        <v>1</v>
      </c>
      <c r="C21" t="s">
        <v>3394</v>
      </c>
      <c r="D21" t="s">
        <v>3402</v>
      </c>
      <c r="E21" t="s">
        <v>3393</v>
      </c>
      <c r="F21" t="s">
        <v>3400</v>
      </c>
    </row>
    <row r="22">
      <c r="B22" t="s">
        <v>102</v>
      </c>
      <c r="C22">
        <v>1</v>
      </c>
      <c r="F22">
        <v>1</v>
      </c>
    </row>
    <row r="23">
      <c r="B23" t="s">
        <v>1440</v>
      </c>
      <c r="D23">
        <v>1</v>
      </c>
      <c r="F23">
        <v>1</v>
      </c>
    </row>
    <row r="24">
      <c r="B24" t="s">
        <v>1452</v>
      </c>
      <c r="C24">
        <v>2</v>
      </c>
      <c r="F24">
        <v>2</v>
      </c>
    </row>
    <row r="25">
      <c r="B25" t="s">
        <v>1371</v>
      </c>
      <c r="C25">
        <v>4</v>
      </c>
      <c r="E25">
        <v>1</v>
      </c>
      <c r="F25">
        <v>5</v>
      </c>
    </row>
    <row r="26">
      <c r="B26" t="s">
        <v>1297</v>
      </c>
      <c r="C26">
        <v>13</v>
      </c>
      <c r="E26">
        <v>1</v>
      </c>
      <c r="F26">
        <v>14</v>
      </c>
    </row>
    <row r="27">
      <c r="B27" t="s">
        <v>47</v>
      </c>
      <c r="C27">
        <v>15</v>
      </c>
      <c r="F27">
        <v>15</v>
      </c>
    </row>
    <row r="28">
      <c r="B28" t="s">
        <v>1295</v>
      </c>
      <c r="C28">
        <v>16</v>
      </c>
      <c r="E28">
        <v>2</v>
      </c>
      <c r="F28">
        <v>18</v>
      </c>
    </row>
    <row r="29">
      <c r="B29" t="s">
        <v>1291</v>
      </c>
      <c r="C29">
        <v>53</v>
      </c>
      <c r="D29">
        <v>3</v>
      </c>
      <c r="F29">
        <v>56</v>
      </c>
    </row>
    <row r="30">
      <c r="B30" t="s">
        <v>1432</v>
      </c>
      <c r="C30">
        <v>5</v>
      </c>
      <c r="D30">
        <v>1</v>
      </c>
      <c r="F30">
        <v>6</v>
      </c>
    </row>
    <row r="31">
      <c r="B31" t="s">
        <v>290</v>
      </c>
      <c r="C31">
        <v>18</v>
      </c>
      <c r="E31">
        <v>2</v>
      </c>
      <c r="F31">
        <v>20</v>
      </c>
    </row>
    <row r="32">
      <c r="B32" t="s">
        <v>1266</v>
      </c>
      <c r="C32">
        <v>23</v>
      </c>
      <c r="D32">
        <v>2</v>
      </c>
      <c r="E32">
        <v>2</v>
      </c>
      <c r="F32">
        <v>27</v>
      </c>
    </row>
    <row r="33">
      <c r="B33" t="s">
        <v>1314</v>
      </c>
      <c r="C33">
        <v>61</v>
      </c>
      <c r="D33">
        <v>3</v>
      </c>
      <c r="F33">
        <v>64</v>
      </c>
    </row>
    <row r="34">
      <c r="B34" t="s">
        <v>929</v>
      </c>
      <c r="C34">
        <v>68</v>
      </c>
      <c r="D34">
        <v>3</v>
      </c>
      <c r="E34">
        <v>4</v>
      </c>
      <c r="F34">
        <v>75</v>
      </c>
    </row>
    <row r="35">
      <c r="B35" t="s">
        <v>41</v>
      </c>
      <c r="C35">
        <v>191</v>
      </c>
      <c r="D35">
        <v>10</v>
      </c>
      <c r="E35">
        <v>87</v>
      </c>
      <c r="F35">
        <v>288</v>
      </c>
    </row>
    <row r="36">
      <c r="B36" t="s">
        <v>8</v>
      </c>
      <c r="C36">
        <v>626</v>
      </c>
      <c r="D36">
        <v>51</v>
      </c>
      <c r="E36">
        <v>94</v>
      </c>
      <c r="F36">
        <v>771</v>
      </c>
    </row>
    <row r="37">
      <c r="B37" t="s">
        <v>3400</v>
      </c>
      <c r="C37">
        <v>1096</v>
      </c>
      <c r="D37">
        <v>74</v>
      </c>
      <c r="E37">
        <v>193</v>
      </c>
      <c r="F37">
        <v>1363</v>
      </c>
    </row>
    <row r="39">
      <c r="B39" s="158" t="s">
        <v>3499</v>
      </c>
    </row>
    <row r="40">
      <c r="B40" t="s">
        <v>3395</v>
      </c>
      <c r="C40" t="s">
        <v>3422</v>
      </c>
      <c r="D40" t="s">
        <v>3500</v>
      </c>
    </row>
    <row r="41">
      <c r="B41" t="s">
        <v>3394</v>
      </c>
      <c r="C41">
        <v>1096</v>
      </c>
      <c r="D41" s="159">
        <v>0.8041085840058694</v>
      </c>
    </row>
    <row r="42">
      <c r="B42" t="s">
        <v>3466</v>
      </c>
      <c r="C42">
        <v>1096</v>
      </c>
      <c r="D42" s="159">
        <v>0.8041085840058694</v>
      </c>
    </row>
    <row r="43">
      <c r="B43" t="s">
        <v>3402</v>
      </c>
      <c r="C43">
        <v>74</v>
      </c>
      <c r="D43" s="159">
        <v>0.05429200293470286</v>
      </c>
    </row>
    <row r="44">
      <c r="B44" t="s">
        <v>3467</v>
      </c>
      <c r="C44">
        <v>74</v>
      </c>
      <c r="D44" s="159">
        <v>0.05429200293470286</v>
      </c>
    </row>
    <row r="45">
      <c r="B45" t="s">
        <v>3393</v>
      </c>
      <c r="C45">
        <v>193</v>
      </c>
      <c r="D45" s="159">
        <v>0.14159941305942772</v>
      </c>
    </row>
    <row r="46">
      <c r="B46" t="s">
        <v>3469</v>
      </c>
      <c r="C46">
        <v>99</v>
      </c>
      <c r="D46" s="159">
        <v>0.07263389581804842</v>
      </c>
    </row>
    <row r="47">
      <c r="B47" t="s">
        <v>3470</v>
      </c>
      <c r="C47">
        <v>13</v>
      </c>
      <c r="D47" s="159">
        <v>0.009537784299339692</v>
      </c>
    </row>
    <row r="48">
      <c r="B48" t="s">
        <v>3471</v>
      </c>
      <c r="C48">
        <v>9</v>
      </c>
      <c r="D48" s="159">
        <v>0.006603081438004402</v>
      </c>
    </row>
    <row r="49">
      <c r="B49" t="s">
        <v>3472</v>
      </c>
      <c r="C49">
        <v>72</v>
      </c>
      <c r="D49" s="159">
        <v>0.05282465150403522</v>
      </c>
    </row>
    <row r="50">
      <c r="B50" t="s">
        <v>3400</v>
      </c>
      <c r="C50">
        <v>1363</v>
      </c>
      <c r="D50" s="159">
        <v>1</v>
      </c>
    </row>
    <row r="53">
      <c r="B53" s="158" t="s">
        <v>3501</v>
      </c>
    </row>
    <row r="54">
      <c r="B54" t="s">
        <v>3422</v>
      </c>
      <c r="C54" t="s">
        <v>3395</v>
      </c>
    </row>
    <row r="55">
      <c r="B55" t="s">
        <v>3403</v>
      </c>
      <c r="C55" t="s">
        <v>3394</v>
      </c>
      <c r="D55" t="s">
        <v>3402</v>
      </c>
      <c r="E55" t="s">
        <v>3393</v>
      </c>
      <c r="F55" t="s">
        <v>3400</v>
      </c>
    </row>
    <row r="56">
      <c r="B56" t="s">
        <v>3380</v>
      </c>
      <c r="C56">
        <v>42</v>
      </c>
      <c r="D56">
        <v>6</v>
      </c>
      <c r="E56">
        <v>1</v>
      </c>
      <c r="F56">
        <v>49</v>
      </c>
    </row>
    <row r="57">
      <c r="B57" t="s">
        <v>3383</v>
      </c>
      <c r="C57">
        <v>92</v>
      </c>
      <c r="D57">
        <v>1</v>
      </c>
      <c r="E57">
        <v>6</v>
      </c>
      <c r="F57">
        <v>99</v>
      </c>
    </row>
    <row r="58">
      <c r="B58" t="s">
        <v>3381</v>
      </c>
      <c r="C58">
        <v>90</v>
      </c>
      <c r="D58">
        <v>11</v>
      </c>
      <c r="E58">
        <v>5</v>
      </c>
      <c r="F58">
        <v>106</v>
      </c>
    </row>
    <row r="59">
      <c r="B59" t="s">
        <v>3382</v>
      </c>
      <c r="C59">
        <v>91</v>
      </c>
      <c r="D59">
        <v>4</v>
      </c>
      <c r="E59">
        <v>4</v>
      </c>
      <c r="F59">
        <v>99</v>
      </c>
    </row>
    <row r="60">
      <c r="B60" t="s">
        <v>3384</v>
      </c>
      <c r="C60">
        <v>115</v>
      </c>
      <c r="D60">
        <v>1</v>
      </c>
      <c r="E60">
        <v>14</v>
      </c>
      <c r="F60">
        <v>130</v>
      </c>
    </row>
    <row r="61">
      <c r="B61" t="s">
        <v>3385</v>
      </c>
      <c r="C61">
        <v>158</v>
      </c>
      <c r="D61">
        <v>3</v>
      </c>
      <c r="E61">
        <v>4</v>
      </c>
      <c r="F61">
        <v>165</v>
      </c>
    </row>
    <row r="62">
      <c r="B62" t="s">
        <v>3375</v>
      </c>
      <c r="C62">
        <v>78</v>
      </c>
      <c r="D62">
        <v>2</v>
      </c>
      <c r="E62">
        <v>18</v>
      </c>
      <c r="F62">
        <v>98</v>
      </c>
    </row>
    <row r="63">
      <c r="B63" t="s">
        <v>3376</v>
      </c>
      <c r="C63">
        <v>71</v>
      </c>
      <c r="D63">
        <v>4</v>
      </c>
      <c r="E63">
        <v>11</v>
      </c>
      <c r="F63">
        <v>86</v>
      </c>
    </row>
    <row r="64">
      <c r="B64" t="s">
        <v>3377</v>
      </c>
      <c r="C64">
        <v>34</v>
      </c>
      <c r="D64">
        <v>6</v>
      </c>
      <c r="E64">
        <v>4</v>
      </c>
      <c r="F64">
        <v>44</v>
      </c>
    </row>
    <row r="65">
      <c r="B65" t="s">
        <v>3378</v>
      </c>
      <c r="C65">
        <v>49</v>
      </c>
      <c r="D65">
        <v>1</v>
      </c>
      <c r="E65">
        <v>9</v>
      </c>
      <c r="F65">
        <v>59</v>
      </c>
    </row>
    <row r="66">
      <c r="B66" t="s">
        <v>3379</v>
      </c>
      <c r="C66">
        <v>59</v>
      </c>
      <c r="D66">
        <v>4</v>
      </c>
      <c r="E66">
        <v>9</v>
      </c>
      <c r="F66">
        <v>72</v>
      </c>
    </row>
    <row r="67">
      <c r="B67" t="s">
        <v>3387</v>
      </c>
      <c r="C67">
        <v>60</v>
      </c>
      <c r="D67">
        <v>10</v>
      </c>
      <c r="E67">
        <v>8</v>
      </c>
      <c r="F67">
        <v>78</v>
      </c>
    </row>
    <row r="68">
      <c r="B68" t="s">
        <v>3388</v>
      </c>
      <c r="C68">
        <v>58</v>
      </c>
      <c r="D68">
        <v>4</v>
      </c>
      <c r="E68">
        <v>7</v>
      </c>
      <c r="F68">
        <v>69</v>
      </c>
    </row>
    <row r="69">
      <c r="B69" t="s">
        <v>3389</v>
      </c>
      <c r="C69">
        <v>26</v>
      </c>
      <c r="D69">
        <v>4</v>
      </c>
      <c r="E69">
        <v>64</v>
      </c>
      <c r="F69">
        <v>94</v>
      </c>
    </row>
    <row r="70">
      <c r="B70" t="s">
        <v>3386</v>
      </c>
      <c r="C70">
        <v>22</v>
      </c>
      <c r="D70">
        <v>6</v>
      </c>
      <c r="E70">
        <v>9</v>
      </c>
      <c r="F70">
        <v>37</v>
      </c>
    </row>
    <row r="71">
      <c r="B71" t="s">
        <v>3419</v>
      </c>
      <c r="D71">
        <v>3</v>
      </c>
      <c r="E71">
        <v>3</v>
      </c>
      <c r="F71">
        <v>6</v>
      </c>
    </row>
    <row r="72">
      <c r="B72" t="s">
        <v>3390</v>
      </c>
      <c r="C72">
        <v>49</v>
      </c>
      <c r="D72">
        <v>4</v>
      </c>
      <c r="E72">
        <v>4</v>
      </c>
      <c r="F72">
        <v>57</v>
      </c>
    </row>
    <row r="73">
      <c r="B73" t="s">
        <v>3391</v>
      </c>
      <c r="C73">
        <v>2</v>
      </c>
      <c r="E73">
        <v>13</v>
      </c>
      <c r="F73">
        <v>15</v>
      </c>
    </row>
    <row r="74">
      <c r="B74" t="s">
        <v>3400</v>
      </c>
      <c r="C74">
        <v>1096</v>
      </c>
      <c r="D74">
        <v>74</v>
      </c>
      <c r="E74">
        <v>193</v>
      </c>
      <c r="F74">
        <v>1363</v>
      </c>
    </row>
    <row r="95">
      <c r="B95" s="158" t="s">
        <v>3502</v>
      </c>
    </row>
    <row r="96">
      <c r="B96" t="s">
        <v>3422</v>
      </c>
      <c r="C96" t="s">
        <v>3496</v>
      </c>
    </row>
    <row r="97">
      <c r="B97" t="s">
        <v>3403</v>
      </c>
      <c r="C97" t="s">
        <v>3391</v>
      </c>
      <c r="D97" t="s">
        <v>3425</v>
      </c>
      <c r="E97" t="s">
        <v>3503</v>
      </c>
      <c r="F97" t="s">
        <v>3427</v>
      </c>
      <c r="G97" t="s">
        <v>43</v>
      </c>
      <c r="H97" t="s">
        <v>3400</v>
      </c>
    </row>
    <row r="98">
      <c r="B98" t="s">
        <v>3387</v>
      </c>
      <c r="E98">
        <v>3</v>
      </c>
      <c r="G98">
        <v>16</v>
      </c>
      <c r="H98">
        <v>19</v>
      </c>
    </row>
    <row r="99">
      <c r="B99" t="s">
        <v>3388</v>
      </c>
      <c r="E99">
        <v>7</v>
      </c>
      <c r="G99">
        <v>4</v>
      </c>
      <c r="H99">
        <v>11</v>
      </c>
    </row>
    <row r="100">
      <c r="B100" t="s">
        <v>3389</v>
      </c>
      <c r="E100">
        <v>58</v>
      </c>
      <c r="G100">
        <v>2</v>
      </c>
      <c r="H100">
        <v>60</v>
      </c>
    </row>
    <row r="101">
      <c r="B101" t="s">
        <v>3386</v>
      </c>
      <c r="E101">
        <v>8</v>
      </c>
      <c r="G101">
        <v>1</v>
      </c>
      <c r="H101">
        <v>9</v>
      </c>
    </row>
    <row r="102">
      <c r="B102" t="s">
        <v>3376</v>
      </c>
      <c r="E102">
        <v>3</v>
      </c>
      <c r="G102">
        <v>6</v>
      </c>
      <c r="H102">
        <v>9</v>
      </c>
    </row>
    <row r="103">
      <c r="B103" t="s">
        <v>3377</v>
      </c>
      <c r="E103">
        <v>2</v>
      </c>
      <c r="G103">
        <v>4</v>
      </c>
      <c r="H103">
        <v>6</v>
      </c>
    </row>
    <row r="104">
      <c r="B104" t="s">
        <v>3378</v>
      </c>
      <c r="E104">
        <v>4</v>
      </c>
      <c r="G104">
        <v>2</v>
      </c>
      <c r="H104">
        <v>6</v>
      </c>
    </row>
    <row r="105">
      <c r="B105" t="s">
        <v>3379</v>
      </c>
      <c r="E105">
        <v>5</v>
      </c>
      <c r="G105">
        <v>5</v>
      </c>
      <c r="H105">
        <v>10</v>
      </c>
    </row>
    <row r="106">
      <c r="B106" t="s">
        <v>3380</v>
      </c>
      <c r="G106">
        <v>2</v>
      </c>
      <c r="H106">
        <v>2</v>
      </c>
    </row>
    <row r="107">
      <c r="B107" t="s">
        <v>3381</v>
      </c>
      <c r="D107">
        <v>1</v>
      </c>
      <c r="E107">
        <v>3</v>
      </c>
      <c r="G107">
        <v>9</v>
      </c>
      <c r="H107">
        <v>13</v>
      </c>
    </row>
    <row r="108">
      <c r="B108" t="s">
        <v>3382</v>
      </c>
      <c r="D108">
        <v>3</v>
      </c>
      <c r="G108">
        <v>3</v>
      </c>
      <c r="H108">
        <v>6</v>
      </c>
    </row>
    <row r="109">
      <c r="B109" t="s">
        <v>3383</v>
      </c>
      <c r="E109">
        <v>9</v>
      </c>
      <c r="G109">
        <v>2</v>
      </c>
      <c r="H109">
        <v>11</v>
      </c>
    </row>
    <row r="110">
      <c r="B110" t="s">
        <v>3384</v>
      </c>
      <c r="D110">
        <v>2</v>
      </c>
      <c r="E110">
        <v>3</v>
      </c>
      <c r="F110">
        <v>6</v>
      </c>
      <c r="H110">
        <v>11</v>
      </c>
    </row>
    <row r="111">
      <c r="B111" t="s">
        <v>3385</v>
      </c>
      <c r="E111">
        <v>9</v>
      </c>
      <c r="G111">
        <v>14</v>
      </c>
      <c r="H111">
        <v>23</v>
      </c>
    </row>
    <row r="112">
      <c r="B112" t="s">
        <v>3375</v>
      </c>
      <c r="E112">
        <v>4</v>
      </c>
      <c r="F112">
        <v>2</v>
      </c>
      <c r="G112">
        <v>5</v>
      </c>
      <c r="H112">
        <v>11</v>
      </c>
    </row>
    <row r="113">
      <c r="B113" t="s">
        <v>3419</v>
      </c>
      <c r="E113">
        <v>2</v>
      </c>
      <c r="F113">
        <v>4</v>
      </c>
      <c r="H113">
        <v>6</v>
      </c>
    </row>
    <row r="114">
      <c r="B114" t="s">
        <v>3391</v>
      </c>
      <c r="C114">
        <v>15</v>
      </c>
      <c r="H114">
        <v>15</v>
      </c>
    </row>
    <row r="115">
      <c r="B115" t="s">
        <v>3400</v>
      </c>
      <c r="C115">
        <v>15</v>
      </c>
      <c r="D115">
        <v>6</v>
      </c>
      <c r="E115">
        <v>120</v>
      </c>
      <c r="F115">
        <v>12</v>
      </c>
      <c r="G115">
        <v>75</v>
      </c>
      <c r="H115">
        <v>228</v>
      </c>
    </row>
    <row r="120">
      <c r="B120" s="158" t="s">
        <v>3504</v>
      </c>
    </row>
    <row r="121">
      <c r="B121" t="s">
        <v>3422</v>
      </c>
      <c r="C121" t="s">
        <v>3505</v>
      </c>
    </row>
    <row r="122">
      <c r="C122" t="s">
        <v>1371</v>
      </c>
      <c r="E122" t="s">
        <v>3506</v>
      </c>
      <c r="F122" t="s">
        <v>1297</v>
      </c>
      <c r="H122" t="s">
        <v>3507</v>
      </c>
      <c r="I122" t="s">
        <v>929</v>
      </c>
      <c r="L122" t="s">
        <v>3508</v>
      </c>
      <c r="M122" t="s">
        <v>1314</v>
      </c>
      <c r="O122" t="s">
        <v>3509</v>
      </c>
      <c r="P122" t="s">
        <v>1432</v>
      </c>
      <c r="R122" t="s">
        <v>3510</v>
      </c>
      <c r="S122" t="s">
        <v>47</v>
      </c>
      <c r="T122" t="s">
        <v>3511</v>
      </c>
      <c r="U122" t="s">
        <v>102</v>
      </c>
      <c r="V122" t="s">
        <v>3512</v>
      </c>
      <c r="W122" t="s">
        <v>41</v>
      </c>
      <c r="Z122" t="s">
        <v>3513</v>
      </c>
      <c r="AA122" t="s">
        <v>1440</v>
      </c>
      <c r="AB122" t="s">
        <v>3514</v>
      </c>
      <c r="AC122" t="s">
        <v>1452</v>
      </c>
      <c r="AD122" t="s">
        <v>3515</v>
      </c>
      <c r="AE122" t="s">
        <v>1291</v>
      </c>
      <c r="AG122" t="s">
        <v>3516</v>
      </c>
      <c r="AH122" t="s">
        <v>1295</v>
      </c>
      <c r="AJ122" t="s">
        <v>3517</v>
      </c>
      <c r="AK122" t="s">
        <v>290</v>
      </c>
      <c r="AM122" t="s">
        <v>3518</v>
      </c>
      <c r="AN122" t="s">
        <v>1266</v>
      </c>
      <c r="AQ122" t="s">
        <v>3519</v>
      </c>
      <c r="AR122" t="s">
        <v>8</v>
      </c>
      <c r="AU122" t="s">
        <v>3520</v>
      </c>
      <c r="AV122" t="s">
        <v>3400</v>
      </c>
    </row>
    <row r="123">
      <c r="B123" t="s">
        <v>3403</v>
      </c>
      <c r="C123" t="s">
        <v>3393</v>
      </c>
      <c r="D123" t="s">
        <v>3394</v>
      </c>
      <c r="F123" t="s">
        <v>3393</v>
      </c>
      <c r="G123" t="s">
        <v>3394</v>
      </c>
      <c r="I123" t="s">
        <v>3393</v>
      </c>
      <c r="J123" t="s">
        <v>3402</v>
      </c>
      <c r="K123" t="s">
        <v>3394</v>
      </c>
      <c r="M123" t="s">
        <v>3402</v>
      </c>
      <c r="N123" t="s">
        <v>3394</v>
      </c>
      <c r="P123" t="s">
        <v>3402</v>
      </c>
      <c r="Q123" t="s">
        <v>3394</v>
      </c>
      <c r="S123" t="s">
        <v>3394</v>
      </c>
      <c r="U123" t="s">
        <v>3394</v>
      </c>
      <c r="W123" t="s">
        <v>3393</v>
      </c>
      <c r="X123" t="s">
        <v>3402</v>
      </c>
      <c r="Y123" t="s">
        <v>3394</v>
      </c>
      <c r="AA123" t="s">
        <v>3402</v>
      </c>
      <c r="AC123" t="s">
        <v>3394</v>
      </c>
      <c r="AE123" t="s">
        <v>3402</v>
      </c>
      <c r="AF123" t="s">
        <v>3394</v>
      </c>
      <c r="AH123" t="s">
        <v>3393</v>
      </c>
      <c r="AI123" t="s">
        <v>3394</v>
      </c>
      <c r="AK123" t="s">
        <v>3393</v>
      </c>
      <c r="AL123" t="s">
        <v>3394</v>
      </c>
      <c r="AN123" t="s">
        <v>3393</v>
      </c>
      <c r="AO123" t="s">
        <v>3402</v>
      </c>
      <c r="AP123" t="s">
        <v>3394</v>
      </c>
      <c r="AR123" t="s">
        <v>3393</v>
      </c>
      <c r="AS123" t="s">
        <v>3402</v>
      </c>
      <c r="AT123" t="s">
        <v>3394</v>
      </c>
    </row>
    <row r="124">
      <c r="B124" t="s">
        <v>3380</v>
      </c>
      <c r="P124">
        <v>1</v>
      </c>
      <c r="Q124">
        <v>5</v>
      </c>
      <c r="R124">
        <v>6</v>
      </c>
      <c r="S124">
        <v>1</v>
      </c>
      <c r="T124">
        <v>1</v>
      </c>
      <c r="X124">
        <v>2</v>
      </c>
      <c r="Y124">
        <v>10</v>
      </c>
      <c r="Z124">
        <v>12</v>
      </c>
      <c r="AA124">
        <v>1</v>
      </c>
      <c r="AB124">
        <v>1</v>
      </c>
      <c r="AC124">
        <v>1</v>
      </c>
      <c r="AD124">
        <v>1</v>
      </c>
      <c r="AF124">
        <v>1</v>
      </c>
      <c r="AG124">
        <v>1</v>
      </c>
      <c r="AP124">
        <v>6</v>
      </c>
      <c r="AQ124">
        <v>6</v>
      </c>
      <c r="AR124">
        <v>1</v>
      </c>
      <c r="AS124">
        <v>2</v>
      </c>
      <c r="AT124">
        <v>18</v>
      </c>
      <c r="AU124">
        <v>21</v>
      </c>
      <c r="AV124">
        <v>49</v>
      </c>
    </row>
    <row r="125">
      <c r="B125" t="s">
        <v>3383</v>
      </c>
      <c r="G125">
        <v>4</v>
      </c>
      <c r="H125">
        <v>4</v>
      </c>
      <c r="K125">
        <v>5</v>
      </c>
      <c r="L125">
        <v>5</v>
      </c>
      <c r="N125">
        <v>5</v>
      </c>
      <c r="O125">
        <v>5</v>
      </c>
      <c r="S125">
        <v>2</v>
      </c>
      <c r="T125">
        <v>2</v>
      </c>
      <c r="W125">
        <v>2</v>
      </c>
      <c r="Y125">
        <v>39</v>
      </c>
      <c r="Z125">
        <v>41</v>
      </c>
      <c r="AF125">
        <v>12</v>
      </c>
      <c r="AG125">
        <v>12</v>
      </c>
      <c r="AL125">
        <v>1</v>
      </c>
      <c r="AM125">
        <v>1</v>
      </c>
      <c r="AR125">
        <v>4</v>
      </c>
      <c r="AS125">
        <v>1</v>
      </c>
      <c r="AT125">
        <v>24</v>
      </c>
      <c r="AU125">
        <v>29</v>
      </c>
      <c r="AV125">
        <v>99</v>
      </c>
    </row>
    <row r="126">
      <c r="B126" t="s">
        <v>3381</v>
      </c>
      <c r="G126">
        <v>5</v>
      </c>
      <c r="H126">
        <v>5</v>
      </c>
      <c r="K126">
        <v>6</v>
      </c>
      <c r="L126">
        <v>6</v>
      </c>
      <c r="M126">
        <v>2</v>
      </c>
      <c r="N126">
        <v>24</v>
      </c>
      <c r="O126">
        <v>26</v>
      </c>
      <c r="S126">
        <v>2</v>
      </c>
      <c r="T126">
        <v>2</v>
      </c>
      <c r="W126">
        <v>4</v>
      </c>
      <c r="X126">
        <v>5</v>
      </c>
      <c r="Y126">
        <v>20</v>
      </c>
      <c r="Z126">
        <v>29</v>
      </c>
      <c r="AC126">
        <v>1</v>
      </c>
      <c r="AD126">
        <v>1</v>
      </c>
      <c r="AE126">
        <v>1</v>
      </c>
      <c r="AF126">
        <v>12</v>
      </c>
      <c r="AG126">
        <v>13</v>
      </c>
      <c r="AL126">
        <v>1</v>
      </c>
      <c r="AM126">
        <v>1</v>
      </c>
      <c r="AR126">
        <v>1</v>
      </c>
      <c r="AS126">
        <v>3</v>
      </c>
      <c r="AT126">
        <v>19</v>
      </c>
      <c r="AU126">
        <v>23</v>
      </c>
      <c r="AV126">
        <v>106</v>
      </c>
    </row>
    <row r="127">
      <c r="B127" t="s">
        <v>3382</v>
      </c>
      <c r="C127">
        <v>1</v>
      </c>
      <c r="D127">
        <v>3</v>
      </c>
      <c r="E127">
        <v>4</v>
      </c>
      <c r="G127">
        <v>1</v>
      </c>
      <c r="H127">
        <v>1</v>
      </c>
      <c r="K127">
        <v>5</v>
      </c>
      <c r="L127">
        <v>5</v>
      </c>
      <c r="M127">
        <v>1</v>
      </c>
      <c r="N127">
        <v>13</v>
      </c>
      <c r="O127">
        <v>14</v>
      </c>
      <c r="S127">
        <v>1</v>
      </c>
      <c r="T127">
        <v>1</v>
      </c>
      <c r="W127">
        <v>1</v>
      </c>
      <c r="X127">
        <v>1</v>
      </c>
      <c r="Y127">
        <v>34</v>
      </c>
      <c r="Z127">
        <v>36</v>
      </c>
      <c r="AF127">
        <v>13</v>
      </c>
      <c r="AG127">
        <v>13</v>
      </c>
      <c r="AL127">
        <v>1</v>
      </c>
      <c r="AM127">
        <v>1</v>
      </c>
      <c r="AR127">
        <v>2</v>
      </c>
      <c r="AS127">
        <v>2</v>
      </c>
      <c r="AT127">
        <v>20</v>
      </c>
      <c r="AU127">
        <v>24</v>
      </c>
      <c r="AV127">
        <v>99</v>
      </c>
    </row>
    <row r="128">
      <c r="B128" t="s">
        <v>3384</v>
      </c>
      <c r="D128">
        <v>1</v>
      </c>
      <c r="E128">
        <v>1</v>
      </c>
      <c r="G128">
        <v>1</v>
      </c>
      <c r="H128">
        <v>1</v>
      </c>
      <c r="K128">
        <v>1</v>
      </c>
      <c r="L128">
        <v>1</v>
      </c>
      <c r="N128">
        <v>10</v>
      </c>
      <c r="O128">
        <v>10</v>
      </c>
      <c r="S128">
        <v>1</v>
      </c>
      <c r="T128">
        <v>1</v>
      </c>
      <c r="W128">
        <v>2</v>
      </c>
      <c r="Y128">
        <v>12</v>
      </c>
      <c r="Z128">
        <v>14</v>
      </c>
      <c r="AF128">
        <v>5</v>
      </c>
      <c r="AG128">
        <v>5</v>
      </c>
      <c r="AH128">
        <v>1</v>
      </c>
      <c r="AI128">
        <v>2</v>
      </c>
      <c r="AJ128">
        <v>3</v>
      </c>
      <c r="AK128">
        <v>1</v>
      </c>
      <c r="AL128">
        <v>2</v>
      </c>
      <c r="AM128">
        <v>3</v>
      </c>
      <c r="AP128">
        <v>2</v>
      </c>
      <c r="AQ128">
        <v>2</v>
      </c>
      <c r="AR128">
        <v>10</v>
      </c>
      <c r="AS128">
        <v>1</v>
      </c>
      <c r="AT128">
        <v>78</v>
      </c>
      <c r="AU128">
        <v>89</v>
      </c>
      <c r="AV128">
        <v>130</v>
      </c>
    </row>
    <row r="129">
      <c r="B129" t="s">
        <v>3385</v>
      </c>
      <c r="G129">
        <v>1</v>
      </c>
      <c r="H129">
        <v>1</v>
      </c>
      <c r="K129">
        <v>7</v>
      </c>
      <c r="L129">
        <v>7</v>
      </c>
      <c r="N129">
        <v>7</v>
      </c>
      <c r="O129">
        <v>7</v>
      </c>
      <c r="S129">
        <v>1</v>
      </c>
      <c r="T129">
        <v>1</v>
      </c>
      <c r="U129">
        <v>1</v>
      </c>
      <c r="V129">
        <v>1</v>
      </c>
      <c r="X129">
        <v>1</v>
      </c>
      <c r="Y129">
        <v>37</v>
      </c>
      <c r="Z129">
        <v>38</v>
      </c>
      <c r="AE129">
        <v>2</v>
      </c>
      <c r="AF129">
        <v>7</v>
      </c>
      <c r="AG129">
        <v>9</v>
      </c>
      <c r="AN129">
        <v>1</v>
      </c>
      <c r="AP129">
        <v>8</v>
      </c>
      <c r="AQ129">
        <v>9</v>
      </c>
      <c r="AR129">
        <v>3</v>
      </c>
      <c r="AT129">
        <v>89</v>
      </c>
      <c r="AU129">
        <v>92</v>
      </c>
      <c r="AV129">
        <v>165</v>
      </c>
    </row>
    <row r="130">
      <c r="B130" t="s">
        <v>3375</v>
      </c>
      <c r="F130">
        <v>1</v>
      </c>
      <c r="G130">
        <v>1</v>
      </c>
      <c r="H130">
        <v>2</v>
      </c>
      <c r="K130">
        <v>2</v>
      </c>
      <c r="L130">
        <v>2</v>
      </c>
      <c r="N130">
        <v>2</v>
      </c>
      <c r="O130">
        <v>2</v>
      </c>
      <c r="S130">
        <v>1</v>
      </c>
      <c r="T130">
        <v>1</v>
      </c>
      <c r="W130">
        <v>9</v>
      </c>
      <c r="X130">
        <v>1</v>
      </c>
      <c r="Y130">
        <v>14</v>
      </c>
      <c r="Z130">
        <v>24</v>
      </c>
      <c r="AF130">
        <v>3</v>
      </c>
      <c r="AG130">
        <v>3</v>
      </c>
      <c r="AN130">
        <v>1</v>
      </c>
      <c r="AO130">
        <v>1</v>
      </c>
      <c r="AP130">
        <v>6</v>
      </c>
      <c r="AQ130">
        <v>8</v>
      </c>
      <c r="AR130">
        <v>7</v>
      </c>
      <c r="AT130">
        <v>49</v>
      </c>
      <c r="AU130">
        <v>56</v>
      </c>
      <c r="AV130">
        <v>98</v>
      </c>
    </row>
    <row r="131">
      <c r="B131" t="s">
        <v>3376</v>
      </c>
      <c r="K131">
        <v>4</v>
      </c>
      <c r="L131">
        <v>4</v>
      </c>
      <c r="S131">
        <v>1</v>
      </c>
      <c r="T131">
        <v>1</v>
      </c>
      <c r="W131">
        <v>5</v>
      </c>
      <c r="Y131">
        <v>1</v>
      </c>
      <c r="Z131">
        <v>6</v>
      </c>
      <c r="AI131">
        <v>1</v>
      </c>
      <c r="AJ131">
        <v>1</v>
      </c>
      <c r="AL131">
        <v>1</v>
      </c>
      <c r="AM131">
        <v>1</v>
      </c>
      <c r="AR131">
        <v>6</v>
      </c>
      <c r="AS131">
        <v>4</v>
      </c>
      <c r="AT131">
        <v>63</v>
      </c>
      <c r="AU131">
        <v>73</v>
      </c>
      <c r="AV131">
        <v>86</v>
      </c>
    </row>
    <row r="132">
      <c r="B132" t="s">
        <v>3377</v>
      </c>
      <c r="S132">
        <v>1</v>
      </c>
      <c r="T132">
        <v>1</v>
      </c>
      <c r="W132">
        <v>1</v>
      </c>
      <c r="Y132">
        <v>2</v>
      </c>
      <c r="Z132">
        <v>3</v>
      </c>
      <c r="AR132">
        <v>3</v>
      </c>
      <c r="AS132">
        <v>6</v>
      </c>
      <c r="AT132">
        <v>31</v>
      </c>
      <c r="AU132">
        <v>40</v>
      </c>
      <c r="AV132">
        <v>44</v>
      </c>
    </row>
    <row r="133">
      <c r="B133" t="s">
        <v>3378</v>
      </c>
      <c r="S133">
        <v>1</v>
      </c>
      <c r="T133">
        <v>1</v>
      </c>
      <c r="Y133">
        <v>4</v>
      </c>
      <c r="Z133">
        <v>4</v>
      </c>
      <c r="AI133">
        <v>1</v>
      </c>
      <c r="AJ133">
        <v>1</v>
      </c>
      <c r="AL133">
        <v>1</v>
      </c>
      <c r="AM133">
        <v>1</v>
      </c>
      <c r="AP133">
        <v>1</v>
      </c>
      <c r="AQ133">
        <v>1</v>
      </c>
      <c r="AR133">
        <v>9</v>
      </c>
      <c r="AS133">
        <v>1</v>
      </c>
      <c r="AT133">
        <v>41</v>
      </c>
      <c r="AU133">
        <v>51</v>
      </c>
      <c r="AV133">
        <v>59</v>
      </c>
    </row>
    <row r="134">
      <c r="B134" t="s">
        <v>3379</v>
      </c>
      <c r="S134">
        <v>1</v>
      </c>
      <c r="T134">
        <v>1</v>
      </c>
      <c r="W134">
        <v>1</v>
      </c>
      <c r="Y134">
        <v>4</v>
      </c>
      <c r="Z134">
        <v>5</v>
      </c>
      <c r="AR134">
        <v>8</v>
      </c>
      <c r="AS134">
        <v>4</v>
      </c>
      <c r="AT134">
        <v>54</v>
      </c>
      <c r="AU134">
        <v>66</v>
      </c>
      <c r="AV134">
        <v>72</v>
      </c>
    </row>
    <row r="135">
      <c r="B135" t="s">
        <v>3387</v>
      </c>
      <c r="I135">
        <v>2</v>
      </c>
      <c r="K135">
        <v>14</v>
      </c>
      <c r="L135">
        <v>16</v>
      </c>
      <c r="W135">
        <v>2</v>
      </c>
      <c r="Y135">
        <v>1</v>
      </c>
      <c r="Z135">
        <v>3</v>
      </c>
      <c r="AR135">
        <v>4</v>
      </c>
      <c r="AS135">
        <v>10</v>
      </c>
      <c r="AT135">
        <v>45</v>
      </c>
      <c r="AU135">
        <v>59</v>
      </c>
      <c r="AV135">
        <v>78</v>
      </c>
    </row>
    <row r="136">
      <c r="B136" t="s">
        <v>3388</v>
      </c>
      <c r="W136">
        <v>1</v>
      </c>
      <c r="Y136">
        <v>6</v>
      </c>
      <c r="Z136">
        <v>7</v>
      </c>
      <c r="AR136">
        <v>6</v>
      </c>
      <c r="AS136">
        <v>4</v>
      </c>
      <c r="AT136">
        <v>52</v>
      </c>
      <c r="AU136">
        <v>62</v>
      </c>
      <c r="AV136">
        <v>69</v>
      </c>
    </row>
    <row r="137">
      <c r="B137" t="s">
        <v>3389</v>
      </c>
      <c r="W137">
        <v>54</v>
      </c>
      <c r="Y137">
        <v>4</v>
      </c>
      <c r="Z137">
        <v>58</v>
      </c>
      <c r="AR137">
        <v>10</v>
      </c>
      <c r="AS137">
        <v>4</v>
      </c>
      <c r="AT137">
        <v>22</v>
      </c>
      <c r="AU137">
        <v>36</v>
      </c>
      <c r="AV137">
        <v>94</v>
      </c>
    </row>
    <row r="138">
      <c r="B138" t="s">
        <v>3386</v>
      </c>
      <c r="W138">
        <v>5</v>
      </c>
      <c r="Y138">
        <v>3</v>
      </c>
      <c r="Z138">
        <v>8</v>
      </c>
      <c r="AR138">
        <v>4</v>
      </c>
      <c r="AS138">
        <v>6</v>
      </c>
      <c r="AT138">
        <v>19</v>
      </c>
      <c r="AU138">
        <v>29</v>
      </c>
      <c r="AV138">
        <v>37</v>
      </c>
    </row>
    <row r="139">
      <c r="B139" t="s">
        <v>3419</v>
      </c>
      <c r="AR139">
        <v>3</v>
      </c>
      <c r="AS139">
        <v>3</v>
      </c>
      <c r="AU139">
        <v>6</v>
      </c>
      <c r="AV139">
        <v>6</v>
      </c>
    </row>
    <row r="140">
      <c r="B140" t="s">
        <v>3390</v>
      </c>
      <c r="I140">
        <v>2</v>
      </c>
      <c r="J140">
        <v>3</v>
      </c>
      <c r="K140">
        <v>24</v>
      </c>
      <c r="L140">
        <v>29</v>
      </c>
      <c r="S140">
        <v>2</v>
      </c>
      <c r="T140">
        <v>2</v>
      </c>
      <c r="AH140">
        <v>1</v>
      </c>
      <c r="AI140">
        <v>12</v>
      </c>
      <c r="AJ140">
        <v>13</v>
      </c>
      <c r="AK140">
        <v>1</v>
      </c>
      <c r="AL140">
        <v>11</v>
      </c>
      <c r="AM140">
        <v>12</v>
      </c>
      <c r="AO140">
        <v>1</v>
      </c>
      <c r="AQ140">
        <v>1</v>
      </c>
      <c r="AV140">
        <v>57</v>
      </c>
    </row>
    <row r="141">
      <c r="B141" t="s">
        <v>3391</v>
      </c>
      <c r="AR141">
        <v>13</v>
      </c>
      <c r="AT141">
        <v>2</v>
      </c>
      <c r="AU141">
        <v>15</v>
      </c>
      <c r="AV141">
        <v>15</v>
      </c>
    </row>
    <row r="142">
      <c r="B142" t="s">
        <v>3400</v>
      </c>
      <c r="C142">
        <v>1</v>
      </c>
      <c r="D142">
        <v>4</v>
      </c>
      <c r="E142">
        <v>5</v>
      </c>
      <c r="F142">
        <v>1</v>
      </c>
      <c r="G142">
        <v>13</v>
      </c>
      <c r="H142">
        <v>14</v>
      </c>
      <c r="I142">
        <v>4</v>
      </c>
      <c r="J142">
        <v>3</v>
      </c>
      <c r="K142">
        <v>68</v>
      </c>
      <c r="L142">
        <v>75</v>
      </c>
      <c r="M142">
        <v>3</v>
      </c>
      <c r="N142">
        <v>61</v>
      </c>
      <c r="O142">
        <v>64</v>
      </c>
      <c r="P142">
        <v>1</v>
      </c>
      <c r="Q142">
        <v>5</v>
      </c>
      <c r="R142">
        <v>6</v>
      </c>
      <c r="S142">
        <v>15</v>
      </c>
      <c r="T142">
        <v>15</v>
      </c>
      <c r="U142">
        <v>1</v>
      </c>
      <c r="V142">
        <v>1</v>
      </c>
      <c r="W142">
        <v>87</v>
      </c>
      <c r="X142">
        <v>10</v>
      </c>
      <c r="Y142">
        <v>191</v>
      </c>
      <c r="Z142">
        <v>288</v>
      </c>
      <c r="AA142">
        <v>1</v>
      </c>
      <c r="AB142">
        <v>1</v>
      </c>
      <c r="AC142">
        <v>2</v>
      </c>
      <c r="AD142">
        <v>2</v>
      </c>
      <c r="AE142">
        <v>3</v>
      </c>
      <c r="AF142">
        <v>53</v>
      </c>
      <c r="AG142">
        <v>56</v>
      </c>
      <c r="AH142">
        <v>2</v>
      </c>
      <c r="AI142">
        <v>16</v>
      </c>
      <c r="AJ142">
        <v>18</v>
      </c>
      <c r="AK142">
        <v>2</v>
      </c>
      <c r="AL142">
        <v>18</v>
      </c>
      <c r="AM142">
        <v>20</v>
      </c>
      <c r="AN142">
        <v>2</v>
      </c>
      <c r="AO142">
        <v>2</v>
      </c>
      <c r="AP142">
        <v>23</v>
      </c>
      <c r="AQ142">
        <v>27</v>
      </c>
      <c r="AR142">
        <v>94</v>
      </c>
      <c r="AS142">
        <v>51</v>
      </c>
      <c r="AT142">
        <v>626</v>
      </c>
      <c r="AU142">
        <v>771</v>
      </c>
      <c r="AV142">
        <v>1363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PL 300726</vt:lpstr>
      <vt:lpstr>OTROS</vt:lpstr>
      <vt:lpstr>CTO 5</vt:lpstr>
      <vt:lpstr>CTO 8</vt:lpstr>
      <vt:lpstr>CTO 9</vt:lpstr>
      <vt:lpstr>CTO 10</vt:lpstr>
      <vt:lpstr>AVANCE</vt:lpstr>
      <vt:lpstr>TD AVANCE</vt:lpstr>
      <vt:lpstr>Parts</vt:lpstr>
      <vt:lpstr>Externos</vt:lpstr>
      <vt:lpstr>Hoja1</vt:lpstr>
      <vt:lpstr>'PL 300726'!Área_de_impresión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Layn Quintero</cp:lastModifiedBy>
  <cp:lastPrinted>2026-09-25T13:42:12Z</cp:lastPrinted>
  <dcterms:created xsi:type="dcterms:W3CDTF">2024-01-24T14:21:05Z</dcterms:created>
  <dcterms:modified xsi:type="dcterms:W3CDTF">2026-10-12T18:09:41Z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7ad33d-ed35-43c0-b526-22bc83c17deb_Enabled">
    <vt:lpwstr>true</vt:lpwstr>
  </property>
  <property fmtid="{D5CDD505-2E9C-101B-9397-08002B2CF9AE}" pid="3" name="MSIP_Label_797ad33d-ed35-43c0-b526-22bc83c17deb_SetDate">
    <vt:lpwstr>2026-07-30T14:58:12Z</vt:lpwstr>
  </property>
  <property fmtid="{D5CDD505-2E9C-101B-9397-08002B2CF9AE}" pid="4" name="MSIP_Label_797ad33d-ed35-43c0-b526-22bc83c17deb_Method">
    <vt:lpwstr>Standard</vt:lpwstr>
  </property>
  <property fmtid="{D5CDD505-2E9C-101B-9397-08002B2CF9AE}" pid="5" name="MSIP_Label_797ad33d-ed35-43c0-b526-22bc83c17deb_Name">
    <vt:lpwstr>797ad33d-ed35-43c0-b526-22bc83c17deb</vt:lpwstr>
  </property>
  <property fmtid="{D5CDD505-2E9C-101B-9397-08002B2CF9AE}" pid="6" name="MSIP_Label_797ad33d-ed35-43c0-b526-22bc83c17deb_SiteId">
    <vt:lpwstr>d539d4bf-5610-471a-afc2-1c76685cfefa</vt:lpwstr>
  </property>
  <property fmtid="{D5CDD505-2E9C-101B-9397-08002B2CF9AE}" pid="7" name="MSIP_Label_797ad33d-ed35-43c0-b526-22bc83c17deb_ActionId">
    <vt:lpwstr>c05a74f8-c6ed-4288-9230-6c91de43796d</vt:lpwstr>
  </property>
  <property fmtid="{D5CDD505-2E9C-101B-9397-08002B2CF9AE}" pid="8" name="MSIP_Label_797ad33d-ed35-43c0-b526-22bc83c17deb_ContentBits">
    <vt:lpwstr>1</vt:lpwstr>
  </property>
  <property fmtid="{D5CDD505-2E9C-101B-9397-08002B2CF9AE}" pid="9" name="MSIP_Label_797ad33d-ed35-43c0-b526-22bc83c17deb_Tag">
    <vt:lpwstr>10, 3, 0, 1</vt:lpwstr>
  </property>
</Properties>
</file>